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ckets Data(From Dec)"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<sst xmlns="http://schemas.openxmlformats.org/spreadsheetml/2006/main" count="6755" uniqueCount="1478">
  <si>
    <t xml:space="preserve">Ticket #</t>
  </si>
  <si>
    <t xml:space="preserve">Created Date</t>
  </si>
  <si>
    <t xml:space="preserve">Created Time</t>
  </si>
  <si>
    <t xml:space="preserve">Month</t>
  </si>
  <si>
    <t xml:space="preserve">Source</t>
  </si>
  <si>
    <t xml:space="preserve">Status</t>
  </si>
  <si>
    <t xml:space="preserve">Status1</t>
  </si>
  <si>
    <t xml:space="preserve">Customer Name</t>
  </si>
  <si>
    <t xml:space="preserve">Requestor Email</t>
  </si>
  <si>
    <t xml:space="preserve">Priority</t>
  </si>
  <si>
    <t xml:space="preserve">Severity/Impact</t>
  </si>
  <si>
    <t xml:space="preserve">Email Subject</t>
  </si>
  <si>
    <t xml:space="preserve">Short Description</t>
  </si>
  <si>
    <t xml:space="preserve">Issue Type</t>
  </si>
  <si>
    <t xml:space="preserve">Category</t>
  </si>
  <si>
    <t xml:space="preserve">Sub Category</t>
  </si>
  <si>
    <t xml:space="preserve">Issue From</t>
  </si>
  <si>
    <t xml:space="preserve">Module</t>
  </si>
  <si>
    <t xml:space="preserve">RCA</t>
  </si>
  <si>
    <t xml:space="preserve">Release Version</t>
  </si>
  <si>
    <t xml:space="preserve">Response Time</t>
  </si>
  <si>
    <t xml:space="preserve">Resolved Date</t>
  </si>
  <si>
    <t xml:space="preserve">Resolved Time</t>
  </si>
  <si>
    <t xml:space="preserve">Closed Date</t>
  </si>
  <si>
    <t xml:space="preserve">Closed Time</t>
  </si>
  <si>
    <t xml:space="preserve">Assignee</t>
  </si>
  <si>
    <t xml:space="preserve">Is Reopen</t>
  </si>
  <si>
    <t xml:space="preserve">Resolution Time (hh:mm)</t>
  </si>
  <si>
    <t xml:space="preserve">Resolution Time (dd:hh:mm)</t>
  </si>
  <si>
    <t xml:space="preserve">Res Time Conv</t>
  </si>
  <si>
    <t xml:space="preserve">Closed Time (dd:hh:mm)</t>
  </si>
  <si>
    <t xml:space="preserve">Expected Resolution Time</t>
  </si>
  <si>
    <t xml:space="preserve">Resolution SLA Met</t>
  </si>
  <si>
    <t xml:space="preserve">Response SLA Met</t>
  </si>
  <si>
    <t xml:space="preserve">Reopen1</t>
  </si>
  <si>
    <t xml:space="preserve">Resolve1</t>
  </si>
  <si>
    <t xml:space="preserve">Reopen2</t>
  </si>
  <si>
    <t xml:space="preserve">Resolve2</t>
  </si>
  <si>
    <t xml:space="preserve">Created</t>
  </si>
  <si>
    <t xml:space="preserve">Closed</t>
  </si>
  <si>
    <t xml:space="preserve">Res Time Ex Weekends</t>
  </si>
  <si>
    <t xml:space="preserve">Conv  Res Time</t>
  </si>
  <si>
    <t xml:space="preserve">Created week</t>
  </si>
  <si>
    <t xml:space="preserve">Reported On (PT)</t>
  </si>
  <si>
    <t xml:space="preserve">Reported Time (PT)</t>
  </si>
  <si>
    <t xml:space="preserve">Resolved On (PT)</t>
  </si>
  <si>
    <t xml:space="preserve">Resolved Time (PT)</t>
  </si>
  <si>
    <t xml:space="preserve">Res time 9h &amp; working days - Best </t>
  </si>
  <si>
    <t xml:space="preserve">Best2</t>
  </si>
  <si>
    <t xml:space="preserve">Best3</t>
  </si>
  <si>
    <t xml:space="preserve">SLA Expected</t>
  </si>
  <si>
    <t xml:space="preserve">SLA Met</t>
  </si>
  <si>
    <t xml:space="preserve">Create Mth</t>
  </si>
  <si>
    <t xml:space="preserve">Closed Mth</t>
  </si>
  <si>
    <t xml:space="preserve">685/2025</t>
  </si>
  <si>
    <t xml:space="preserve">ATS</t>
  </si>
  <si>
    <t xml:space="preserve">NV-DPBH</t>
  </si>
  <si>
    <t xml:space="preserve">mbrown@health.nv.gov</t>
  </si>
  <si>
    <t xml:space="preserve">Medium</t>
  </si>
  <si>
    <t xml:space="preserve">Minor</t>
  </si>
  <si>
    <t xml:space="preserve">ALiS Reports down </t>
  </si>
  <si>
    <t xml:space="preserve">Login issue, getting invalid username/password []</t>
  </si>
  <si>
    <t xml:space="preserve">Incident</t>
  </si>
  <si>
    <t xml:space="preserve">Defect</t>
  </si>
  <si>
    <t xml:space="preserve">Authentication Failure</t>
  </si>
  <si>
    <t xml:space="preserve">Service Request</t>
  </si>
  <si>
    <t xml:space="preserve">Default Module</t>
  </si>
  <si>
    <t xml:space="preserve">Shruti Upadhyay</t>
  </si>
  <si>
    <t xml:space="preserve">No</t>
  </si>
  <si>
    <t xml:space="preserve">Old</t>
  </si>
  <si>
    <t xml:space="preserve">New</t>
  </si>
  <si>
    <t xml:space="preserve">686/2025</t>
  </si>
  <si>
    <t xml:space="preserve">NV-Health Facilities</t>
  </si>
  <si>
    <t xml:space="preserve">djohannessen@nvha.nv.gov</t>
  </si>
  <si>
    <t xml:space="preserve">Low</t>
  </si>
  <si>
    <t xml:space="preserve">adhoc pulling incorrect information</t>
  </si>
  <si>
    <t xml:space="preserve">Monthly report for late renewal count issue [Ad hoc report request]</t>
  </si>
  <si>
    <t xml:space="preserve">Query</t>
  </si>
  <si>
    <t xml:space="preserve">Reporting</t>
  </si>
  <si>
    <t xml:space="preserve">Adhoc Reports</t>
  </si>
  <si>
    <t xml:space="preserve">687/2025</t>
  </si>
  <si>
    <t xml:space="preserve">NV-Radiation</t>
  </si>
  <si>
    <t xml:space="preserve">gbernard@health.nv.gov</t>
  </si>
  <si>
    <t xml:space="preserve">Expiration Notice generated from UAT</t>
  </si>
  <si>
    <t xml:space="preserve">Expiry notification send from UAT [Functionality works on UAT as well. Expiry job scheduler runs at 1 AM daily, shared user has expired licence]</t>
  </si>
  <si>
    <t xml:space="preserve">Notification</t>
  </si>
  <si>
    <t xml:space="preserve">Client Enablement</t>
  </si>
  <si>
    <t xml:space="preserve">Licensing</t>
  </si>
  <si>
    <t xml:space="preserve">Expected behaviour</t>
  </si>
  <si>
    <t xml:space="preserve">Yes</t>
  </si>
  <si>
    <t xml:space="preserve">688/2025</t>
  </si>
  <si>
    <t xml:space="preserve">Expiration Notices are being generated from RAM accounts </t>
  </si>
  <si>
    <t xml:space="preserve">Expiry notification send [Functionality works on UAT as well. Expiry job scheduler runs at 1 AM daily, shared user has expired licence]</t>
  </si>
  <si>
    <t xml:space="preserve">High</t>
  </si>
  <si>
    <t xml:space="preserve">691/2025</t>
  </si>
  <si>
    <t xml:space="preserve">nvhaclialab@nvha.nv.gov</t>
  </si>
  <si>
    <t xml:space="preserve">Ticket - Lab 7446 MICHAEL ROSENMAN PEDIATRICS </t>
  </si>
  <si>
    <t xml:space="preserve">Wants history how a test "Covid" added in menu of one of the lab</t>
  </si>
  <si>
    <t xml:space="preserve">Audit/Change History</t>
  </si>
  <si>
    <t xml:space="preserve">Interface</t>
  </si>
  <si>
    <t xml:space="preserve">Urgent</t>
  </si>
  <si>
    <t xml:space="preserve">NA</t>
  </si>
  <si>
    <t xml:space="preserve">692/2025</t>
  </si>
  <si>
    <t xml:space="preserve">efarmer@dss.nv.gov</t>
  </si>
  <si>
    <t xml:space="preserve">Child Care Licensing - application withdrawal </t>
  </si>
  <si>
    <t xml:space="preserve">Request to move accidentally withdrawan "Child Care Licensing" application to pending status [Application added the test in one of the request in 2023 and same was approved by staff]</t>
  </si>
  <si>
    <t xml:space="preserve">Data Corrections</t>
  </si>
  <si>
    <t xml:space="preserve">Application Status Change</t>
  </si>
  <si>
    <t xml:space="preserve">Abhishek Chauhan</t>
  </si>
  <si>
    <t xml:space="preserve">693/2025</t>
  </si>
  <si>
    <t xml:space="preserve">vvaliente@nvha.nv.gov</t>
  </si>
  <si>
    <t xml:space="preserve">Pool/spa permits not able to renew</t>
  </si>
  <si>
    <t xml:space="preserve">Unable to renew spa/pool permit [User don't have relevant role]</t>
  </si>
  <si>
    <t xml:space="preserve">Licensing/Renewal</t>
  </si>
  <si>
    <t xml:space="preserve">694/2025</t>
  </si>
  <si>
    <t xml:space="preserve">Child Care Licensing - credential type change</t>
  </si>
  <si>
    <t xml:space="preserve">Request to change credentials type from institution to center.</t>
  </si>
  <si>
    <t xml:space="preserve">Account Modification</t>
  </si>
  <si>
    <t xml:space="preserve">Data Correction</t>
  </si>
  <si>
    <t xml:space="preserve">695/2025</t>
  </si>
  <si>
    <t xml:space="preserve">TX</t>
  </si>
  <si>
    <t xml:space="preserve">Tammy.Harden@txcourts.gov</t>
  </si>
  <si>
    <t xml:space="preserve">Remove Duplicate Profile - Licensee ID No. 146050</t>
  </si>
  <si>
    <t xml:space="preserve">Request to delete the duplicate LCI profile created by mistake</t>
  </si>
  <si>
    <t xml:space="preserve">Profile Deletion</t>
  </si>
  <si>
    <t xml:space="preserve">696/2025</t>
  </si>
  <si>
    <t xml:space="preserve">rick.windsor@txcourts.gov</t>
  </si>
  <si>
    <t xml:space="preserve">Delete profile </t>
  </si>
  <si>
    <t xml:space="preserve">Request to delete profile as incorrectly created by customer.</t>
  </si>
  <si>
    <t xml:space="preserve">697/2025</t>
  </si>
  <si>
    <t xml:space="preserve">individuallicensing@nvha.nv.gov </t>
  </si>
  <si>
    <t xml:space="preserve">How Did This Applicant Apply Like This? </t>
  </si>
  <si>
    <t xml:space="preserve">Applicant applied for dietitian but details not availablle in system [Profile created in staging]</t>
  </si>
  <si>
    <t xml:space="preserve">Incorrect Data</t>
  </si>
  <si>
    <t xml:space="preserve">698/2025</t>
  </si>
  <si>
    <t xml:space="preserve">nvhalicensing@nvha.nv.gov</t>
  </si>
  <si>
    <t xml:space="preserve">FW: Bs Caring Hands </t>
  </si>
  <si>
    <t xml:space="preserve">User closed the business so want to know how to submit the licence [Shared relevantr steps]</t>
  </si>
  <si>
    <t xml:space="preserve">Licensing Workflow</t>
  </si>
  <si>
    <t xml:space="preserve">699/2025</t>
  </si>
  <si>
    <t xml:space="preserve">Work In Progress</t>
  </si>
  <si>
    <t xml:space="preserve">FW: CMG Harmony Haven Care Home LLC</t>
  </si>
  <si>
    <t xml:space="preserve">Wants to know if it is possible to renew licence without renewal notification [] </t>
  </si>
  <si>
    <t xml:space="preserve">Change Request</t>
  </si>
  <si>
    <t xml:space="preserve">Not Met</t>
  </si>
  <si>
    <t xml:space="preserve">700/2025</t>
  </si>
  <si>
    <t xml:space="preserve">Brian.Keenan@txcourts.gov</t>
  </si>
  <si>
    <t xml:space="preserve">Borrego, New Process Server - Transaction # 357333 </t>
  </si>
  <si>
    <t xml:space="preserve">Application not visible in modify individual [Data related issue in the system]</t>
  </si>
  <si>
    <t xml:space="preserve">701/2025</t>
  </si>
  <si>
    <t xml:space="preserve">Request to Change Facility Type From 03-03-5127-04 to 03-01-5127-04</t>
  </si>
  <si>
    <t xml:space="preserve">Request to change the facility type</t>
  </si>
  <si>
    <t xml:space="preserve">702/2025</t>
  </si>
  <si>
    <t xml:space="preserve">A.Rich@nvha.nv.gov</t>
  </si>
  <si>
    <t xml:space="preserve">Re: Application Question</t>
  </si>
  <si>
    <t xml:space="preserve">Licence approved in Oct but showing expiry of this month [No issue, date update by staff]</t>
  </si>
  <si>
    <t xml:space="preserve">703/2025</t>
  </si>
  <si>
    <t xml:space="preserve">NV</t>
  </si>
  <si>
    <t xml:space="preserve">nkluczynski@agri.nv.gov</t>
  </si>
  <si>
    <t xml:space="preserve">Inspection change </t>
  </si>
  <si>
    <t xml:space="preserve">Request to move inspection from one credential to other.</t>
  </si>
  <si>
    <t xml:space="preserve">704/2025</t>
  </si>
  <si>
    <t xml:space="preserve">Remove Duplicate Profile - Licensee ID No. 100364</t>
  </si>
  <si>
    <t xml:space="preserve">705/2025</t>
  </si>
  <si>
    <t xml:space="preserve">jslater@nvha.nv.gov </t>
  </si>
  <si>
    <t xml:space="preserve">FW: Invoice Generated for Invoice Number: INV-181454. </t>
  </si>
  <si>
    <t xml:space="preserve">Facility received another facility invoice number [Mistakenly created by staff]</t>
  </si>
  <si>
    <t xml:space="preserve">706/2025</t>
  </si>
  <si>
    <t xml:space="preserve">lmetherell@nvha.nv.gov</t>
  </si>
  <si>
    <t xml:space="preserve">Ad hoc report - License is not working - Please fix Thanks,</t>
  </si>
  <si>
    <t xml:space="preserve">Adhoc reports correction request [It takes 4-5 days to run and it runs manually at weekends. Somehow it did not run properly,failed and server restarted post which it is still in progress]</t>
  </si>
  <si>
    <t xml:space="preserve">707/2025</t>
  </si>
  <si>
    <t xml:space="preserve">efarmer@dss.nv.gov </t>
  </si>
  <si>
    <t xml:space="preserve">Child Care Licensing - Activity Code error</t>
  </si>
  <si>
    <t xml:space="preserve">Unable to update activity log as activity code not available [Application code mapping missing from application type, guided to update]</t>
  </si>
  <si>
    <t xml:space="preserve">Configuration</t>
  </si>
  <si>
    <t xml:space="preserve">Not configured</t>
  </si>
  <si>
    <t xml:space="preserve">708/2025</t>
  </si>
  <si>
    <t xml:space="preserve">Ad hoc Inspection - Please add facility type </t>
  </si>
  <si>
    <t xml:space="preserve">Request to add facility type filter in adhoc report</t>
  </si>
  <si>
    <t xml:space="preserve">709/2025</t>
  </si>
  <si>
    <t xml:space="preserve"> As Hoc Report Access </t>
  </si>
  <si>
    <t xml:space="preserve">Adhoc report access request</t>
  </si>
  <si>
    <t xml:space="preserve">Access Request</t>
  </si>
  <si>
    <t xml:space="preserve">710/2025</t>
  </si>
  <si>
    <t xml:space="preserve">NJ-DOH</t>
  </si>
  <si>
    <t xml:space="preserve">Arienne.Gomes@doh.nj.gov</t>
  </si>
  <si>
    <t xml:space="preserve">FW: CAMcare Paulsboro- 0006989 </t>
  </si>
  <si>
    <t xml:space="preserve">User unable to move ahead with renewal application as payment taking time []</t>
  </si>
  <si>
    <t xml:space="preserve">711/2025</t>
  </si>
  <si>
    <t xml:space="preserve">msmothers@nvha.nv.gov</t>
  </si>
  <si>
    <t xml:space="preserve">RE: The life change center #5725  </t>
  </si>
  <si>
    <t xml:space="preserve">Unable to update date of 2026 on renewal of nursing health facility licences [Duplicate againsy 702/2025]</t>
  </si>
  <si>
    <t xml:space="preserve">712/2025</t>
  </si>
  <si>
    <t xml:space="preserve">lmetherell@nvha.nv.gov </t>
  </si>
  <si>
    <t xml:space="preserve">Statement of Deficiency/OOC Link redirecting to Error  </t>
  </si>
  <si>
    <t xml:space="preserve">Getting 404 not found error when click on SOD and submit POC [No issue, might be due to cache]</t>
  </si>
  <si>
    <t xml:space="preserve">713/2025</t>
  </si>
  <si>
    <t xml:space="preserve">cwalton@nvha.nv.gov </t>
  </si>
  <si>
    <t xml:space="preserve">Plan Review Detail Update in ALiS  </t>
  </si>
  <si>
    <t xml:space="preserve">Request to edit some fields in plan review detail section</t>
  </si>
  <si>
    <t xml:space="preserve">714/2025</t>
  </si>
  <si>
    <t xml:space="preserve">brenda.kizzee@txcourts.gov</t>
  </si>
  <si>
    <t xml:space="preserve">Please merge/delete the below profiles.</t>
  </si>
  <si>
    <t xml:space="preserve">Request to merge and delete the profiles</t>
  </si>
  <si>
    <t xml:space="preserve">715/2025</t>
  </si>
  <si>
    <t xml:space="preserve">mbonanno@nvha.nv.gov</t>
  </si>
  <si>
    <t xml:space="preserve">Duplicate </t>
  </si>
  <si>
    <t xml:space="preserve">Request to remove duplicate transaction</t>
  </si>
  <si>
    <t xml:space="preserve">716/2025</t>
  </si>
  <si>
    <t xml:space="preserve">courtreporting@txcourts.gov</t>
  </si>
  <si>
    <t xml:space="preserve">New Certification Application-LIC ID # 11337 </t>
  </si>
  <si>
    <t xml:space="preserve">Request to put the application in workqueue</t>
  </si>
  <si>
    <t xml:space="preserve">717/2025</t>
  </si>
  <si>
    <t xml:space="preserve">Update Naprapathy Page Email address in Activity Detail</t>
  </si>
  <si>
    <t xml:space="preserve">Request to change the from email id in activity log for a Naprapathy</t>
  </si>
  <si>
    <t xml:space="preserve">718/2025</t>
  </si>
  <si>
    <t xml:space="preserve">Request to change Facility type for 04 machine </t>
  </si>
  <si>
    <t xml:space="preserve">719/2025</t>
  </si>
  <si>
    <t xml:space="preserve">ekunz@agri.nv.gov </t>
  </si>
  <si>
    <t xml:space="preserve"> Sugar Art Studio - Change Credential to restaurant </t>
  </si>
  <si>
    <t xml:space="preserve">Request to change the credential type for an entity to restaurant</t>
  </si>
  <si>
    <t xml:space="preserve">720/2025</t>
  </si>
  <si>
    <t xml:space="preserve">Colleen.Davis@doh.nj.gov</t>
  </si>
  <si>
    <t xml:space="preserve">NJDOH - email notifications and end-dated personnel</t>
  </si>
  <si>
    <t xml:space="preserve">Email notification sent to disabled external user so wants change in this</t>
  </si>
  <si>
    <t xml:space="preserve">721/2025</t>
  </si>
  <si>
    <t xml:space="preserve">Inspector getting error when trying to download inspections</t>
  </si>
  <si>
    <t xml:space="preserve">Getting error "Please try again after some time" when trying to download inspections</t>
  </si>
  <si>
    <t xml:space="preserve">Application</t>
  </si>
  <si>
    <t xml:space="preserve">Inspection</t>
  </si>
  <si>
    <t xml:space="preserve">Due to data type change</t>
  </si>
  <si>
    <t xml:space="preserve">722/2025</t>
  </si>
  <si>
    <t xml:space="preserve">Request to move machine from entity 5010 to 4142</t>
  </si>
  <si>
    <t xml:space="preserve">Request to change entity for a machine</t>
  </si>
  <si>
    <t xml:space="preserve">723/2025</t>
  </si>
  <si>
    <t xml:space="preserve">Request to change facility type from 01 to 03 for entity 5127</t>
  </si>
  <si>
    <t xml:space="preserve">Ratiranjan</t>
  </si>
  <si>
    <t xml:space="preserve">724/2025</t>
  </si>
  <si>
    <t xml:space="preserve">NJDOH Blood Bank- Assistance requested</t>
  </si>
  <si>
    <t xml:space="preserve">Unable to map sites with new primary sites as they are not visible [Duplicate against 725/2025]</t>
  </si>
  <si>
    <t xml:space="preserve">725/2025</t>
  </si>
  <si>
    <t xml:space="preserve">Re: NJDOH Blood Bank- Assistance requested</t>
  </si>
  <si>
    <t xml:space="preserve">Unable to map sites with new primary sites as they are not visible []</t>
  </si>
  <si>
    <t xml:space="preserve">726/2025</t>
  </si>
  <si>
    <t xml:space="preserve">Request to update AdHoc Reports</t>
  </si>
  <si>
    <t xml:space="preserve">727/2025</t>
  </si>
  <si>
    <t xml:space="preserve">FW: Unable to make changes to Make, Model, Serial Number, and Machine location (Internal Location) if the applications are pending</t>
  </si>
  <si>
    <t xml:space="preserve">Unable to make any changes under the machine if the application is pending and in the work queue []</t>
  </si>
  <si>
    <t xml:space="preserve">728/2025</t>
  </si>
  <si>
    <t xml:space="preserve">Merge/delete profiles RUTH ARELLANO CARROLL</t>
  </si>
  <si>
    <t xml:space="preserve">729/2025</t>
  </si>
  <si>
    <t xml:space="preserve">External User Issue CLIS ID #39708</t>
  </si>
  <si>
    <t xml:space="preserve">Unable to generate renewal notification for one of the user [Data related issue]</t>
  </si>
  <si>
    <t xml:space="preserve">Database Issue</t>
  </si>
  <si>
    <t xml:space="preserve">730/2025</t>
  </si>
  <si>
    <t xml:space="preserve">NV – DPBH</t>
  </si>
  <si>
    <t xml:space="preserve">Jason Sant - RCT00082 - unable to renew CT for qualifying</t>
  </si>
  <si>
    <t xml:space="preserve">User unable to renew expired licence and getting nothing to renew [No grace period was configured]</t>
  </si>
  <si>
    <t xml:space="preserve">731/2025</t>
  </si>
  <si>
    <t xml:space="preserve">Remove Profile - DANIELA CARLOTA CANABAL </t>
  </si>
  <si>
    <t xml:space="preserve">Request to remove duplicate profile</t>
  </si>
  <si>
    <t xml:space="preserve">732/2025</t>
  </si>
  <si>
    <t xml:space="preserve">NV-Child Care Program</t>
  </si>
  <si>
    <t xml:space="preserve">Child Care Licensing - facility credential type change </t>
  </si>
  <si>
    <t xml:space="preserve">Request to change facility credential type</t>
  </si>
  <si>
    <t xml:space="preserve">733/2025</t>
  </si>
  <si>
    <t xml:space="preserve">Health Facilities - Ad Hoc  </t>
  </si>
  <si>
    <t xml:space="preserve">Request to add Federal provider in ad hoc licence report</t>
  </si>
  <si>
    <t xml:space="preserve">734/2025</t>
  </si>
  <si>
    <t xml:space="preserve">m.ports@agri.nv.gov</t>
  </si>
  <si>
    <t xml:space="preserve">RE: HU-005-29105 changing to HU-002-29105</t>
  </si>
  <si>
    <t xml:space="preserve">Request to move payment from one credentials to other</t>
  </si>
  <si>
    <t xml:space="preserve">736/2025</t>
  </si>
  <si>
    <t xml:space="preserve">foodsafety@agri.nv.gov</t>
  </si>
  <si>
    <t xml:space="preserve">FW: Payment for Dollar General Store # 25846 (Battle Mountain)</t>
  </si>
  <si>
    <t xml:space="preserve">Query related to processing fee charged (2.82%) and mentioned on the website (2.45%) &amp; want correction.</t>
  </si>
  <si>
    <t xml:space="preserve">735/2025</t>
  </si>
  <si>
    <t xml:space="preserve">12/26/25 Meeting Follow-up Questions</t>
  </si>
  <si>
    <t xml:space="preserve">Change request and confirmation related to recent meeting with implementation team</t>
  </si>
  <si>
    <t xml:space="preserve">737/2025</t>
  </si>
  <si>
    <t xml:space="preserve">Request for Credential Type change (RAM)</t>
  </si>
  <si>
    <t xml:space="preserve">Request to change the credential type</t>
  </si>
  <si>
    <t xml:space="preserve">738/2025</t>
  </si>
  <si>
    <t xml:space="preserve">FW: Inspection Stuck Offline - Dennis Puente</t>
  </si>
  <si>
    <t xml:space="preserve">Unable to upload inspection file from online to offline, screens blinks after upload.</t>
  </si>
  <si>
    <t xml:space="preserve">739/2025</t>
  </si>
  <si>
    <t xml:space="preserve">FW: HELP and now URGENT: Nursing Pool Change of Corporate Personnel online filing </t>
  </si>
  <si>
    <t xml:space="preserve">Unable to proceed with application process as getting - server application error [Data related issue]</t>
  </si>
  <si>
    <t xml:space="preserve">Data related issue</t>
  </si>
  <si>
    <t xml:space="preserve">740/2025</t>
  </si>
  <si>
    <t xml:space="preserve">Request to move machine from entity 4142 to 5010</t>
  </si>
  <si>
    <t xml:space="preserve">741/2025</t>
  </si>
  <si>
    <t xml:space="preserve">Health Facilities - Credential Information</t>
  </si>
  <si>
    <t xml:space="preserve">742/2025</t>
  </si>
  <si>
    <t xml:space="preserve">Request to remove test entry from work queue -- Transaction no. 61985</t>
  </si>
  <si>
    <t xml:space="preserve">Request to remove transaction from workqueue</t>
  </si>
  <si>
    <t xml:space="preserve">743/2025</t>
  </si>
  <si>
    <t xml:space="preserve">rheidker@nvha.nv.gov</t>
  </si>
  <si>
    <t xml:space="preserve">No Users to share search with </t>
  </si>
  <si>
    <t xml:space="preserve">No user under manage saved searches option [User access issue, access provided]</t>
  </si>
  <si>
    <t xml:space="preserve">744/2025</t>
  </si>
  <si>
    <t xml:space="preserve">Jacquelyn.Guthrie@doh.nj.gov</t>
  </si>
  <si>
    <t xml:space="preserve">new ALiS help ticket 12.29.25</t>
  </si>
  <si>
    <t xml:space="preserve">Inactive test is showing in renewal application and wants to remove that permanently [ Associated with one of the entity due to which visible]</t>
  </si>
  <si>
    <t xml:space="preserve">745/2025</t>
  </si>
  <si>
    <t xml:space="preserve">FW: HF 12-23</t>
  </si>
  <si>
    <t xml:space="preserve">After payment, transaction not available in work queue [Created the invoice receipt]</t>
  </si>
  <si>
    <t xml:space="preserve">746/2025</t>
  </si>
  <si>
    <t xml:space="preserve">External User Issue</t>
  </si>
  <si>
    <t xml:space="preserve">Late fee showing for user where licence is not expired. Wants to check and remove the same.</t>
  </si>
  <si>
    <t xml:space="preserve">749/2025</t>
  </si>
  <si>
    <t xml:space="preserve">FW: Initial User Registration</t>
  </si>
  <si>
    <t xml:space="preserve">User is unable to submit initial application [No issue found in app submission]</t>
  </si>
  <si>
    <t xml:space="preserve">750/2025</t>
  </si>
  <si>
    <t xml:space="preserve">xiyang@nvha.nv.gov</t>
  </si>
  <si>
    <t xml:space="preserve">CLICS database connection question</t>
  </si>
  <si>
    <t xml:space="preserve">Unable to connect CLICS database [IP restriction is there so advise to check with whitelisted IPs]</t>
  </si>
  <si>
    <t xml:space="preserve">747/2025</t>
  </si>
  <si>
    <t xml:space="preserve">fgagnon@nvha.nv.gov</t>
  </si>
  <si>
    <t xml:space="preserve">ALiS - Letter to Provider Email Not Sending</t>
  </si>
  <si>
    <t xml:space="preserve">Email not trigerred when using letter to provider option [Due to limitation on domain]</t>
  </si>
  <si>
    <t xml:space="preserve">748/2025</t>
  </si>
  <si>
    <t xml:space="preserve">jslater@nvha.nv.gov</t>
  </si>
  <si>
    <t xml:space="preserve">Need help for report</t>
  </si>
  <si>
    <t xml:space="preserve">Wants to know how to get Ad hoc report for pending supervisory review [Suggested to create new saved search]</t>
  </si>
  <si>
    <t xml:space="preserve">751/2025</t>
  </si>
  <si>
    <t xml:space="preserve">mpeden@nvha.nv.gov</t>
  </si>
  <si>
    <t xml:space="preserve">FW: NVHA-HCQC-CO-LIVING OASIS LLC </t>
  </si>
  <si>
    <t xml:space="preserve">Provider received receipt but system showing pending payment [Duplicate against 745/2025]</t>
  </si>
  <si>
    <t xml:space="preserve">752/2025</t>
  </si>
  <si>
    <t xml:space="preserve">rmaddula@health.nv.gov</t>
  </si>
  <si>
    <t xml:space="preserve">PROD Access Key Update for wfg_ems_web </t>
  </si>
  <si>
    <t xml:space="preserve">Key updated for EMS web and wants to update gthe same at our end as well</t>
  </si>
  <si>
    <t xml:space="preserve">753/2025</t>
  </si>
  <si>
    <t xml:space="preserve">Request to update AdHoc Reports [Report updated as per request]</t>
  </si>
  <si>
    <t xml:space="preserve">Ad Hoc Reports</t>
  </si>
  <si>
    <t xml:space="preserve"> 1/2026</t>
  </si>
  <si>
    <t xml:space="preserve">help</t>
  </si>
  <si>
    <t xml:space="preserve">Error comes up when click on edit profile for a facility [Data related issue]</t>
  </si>
  <si>
    <t xml:space="preserve"> 2/2026</t>
  </si>
  <si>
    <t xml:space="preserve">SOD out of order under manage SOD/OOC and Submit plan of correction (client)</t>
  </si>
  <si>
    <t xml:space="preserve">Tags are not in correct order under manage SOD/OOC. Similar is showing to laboratories as well.</t>
  </si>
  <si>
    <t xml:space="preserve">Nidhi Verma</t>
  </si>
  <si>
    <t xml:space="preserve"> 3/2026</t>
  </si>
  <si>
    <t xml:space="preserve">Discrepancy in Name Change Request Transaction 62279 </t>
  </si>
  <si>
    <t xml:space="preserve">Incorrect name in approval mail to application (mark instead of mack) [Updated name submitted in renewal application and same was approved]</t>
  </si>
  <si>
    <t xml:space="preserve"> 4/2026</t>
  </si>
  <si>
    <t xml:space="preserve">TX - Guardians</t>
  </si>
  <si>
    <t xml:space="preserve">Linda.Bravo@txcourts.gov</t>
  </si>
  <si>
    <t xml:space="preserve">Remove duplicate profile/merge</t>
  </si>
  <si>
    <t xml:space="preserve">User Management</t>
  </si>
  <si>
    <t xml:space="preserve"> 5/2026</t>
  </si>
  <si>
    <t xml:space="preserve">Shirley.Charm@downstate.edu</t>
  </si>
  <si>
    <t xml:space="preserve">Labs- Hemo Dialysis</t>
  </si>
  <si>
    <t xml:space="preserve">Issue in accessing Hemo Diaylsis Labs in the system [End user directly reached out, suggested to connect with state staff]</t>
  </si>
  <si>
    <t xml:space="preserve"> 6/2026</t>
  </si>
  <si>
    <t xml:space="preserve">Help</t>
  </si>
  <si>
    <t xml:space="preserve">Staff not getting email notification for paid invoice generated by him [Checking in different email id which was not configured]</t>
  </si>
  <si>
    <t xml:space="preserve"> 7/2026</t>
  </si>
  <si>
    <t xml:space="preserve">NV - Child Care Program</t>
  </si>
  <si>
    <t xml:space="preserve">Request to change credential type</t>
  </si>
  <si>
    <t xml:space="preserve"> 8/2026</t>
  </si>
  <si>
    <t xml:space="preserve">Issue with text when copying / pasting from an activity log into outlook email correspondence</t>
  </si>
  <si>
    <t xml:space="preserve">Words stung when activity logs copied and pasted in email body.</t>
  </si>
  <si>
    <t xml:space="preserve"> 9/2026</t>
  </si>
  <si>
    <t xml:space="preserve">FW: renew a CLIS license for Comprehensive Pain SBA Toms River Ambulatory Anesthesia.</t>
  </si>
  <si>
    <t xml:space="preserve">User is unable to access menu options after login [User role issue, provided required roles]</t>
  </si>
  <si>
    <t xml:space="preserve"> 10/2026</t>
  </si>
  <si>
    <t xml:space="preserve">Request to change facility type for entity 5127 </t>
  </si>
  <si>
    <t xml:space="preserve"> 11/2026</t>
  </si>
  <si>
    <t xml:space="preserve">dhulme@agri.nv.gov</t>
  </si>
  <si>
    <t xml:space="preserve">Incorrect date for inspection report number 75512 </t>
  </si>
  <si>
    <t xml:space="preserve">Request to correct inspection date updated wrongly</t>
  </si>
  <si>
    <t xml:space="preserve"> 12/2026</t>
  </si>
  <si>
    <t xml:space="preserve">Removal of inspection </t>
  </si>
  <si>
    <t xml:space="preserve">Request top delete the inspection number as another created for this.</t>
  </si>
  <si>
    <t xml:space="preserve">13/2026</t>
  </si>
  <si>
    <t xml:space="preserve">Application reversal- 11072 </t>
  </si>
  <si>
    <t xml:space="preserve">Request to change the status of mistakenly approved application</t>
  </si>
  <si>
    <t xml:space="preserve">14/2026</t>
  </si>
  <si>
    <t xml:space="preserve">FW: need assistance with payment for Pinnacle Urology-Little Silver </t>
  </si>
  <si>
    <t xml:space="preserve">15/2026</t>
  </si>
  <si>
    <t xml:space="preserve">Text Change</t>
  </si>
  <si>
    <t xml:space="preserve">Request to remove text from fingerprint page</t>
  </si>
  <si>
    <t xml:space="preserve">16/2026</t>
  </si>
  <si>
    <t xml:space="preserve">mpassalacqua@health.nv.gov</t>
  </si>
  <si>
    <t xml:space="preserve">Convert from 7730 to PLXXXXX </t>
  </si>
  <si>
    <t xml:space="preserve">Request to convert RCIS Fluoroscopy for a user</t>
  </si>
  <si>
    <t xml:space="preserve">18/2026</t>
  </si>
  <si>
    <t xml:space="preserve">Child Care Licensing - ad hoc report filter</t>
  </si>
  <si>
    <t xml:space="preserve">Request to provide Reason filter access to users for adhoc reports</t>
  </si>
  <si>
    <t xml:space="preserve">22/2026</t>
  </si>
  <si>
    <t xml:space="preserve">Convert from R00282G to PLXXXXX</t>
  </si>
  <si>
    <t xml:space="preserve">Application - licence mapping request [Incorrect licence mapped to application, suggested to withdraw and create new application. Later corrected from backend]</t>
  </si>
  <si>
    <t xml:space="preserve">23/2026</t>
  </si>
  <si>
    <t xml:space="preserve">Convert from R00281G to PLXXXXX</t>
  </si>
  <si>
    <t xml:space="preserve">24/2026</t>
  </si>
  <si>
    <t xml:space="preserve">new help ticket 1.12.26</t>
  </si>
  <si>
    <t xml:space="preserve">Unable to link 2 licences to primary blood bank [Data related issue]</t>
  </si>
  <si>
    <t xml:space="preserve">28/2026</t>
  </si>
  <si>
    <t xml:space="preserve">Sheryl.Jones@txcourts.gov</t>
  </si>
  <si>
    <t xml:space="preserve">Extra Ethics listed for Process Servers</t>
  </si>
  <si>
    <t xml:space="preserve">Ethics category showing twice for process server certification program in course details info [Data related issue]</t>
  </si>
  <si>
    <t xml:space="preserve">29/2026</t>
  </si>
  <si>
    <t xml:space="preserve">TX-Process Server</t>
  </si>
  <si>
    <t xml:space="preserve">Change to New Guardianship Registration form for individuals  </t>
  </si>
  <si>
    <t xml:space="preserve">Wants change in (CCH Form) New Guardianship registration as need to bypass doc uploads for some categories</t>
  </si>
  <si>
    <t xml:space="preserve">30/2026</t>
  </si>
  <si>
    <t xml:space="preserve">NV-SAPTA</t>
  </si>
  <si>
    <t xml:space="preserve">siandrade@health.nv.gov</t>
  </si>
  <si>
    <t xml:space="preserve">Update Provider Orientation Link  </t>
  </si>
  <si>
    <t xml:space="preserve">Request to update link for provider orientation when user log in [Client request to abandon this]</t>
  </si>
  <si>
    <t xml:space="preserve">31/2026</t>
  </si>
  <si>
    <t xml:space="preserve">adurfee@agri.nv.gov</t>
  </si>
  <si>
    <t xml:space="preserve">Credential 39812 - error </t>
  </si>
  <si>
    <t xml:space="preserve">Getting server error when trying to access credential 39812 [Data related issue]</t>
  </si>
  <si>
    <t xml:space="preserve">33/2026</t>
  </si>
  <si>
    <t xml:space="preserve">Unable to access Adhoc Reports</t>
  </si>
  <si>
    <t xml:space="preserve">Getting error "Username/password invalid" when trying to access Adhoc reports [Data related issue]</t>
  </si>
  <si>
    <t xml:space="preserve">34/2026</t>
  </si>
  <si>
    <t xml:space="preserve">Request to delete entity 03-02-20391-01 </t>
  </si>
  <si>
    <t xml:space="preserve">Request to delete the entity as machine is already registered with diff entity</t>
  </si>
  <si>
    <t xml:space="preserve">36/2026</t>
  </si>
  <si>
    <t xml:space="preserve">FW: Remove Extra License Designation from Profile - Licensee ID No. 100172</t>
  </si>
  <si>
    <t xml:space="preserve">Request to remove extra licence from user's  profile</t>
  </si>
  <si>
    <t xml:space="preserve">Licensing-Profile</t>
  </si>
  <si>
    <t xml:space="preserve">37/2026</t>
  </si>
  <si>
    <t xml:space="preserve">Request to delete Entity 20657 - Created in Duplicate</t>
  </si>
  <si>
    <t xml:space="preserve">Request to remove duplicate entity</t>
  </si>
  <si>
    <t xml:space="preserve">38/2026</t>
  </si>
  <si>
    <t xml:space="preserve">Request to delete Entity 18413 - LUX DERMATOLOGY</t>
  </si>
  <si>
    <t xml:space="preserve">39/2026</t>
  </si>
  <si>
    <t xml:space="preserve">Child Care Licensing - Ad Hoc report access</t>
  </si>
  <si>
    <t xml:space="preserve">Request for adhoc report access to a user</t>
  </si>
  <si>
    <t xml:space="preserve">41/2026</t>
  </si>
  <si>
    <t xml:space="preserve">ekunz@agri.nv.gov</t>
  </si>
  <si>
    <t xml:space="preserve">Delete Inspection</t>
  </si>
  <si>
    <t xml:space="preserve">Request to delete duplicate inspection report for a credential</t>
  </si>
  <si>
    <t xml:space="preserve">42/2026</t>
  </si>
  <si>
    <t xml:space="preserve">Child Care Licensing - amendment applications</t>
  </si>
  <si>
    <t xml:space="preserve">Wants to move amendement applications back in pending status</t>
  </si>
  <si>
    <t xml:space="preserve">43/2026</t>
  </si>
  <si>
    <t xml:space="preserve">Credential Move</t>
  </si>
  <si>
    <t xml:space="preserve">Request to move application from one credentials to another</t>
  </si>
  <si>
    <t xml:space="preserve">45/2026</t>
  </si>
  <si>
    <t xml:space="preserve">lshepard@nvha.nv.gov</t>
  </si>
  <si>
    <t xml:space="preserve">customer issue</t>
  </si>
  <si>
    <t xml:space="preserve">User has not received email for payment done [email sent, id shared]</t>
  </si>
  <si>
    <t xml:space="preserve">46/2026</t>
  </si>
  <si>
    <t xml:space="preserve">Child Care Licensing - renewal application error</t>
  </si>
  <si>
    <t xml:space="preserve">User getting error when click on renewal inspite renewal reminders already sent and licence up for renewal on march 31 [Suggested to check with correct user]</t>
  </si>
  <si>
    <t xml:space="preserve">47/2026</t>
  </si>
  <si>
    <t xml:space="preserve">Wants to change credentials type from group care to family care.</t>
  </si>
  <si>
    <t xml:space="preserve">49/2026</t>
  </si>
  <si>
    <t xml:space="preserve">thayes@agri.nv.gov</t>
  </si>
  <si>
    <t xml:space="preserve">Separate</t>
  </si>
  <si>
    <t xml:space="preserve">Wants to separate credentials types</t>
  </si>
  <si>
    <t xml:space="preserve">50/2026</t>
  </si>
  <si>
    <t xml:space="preserve">rmcclintock@health.nv.gov</t>
  </si>
  <si>
    <t xml:space="preserve">Can you assist with answers to CLiCs questions?</t>
  </si>
  <si>
    <t xml:space="preserve">Query related to risk assessment of licensing system and asking for time to connect.</t>
  </si>
  <si>
    <t xml:space="preserve">51/2026</t>
  </si>
  <si>
    <t xml:space="preserve">Cannot access the SOD/OOC page</t>
  </si>
  <si>
    <t xml:space="preserve">SOD/OOC page loading issue [Code Optimized]</t>
  </si>
  <si>
    <t xml:space="preserve">52/2026</t>
  </si>
  <si>
    <t xml:space="preserve">User login issue as password expired [Password expiry extended as client using SSO]</t>
  </si>
  <si>
    <t xml:space="preserve">53/2026</t>
  </si>
  <si>
    <t xml:space="preserve">Request to change credential type from center to family care</t>
  </si>
  <si>
    <t xml:space="preserve">54/2026</t>
  </si>
  <si>
    <t xml:space="preserve">Request to move 03-02-20658-01 to Entity 4428</t>
  </si>
  <si>
    <t xml:space="preserve">Request to close an entity and move machine to diff entity</t>
  </si>
  <si>
    <t xml:space="preserve">55/2026</t>
  </si>
  <si>
    <t xml:space="preserve">Addition to public facing side of the system</t>
  </si>
  <si>
    <t xml:space="preserve">Wants to know feasibility to add federal provider no to health facilities containing the same.</t>
  </si>
  <si>
    <t xml:space="preserve">56/2026</t>
  </si>
  <si>
    <t xml:space="preserve">Closed Laboratory allowed on lab number for Office Laboratory Assistant application </t>
  </si>
  <si>
    <t xml:space="preserve">Employee able to submit application with expired laboratory licence [Expected behaviour in case of reinstate application]</t>
  </si>
  <si>
    <t xml:space="preserve">57/2026</t>
  </si>
  <si>
    <t xml:space="preserve">Online Profile Created-May Bohon-Error on Profile type </t>
  </si>
  <si>
    <t xml:space="preserve">Request to remove an account as there is no active application in it.</t>
  </si>
  <si>
    <t xml:space="preserve">58/2026</t>
  </si>
  <si>
    <t xml:space="preserve">Help with app</t>
  </si>
  <si>
    <t xml:space="preserve">Unable to open one licence as it is taking long time [Code improvement]</t>
  </si>
  <si>
    <t xml:space="preserve">59/2026</t>
  </si>
  <si>
    <t xml:space="preserve">Restore transaction 326351</t>
  </si>
  <si>
    <t xml:space="preserve">Unable to search a transaction, wants to restore the same</t>
  </si>
  <si>
    <t xml:space="preserve">60/2026</t>
  </si>
  <si>
    <t xml:space="preserve">new help ticket 1.22.26</t>
  </si>
  <si>
    <t xml:space="preserve">User is getting invalid username/password error while accessing Adhoc reports [Data related issue]</t>
  </si>
  <si>
    <t xml:space="preserve">AdHoc Reports</t>
  </si>
  <si>
    <t xml:space="preserve">61/2026</t>
  </si>
  <si>
    <t xml:space="preserve">Unable to complete SOD/OOC search</t>
  </si>
  <si>
    <t xml:space="preserve">62/2026</t>
  </si>
  <si>
    <t xml:space="preserve">Request to change Machine Type from MQSA to Non MQSA for entity 1469</t>
  </si>
  <si>
    <t xml:space="preserve">1/27/2026 0018:00</t>
  </si>
  <si>
    <t xml:space="preserve">63/2026</t>
  </si>
  <si>
    <t xml:space="preserve">64/2026</t>
  </si>
  <si>
    <t xml:space="preserve">Profile Removal-ID 219706</t>
  </si>
  <si>
    <t xml:space="preserve">Request to remove a profile from the system as created incorrectly</t>
  </si>
  <si>
    <t xml:space="preserve">65/2026</t>
  </si>
  <si>
    <t xml:space="preserve">kking@nvha.nv.gov</t>
  </si>
  <si>
    <t xml:space="preserve">ID 152390 - Agata Sliwak</t>
  </si>
  <si>
    <t xml:space="preserve">Wants to move details from one licence Id to other as that is duplicate</t>
  </si>
  <si>
    <t xml:space="preserve">Cliient Enablement</t>
  </si>
  <si>
    <t xml:space="preserve">66/2026</t>
  </si>
  <si>
    <t xml:space="preserve">latkinson@nvha.nv.gov </t>
  </si>
  <si>
    <t xml:space="preserve">Re: Alis is down </t>
  </si>
  <si>
    <t xml:space="preserve">Application login issue</t>
  </si>
  <si>
    <t xml:space="preserve">Infra end</t>
  </si>
  <si>
    <t xml:space="preserve">67/2026</t>
  </si>
  <si>
    <t xml:space="preserve">Clics system is down</t>
  </si>
  <si>
    <t xml:space="preserve">68/2026</t>
  </si>
  <si>
    <t xml:space="preserve">Ad Hoc Reports - License tab is not working </t>
  </si>
  <si>
    <t xml:space="preserve">Adhoc licence tab not working</t>
  </si>
  <si>
    <t xml:space="preserve">Adhoc licence run time takes time</t>
  </si>
  <si>
    <t xml:space="preserve">69/2026</t>
  </si>
  <si>
    <t xml:space="preserve">bwhitten@agri.nv.gov </t>
  </si>
  <si>
    <t xml:space="preserve">Error in permitting</t>
  </si>
  <si>
    <t xml:space="preserve">70/2026</t>
  </si>
  <si>
    <t xml:space="preserve">TX-Court Interpreter</t>
  </si>
  <si>
    <t xml:space="preserve">Merge profiles KAREN MINJARES</t>
  </si>
  <si>
    <t xml:space="preserve">Request to merge licence ids</t>
  </si>
  <si>
    <t xml:space="preserve">71/2026</t>
  </si>
  <si>
    <t xml:space="preserve">Request to change Facility Type for entity 5249 from 01 to 03</t>
  </si>
  <si>
    <t xml:space="preserve">Request to change facility type</t>
  </si>
  <si>
    <t xml:space="preserve">72/2026</t>
  </si>
  <si>
    <t xml:space="preserve">Downloaded offline Inspections - Unable to view in offline mode</t>
  </si>
  <si>
    <t xml:space="preserve">Unable to see offline inspections [Status changed as per request]</t>
  </si>
  <si>
    <t xml:space="preserve">73/2026</t>
  </si>
  <si>
    <t xml:space="preserve">Child Care Licensing - Emails</t>
  </si>
  <si>
    <t xml:space="preserve">Emails are not getting received by providers [No issue found and shared email id]</t>
  </si>
  <si>
    <t xml:space="preserve">74/2026</t>
  </si>
  <si>
    <t xml:space="preserve">Request to move machines from  Entity ID: 2547 to 20648.</t>
  </si>
  <si>
    <t xml:space="preserve">Request to move machine from one entity to other</t>
  </si>
  <si>
    <t xml:space="preserve">75/2026</t>
  </si>
  <si>
    <t xml:space="preserve">CREDENTIAL # 10497 KW LEGACY RANCH</t>
  </si>
  <si>
    <t xml:space="preserve">Wants to put an application back to work queue [Guided in same]</t>
  </si>
  <si>
    <t xml:space="preserve">76/2026</t>
  </si>
  <si>
    <t xml:space="preserve">Ready for QA Release</t>
  </si>
  <si>
    <t xml:space="preserve">Robert.Rees@doh.nj.gov</t>
  </si>
  <si>
    <t xml:space="preserve">ALiS clarification needed</t>
  </si>
  <si>
    <t xml:space="preserve">Wants to know logs of end date mentioned for one of the application.</t>
  </si>
  <si>
    <t xml:space="preserve">77/2026</t>
  </si>
  <si>
    <t xml:space="preserve">Inspector getting error when downloading Inspections</t>
  </si>
  <si>
    <t xml:space="preserve">Getting error when downloading inspections</t>
  </si>
  <si>
    <t xml:space="preserve">78/2026</t>
  </si>
  <si>
    <t xml:space="preserve">NJDOH - Blood Bank Program support request </t>
  </si>
  <si>
    <t xml:space="preserve">Request to delete duplicate business entity</t>
  </si>
  <si>
    <t xml:space="preserve">79/2026</t>
  </si>
  <si>
    <t xml:space="preserve">Janie Gonzales-LIC ID# 12597 (CSR-8282)</t>
  </si>
  <si>
    <t xml:space="preserve">Request to move transaction back in work queue</t>
  </si>
  <si>
    <t xml:space="preserve">80/2026</t>
  </si>
  <si>
    <t xml:space="preserve">FW: NVHA-HCQC-NURTURING LOVE &amp; CARE HOME</t>
  </si>
  <si>
    <t xml:space="preserve">Unable to renew expired licence getting error -  you do not have any credentials up for renewal at this time [No issue, shared correct username to login]</t>
  </si>
  <si>
    <t xml:space="preserve">81/2026</t>
  </si>
  <si>
    <t xml:space="preserve">Request for Script</t>
  </si>
  <si>
    <t xml:space="preserve">Asking for query to export report from DB with some specific fields</t>
  </si>
  <si>
    <t xml:space="preserve">82/2026</t>
  </si>
  <si>
    <t xml:space="preserve">Request to Update adhoc Reports</t>
  </si>
  <si>
    <t xml:space="preserve">Request to update Adhoc reports</t>
  </si>
  <si>
    <t xml:space="preserve">83/2026</t>
  </si>
  <si>
    <t xml:space="preserve">Ad Hoc Report Access</t>
  </si>
  <si>
    <t xml:space="preserve">Adhoc report access request for a user</t>
  </si>
  <si>
    <t xml:space="preserve">84/2026</t>
  </si>
  <si>
    <t xml:space="preserve">srivera@nvha.nv.gov</t>
  </si>
  <si>
    <t xml:space="preserve">Transaction # 366591 Credential # 57890</t>
  </si>
  <si>
    <t xml:space="preserve">Payment received and receipt generated but no renewal application for the transaction [Application in pending state, guided the steps]</t>
  </si>
  <si>
    <t xml:space="preserve">85/2026</t>
  </si>
  <si>
    <t xml:space="preserve">Certification Application-Cindy Tonche ID# 13095</t>
  </si>
  <si>
    <t xml:space="preserve">Wants to move application back in work queue</t>
  </si>
  <si>
    <t xml:space="preserve">86/2026</t>
  </si>
  <si>
    <t xml:space="preserve">External User Issue Allied Digestive Health - Department of Pathology CLIS ID #49241</t>
  </si>
  <si>
    <t xml:space="preserve">User login issue, getting password expiry message</t>
  </si>
  <si>
    <t xml:space="preserve">Shivam Mittal</t>
  </si>
  <si>
    <t xml:space="preserve">87/2026</t>
  </si>
  <si>
    <t xml:space="preserve">E-Check Payment not showing up in ALiS System Entity 3380</t>
  </si>
  <si>
    <t xml:space="preserve">Payment received, invoice generated but showing in payment tab [Data related issue]</t>
  </si>
  <si>
    <t xml:space="preserve">88/2026</t>
  </si>
  <si>
    <t xml:space="preserve">Request to move machine 03-02-2547-10 to entity 20648</t>
  </si>
  <si>
    <t xml:space="preserve">89/2026</t>
  </si>
  <si>
    <t xml:space="preserve">bwhitten@agri.nv.gov</t>
  </si>
  <si>
    <t xml:space="preserve">Wrong application</t>
  </si>
  <si>
    <t xml:space="preserve">90/2026</t>
  </si>
  <si>
    <t xml:space="preserve">Profile Removal-Marianna Walls</t>
  </si>
  <si>
    <t xml:space="preserve">Request to remove duplicate profiles for a user</t>
  </si>
  <si>
    <t xml:space="preserve">91/2026</t>
  </si>
  <si>
    <t xml:space="preserve">Credential # 85695/76844</t>
  </si>
  <si>
    <t xml:space="preserve">Request to merge 2 accounts</t>
  </si>
  <si>
    <t xml:space="preserve">licensing</t>
  </si>
  <si>
    <t xml:space="preserve">92/2026</t>
  </si>
  <si>
    <t xml:space="preserve">Request to change credential type from group to family</t>
  </si>
  <si>
    <t xml:space="preserve">93/2026</t>
  </si>
  <si>
    <t xml:space="preserve">credential # 12083 pcs PASSION CARE LLC</t>
  </si>
  <si>
    <t xml:space="preserve">Provider mistakenly applied for ISO service which wants to remove before approval.</t>
  </si>
  <si>
    <t xml:space="preserve">94/2026</t>
  </si>
  <si>
    <t xml:space="preserve">Error when trying t download inspections - Shannon Mena</t>
  </si>
  <si>
    <t xml:space="preserve">Error when trying to download inspections</t>
  </si>
  <si>
    <t xml:space="preserve">95/2026</t>
  </si>
  <si>
    <t xml:space="preserve">Request to move machines from  entity 0016 to entity 20377</t>
  </si>
  <si>
    <t xml:space="preserve">96/2026</t>
  </si>
  <si>
    <t xml:space="preserve">RE: RENEWAL APPLICATION for expired License: TRANQUILITY HOSPICE; LICENSE NUMBER 11922-HPC</t>
  </si>
  <si>
    <t xml:space="preserve">Getting error when click on renew button [No issue as renewal notifocation sent, advise to retry]</t>
  </si>
  <si>
    <t xml:space="preserve">97/2026</t>
  </si>
  <si>
    <t xml:space="preserve">NJDOH - Blood Bank - User login issue</t>
  </si>
  <si>
    <t xml:space="preserve">Unable to renew licence as getting option to password reset [Data related issue]</t>
  </si>
  <si>
    <t xml:space="preserve">Usability</t>
  </si>
  <si>
    <t xml:space="preserve">98/2026</t>
  </si>
  <si>
    <t xml:space="preserve">No records in Adhoc report</t>
  </si>
  <si>
    <t xml:space="preserve">101/2026</t>
  </si>
  <si>
    <t xml:space="preserve">RE: NJDOH - Blood Bank Code#51971 - unable to print license</t>
  </si>
  <si>
    <t xml:space="preserve">User is not getting menu options on ALIS after login [User Role issue]</t>
  </si>
  <si>
    <t xml:space="preserve">102/2026</t>
  </si>
  <si>
    <t xml:space="preserve">System allowing health facilities to change / remove administrator's when application submitted for other changes</t>
  </si>
  <si>
    <t xml:space="preserve">Health facilities able to change Administrator details during renewal [It was done blank by state staff, no issue]</t>
  </si>
  <si>
    <t xml:space="preserve">103/2026</t>
  </si>
  <si>
    <t xml:space="preserve">adhoc reports not functioning (saved reports no longer have information saved)</t>
  </si>
  <si>
    <t xml:space="preserve">Saved Adhoc reports showing no data</t>
  </si>
  <si>
    <t xml:space="preserve">Report sync issue</t>
  </si>
  <si>
    <t xml:space="preserve">105/2026</t>
  </si>
  <si>
    <t xml:space="preserve">top row of tabs in ALiS not populating - cannot access several necessary items </t>
  </si>
  <si>
    <t xml:space="preserve">Staff used to have Admin level access for health facilities and now showing limited access</t>
  </si>
  <si>
    <t xml:space="preserve">Common</t>
  </si>
  <si>
    <t xml:space="preserve">106/2026</t>
  </si>
  <si>
    <t xml:space="preserve">Transaction 366913-unable to search in the work queue</t>
  </si>
  <si>
    <t xml:space="preserve">Unable to search a transaction in workqueue [Data specific issue]</t>
  </si>
  <si>
    <t xml:space="preserve">107/2026</t>
  </si>
  <si>
    <t xml:space="preserve">Update to personnel landing page  </t>
  </si>
  <si>
    <t xml:space="preserve">Request to update the landing page for medical personnel.</t>
  </si>
  <si>
    <t xml:space="preserve">108/2026</t>
  </si>
  <si>
    <t xml:space="preserve">NJDOH - Blood Bank - external user being asked for password reset  </t>
  </si>
  <si>
    <t xml:space="preserve">User is getting option to reset password when trying to login [Data specific issue]</t>
  </si>
  <si>
    <t xml:space="preserve">109/2026</t>
  </si>
  <si>
    <t xml:space="preserve">Request to put transaction #63091 Entity 20559 back into the work queue </t>
  </si>
  <si>
    <t xml:space="preserve">Request to put the application back in work queue [Shared steps for the same]</t>
  </si>
  <si>
    <t xml:space="preserve">110/2026</t>
  </si>
  <si>
    <t xml:space="preserve">FUJIFILM HEALTHCARE AMERICAS CORPORATION Entity #3497 - Unable to apply for machine termination</t>
  </si>
  <si>
    <t xml:space="preserve">Machines not visible when trying to terminate registration  [Correct Steps shared]</t>
  </si>
  <si>
    <t xml:space="preserve">111/2026</t>
  </si>
  <si>
    <t xml:space="preserve">tkaplan@dss.nv.gov</t>
  </si>
  <si>
    <t xml:space="preserve">SECURE: Child Care Licensing- Initial User Registration Error</t>
  </si>
  <si>
    <t xml:space="preserve">Error during intial registration in child care [User registered under diff licence which is closed]</t>
  </si>
  <si>
    <t xml:space="preserve">112/2026</t>
  </si>
  <si>
    <t xml:space="preserve">remove file (167210)</t>
  </si>
  <si>
    <t xml:space="preserve">Request to remove licence id with user as mistakely created</t>
  </si>
  <si>
    <t xml:space="preserve">113/2026</t>
  </si>
  <si>
    <t xml:space="preserve">Seeking Assistance-Shaw Reporting % Digital Video Services</t>
  </si>
  <si>
    <t xml:space="preserve">Unable to reinstate application as multiple accounts created for the user [Suggested to try with correct username]</t>
  </si>
  <si>
    <t xml:space="preserve">114/2026</t>
  </si>
  <si>
    <t xml:space="preserve">Convert PL00047G to PLXXXXX</t>
  </si>
  <si>
    <t xml:space="preserve">Request to convert licence type for entity</t>
  </si>
  <si>
    <t xml:space="preserve">115/2026</t>
  </si>
  <si>
    <t xml:space="preserve">Sugar Art Studio - deleting inactive credentials</t>
  </si>
  <si>
    <t xml:space="preserve">Request to delete applications as multiple created by the user.</t>
  </si>
  <si>
    <t xml:space="preserve">116/2026</t>
  </si>
  <si>
    <t xml:space="preserve">76671/77496/86136</t>
  </si>
  <si>
    <t xml:space="preserve">Request to merge accounts</t>
  </si>
  <si>
    <t xml:space="preserve">117/2026</t>
  </si>
  <si>
    <t xml:space="preserve">Removal of Credentials</t>
  </si>
  <si>
    <t xml:space="preserve">Wants to delete credentials as created mistakenly</t>
  </si>
  <si>
    <t xml:space="preserve">118/2026</t>
  </si>
  <si>
    <t xml:space="preserve">Request to change credential type from accomodation to center</t>
  </si>
  <si>
    <t xml:space="preserve">119/2026</t>
  </si>
  <si>
    <t xml:space="preserve">sue.huff@agri.nv.gov</t>
  </si>
  <si>
    <t xml:space="preserve">permit change</t>
  </si>
  <si>
    <t xml:space="preserve">Wants to change the permit type</t>
  </si>
  <si>
    <t xml:space="preserve">120/2026</t>
  </si>
  <si>
    <t xml:space="preserve">Credential change</t>
  </si>
  <si>
    <t xml:space="preserve">121/2026</t>
  </si>
  <si>
    <t xml:space="preserve">Convert from RCIS 7792 to PLXXXXX</t>
  </si>
  <si>
    <t xml:space="preserve">Request to change the licence type</t>
  </si>
  <si>
    <t xml:space="preserve">122/2026</t>
  </si>
  <si>
    <t xml:space="preserve">Credential Change</t>
  </si>
  <si>
    <t xml:space="preserve">123/2026</t>
  </si>
  <si>
    <t xml:space="preserve">new help ticket 2.19.26</t>
  </si>
  <si>
    <t xml:space="preserve">Adhoc report not showing correct inspection dates [Added new columns in report]</t>
  </si>
  <si>
    <t xml:space="preserve">124/2026</t>
  </si>
  <si>
    <t xml:space="preserve">brandi.holden@txcourts.gov</t>
  </si>
  <si>
    <t xml:space="preserve">Merge/delete request</t>
  </si>
  <si>
    <t xml:space="preserve">Request to delete/merge duplicate profiles</t>
  </si>
  <si>
    <t xml:space="preserve">125/2026</t>
  </si>
  <si>
    <t xml:space="preserve">126/2026</t>
  </si>
  <si>
    <t xml:space="preserve">FW: Token Management Service Conversion</t>
  </si>
  <si>
    <t xml:space="preserve">Mail related to cyber security tokenisation process confirmation</t>
  </si>
  <si>
    <t xml:space="preserve">128/2026</t>
  </si>
  <si>
    <t xml:space="preserve">Please put tx#375627 back in queue</t>
  </si>
  <si>
    <t xml:space="preserve">Request to move the application back in work queue</t>
  </si>
  <si>
    <t xml:space="preserve">129/2026</t>
  </si>
  <si>
    <t xml:space="preserve">NVHA-HCQC-DAVIS, SAMONE</t>
  </si>
  <si>
    <t xml:space="preserve">Unable to renew licence as getting error you don't have any credentials to renew [Configuration change required, steps shared]</t>
  </si>
  <si>
    <t xml:space="preserve">130/2026</t>
  </si>
  <si>
    <t xml:space="preserve">NV-EHS</t>
  </si>
  <si>
    <t xml:space="preserve">combine files</t>
  </si>
  <si>
    <t xml:space="preserve">Request to merge the credentials</t>
  </si>
  <si>
    <t xml:space="preserve">131/2026</t>
  </si>
  <si>
    <t xml:space="preserve">new help ticket 2.23.26</t>
  </si>
  <si>
    <t xml:space="preserve">External user getting error - you don't have this functionality when rying to access licence [Role issue]</t>
  </si>
  <si>
    <t xml:space="preserve">132/2026</t>
  </si>
  <si>
    <t xml:space="preserve">Child Care Licensing- credential type change</t>
  </si>
  <si>
    <t xml:space="preserve">Request to change credential type from family care to group care</t>
  </si>
  <si>
    <t xml:space="preserve">133/2026</t>
  </si>
  <si>
    <t xml:space="preserve">carina.garcia@txcourts.gov</t>
  </si>
  <si>
    <t xml:space="preserve">MERGE ACCOUNTS TOGETHER</t>
  </si>
  <si>
    <t xml:space="preserve">134/2026</t>
  </si>
  <si>
    <t xml:space="preserve">Change form Support Kitchen to Service Depot</t>
  </si>
  <si>
    <t xml:space="preserve">135/2026</t>
  </si>
  <si>
    <t xml:space="preserve">A.Zanini@nvha.nv.gov</t>
  </si>
  <si>
    <t xml:space="preserve">Invoice Verbiage</t>
  </si>
  <si>
    <t xml:space="preserve">Wants to change verbiage on the invoice [Guided for the same]</t>
  </si>
  <si>
    <t xml:space="preserve">136/2026</t>
  </si>
  <si>
    <t xml:space="preserve">139/2026</t>
  </si>
  <si>
    <t xml:space="preserve">Child Care Licensing - credential type change </t>
  </si>
  <si>
    <t xml:space="preserve">140/2026</t>
  </si>
  <si>
    <t xml:space="preserve">Applicant has applied in the Staging Area - Need to remove - he will be directed to the correct link to apply</t>
  </si>
  <si>
    <t xml:space="preserve">Applicant able to  create profile and application on staging environment [Applied from staging Env]</t>
  </si>
  <si>
    <t xml:space="preserve">Applied from staging Env</t>
  </si>
  <si>
    <t xml:space="preserve">141/2026</t>
  </si>
  <si>
    <t xml:space="preserve">Issues with Invoices</t>
  </si>
  <si>
    <t xml:space="preserve">Wants to remove remit to address on invoice and wants all payments through payment gateway</t>
  </si>
  <si>
    <t xml:space="preserve">142/2026</t>
  </si>
  <si>
    <t xml:space="preserve">TX-Guardians</t>
  </si>
  <si>
    <t xml:space="preserve">Merge and or remove duplicate profiles</t>
  </si>
  <si>
    <t xml:space="preserve">Request to merge duplicate profiles</t>
  </si>
  <si>
    <t xml:space="preserve">143/2026</t>
  </si>
  <si>
    <t xml:space="preserve">Error when trying to open entity 19986</t>
  </si>
  <si>
    <t xml:space="preserve">Getting error when trying to open entity</t>
  </si>
  <si>
    <t xml:space="preserve">144/2026</t>
  </si>
  <si>
    <t xml:space="preserve">the TO Line: in the activity log of a pending application in my work que</t>
  </si>
  <si>
    <t xml:space="preserve">In activity logs, when putting "to" email id then it shows multiple times in to and cc field</t>
  </si>
  <si>
    <t xml:space="preserve">145/2026</t>
  </si>
  <si>
    <t xml:space="preserve">New permit code numbers attached to accounts</t>
  </si>
  <si>
    <t xml:space="preserve">Request to setup new permit codes in the system</t>
  </si>
  <si>
    <t xml:space="preserve">146/2026</t>
  </si>
  <si>
    <t xml:space="preserve">NJDOH - Blood Bank external user password issue</t>
  </si>
  <si>
    <t xml:space="preserve">System asking for password reset from external user</t>
  </si>
  <si>
    <t xml:space="preserve">147/2026</t>
  </si>
  <si>
    <t xml:space="preserve">Request to Change County Code from 16 to 00 - Entity 20746</t>
  </si>
  <si>
    <t xml:space="preserve">Request to change the county code for entity</t>
  </si>
  <si>
    <t xml:space="preserve">148/2026</t>
  </si>
  <si>
    <t xml:space="preserve">Convert license from PL00048G</t>
  </si>
  <si>
    <t xml:space="preserve">Request to convert licence type</t>
  </si>
  <si>
    <t xml:space="preserve">149/2026</t>
  </si>
  <si>
    <t xml:space="preserve">Merge accounts - 77646/85197 Chapman</t>
  </si>
  <si>
    <t xml:space="preserve">150/2026</t>
  </si>
  <si>
    <t xml:space="preserve">Update What Do You Want to Do Menu for Corporate Fiduciaries</t>
  </si>
  <si>
    <t xml:space="preserve">Wants change on profile for corporate fiduciaries</t>
  </si>
  <si>
    <t xml:space="preserve">151/2026</t>
  </si>
  <si>
    <t xml:space="preserve">Request to move machines - Entity 19379 to 54..</t>
  </si>
  <si>
    <t xml:space="preserve">152/2026</t>
  </si>
  <si>
    <t xml:space="preserve">Links on ALiS need attention</t>
  </si>
  <si>
    <t xml:space="preserve">Wants to remove logo/links from home page for some business units</t>
  </si>
  <si>
    <t xml:space="preserve">153/2026</t>
  </si>
  <si>
    <t xml:space="preserve">Request to update adhoc reports</t>
  </si>
  <si>
    <t xml:space="preserve">154/2026</t>
  </si>
  <si>
    <t xml:space="preserve">URGENT - background column has been removed from the ownership information</t>
  </si>
  <si>
    <t xml:space="preserve">Background check column is missing from ownership information tab</t>
  </si>
  <si>
    <t xml:space="preserve">155/2026</t>
  </si>
  <si>
    <t xml:space="preserve">Getting a Server Error when trying to set the status of 16-02-17246-02 to admin term</t>
  </si>
  <si>
    <t xml:space="preserve">Getting error when trying to set the status of any entity</t>
  </si>
  <si>
    <t xml:space="preserve">156/2026</t>
  </si>
  <si>
    <t xml:space="preserve">NJDOH - Blood Bank program deletion request</t>
  </si>
  <si>
    <t xml:space="preserve">Request to remove the entity from system</t>
  </si>
  <si>
    <t xml:space="preserve">157/2026</t>
  </si>
  <si>
    <t xml:space="preserve">Request to completely remove entity 20738</t>
  </si>
  <si>
    <t xml:space="preserve">158/2026</t>
  </si>
  <si>
    <t xml:space="preserve">Issue pulling numbers from Offsite Testing Center - Licensed</t>
  </si>
  <si>
    <t xml:space="preserve">"Offsite testing numbers  - licensed" count is shwoing incorrect in report [Due to count of licenses an entity owned]</t>
  </si>
  <si>
    <t xml:space="preserve">159/2026</t>
  </si>
  <si>
    <t xml:space="preserve">Court Reporting Firm-Updating Status-LIC ID# 16941</t>
  </si>
  <si>
    <t xml:space="preserve">Unable to change certification status from expired to inactive [Certificate expired and also grace period]</t>
  </si>
  <si>
    <t xml:space="preserve">160/2026</t>
  </si>
  <si>
    <t xml:space="preserve">ProcessServers@txcourts.gov</t>
  </si>
  <si>
    <t xml:space="preserve">Profile Merge-Abel Miranda (Process Server)</t>
  </si>
  <si>
    <t xml:space="preserve">161/2026</t>
  </si>
  <si>
    <t xml:space="preserve">Inspection change</t>
  </si>
  <si>
    <t xml:space="preserve">Request to move inspection from one credential to other</t>
  </si>
  <si>
    <t xml:space="preserve">163/2026</t>
  </si>
  <si>
    <t xml:space="preserve">CLARIFICATION: New Apps per Regulatory Change Needed *Urgent Ticket*</t>
  </si>
  <si>
    <t xml:space="preserve">Wants changes in court interpreter program in application type</t>
  </si>
  <si>
    <t xml:space="preserve">164/2026</t>
  </si>
  <si>
    <t xml:space="preserve">Status Request for Tickets: 29/2026, 644/2025, and 567/2025,</t>
  </si>
  <si>
    <t xml:space="preserve">Asking for status of pending tickets</t>
  </si>
  <si>
    <t xml:space="preserve">165/2026</t>
  </si>
  <si>
    <t xml:space="preserve">ceastburg@nvha.nv.gov</t>
  </si>
  <si>
    <t xml:space="preserve">Report Capability</t>
  </si>
  <si>
    <t xml:space="preserve">Wants report for all active home health agencies with their email ids</t>
  </si>
  <si>
    <t xml:space="preserve">166/2026</t>
  </si>
  <si>
    <t xml:space="preserve">Child Care Licensing- Credential Type Change</t>
  </si>
  <si>
    <t xml:space="preserve">Request to change credential type from group care to family care</t>
  </si>
  <si>
    <t xml:space="preserve">167/2026</t>
  </si>
  <si>
    <t xml:space="preserve">Wants to change the application type for a credential</t>
  </si>
  <si>
    <t xml:space="preserve">168/2026</t>
  </si>
  <si>
    <t xml:space="preserve">latkinson@nvha.nv.gov</t>
  </si>
  <si>
    <t xml:space="preserve">Re: Mistakenly withdrew Credential - Personnel 86439</t>
  </si>
  <si>
    <t xml:space="preserve">Request to move the application  back in work queue</t>
  </si>
  <si>
    <t xml:space="preserve">169/2026</t>
  </si>
  <si>
    <t xml:space="preserve">RE: 2nd application mistakenly withdrawn - please put back - URGENT</t>
  </si>
  <si>
    <t xml:space="preserve">170/2026</t>
  </si>
  <si>
    <t xml:space="preserve">171/2026</t>
  </si>
  <si>
    <t xml:space="preserve">C.Westom@nvha.nv.gov</t>
  </si>
  <si>
    <t xml:space="preserve">Fw: Aithent Assistance to NVHA/HCQC</t>
  </si>
  <si>
    <t xml:space="preserve">Asking for read only DB access with table relationship visibility for reporting purpose.</t>
  </si>
  <si>
    <t xml:space="preserve">172/2026</t>
  </si>
  <si>
    <t xml:space="preserve">Move permit to its own account</t>
  </si>
  <si>
    <t xml:space="preserve">Request to move the permit</t>
  </si>
  <si>
    <t xml:space="preserve">173/2026</t>
  </si>
  <si>
    <t xml:space="preserve">Bypassed Payment - Nicole Dix – PL04166</t>
  </si>
  <si>
    <t xml:space="preserve">Payment bypassed for an application [No fee was configured]</t>
  </si>
  <si>
    <t xml:space="preserve">174/2026</t>
  </si>
  <si>
    <t xml:space="preserve">endpoint address for ALiS UAT</t>
  </si>
  <si>
    <t xml:space="preserve">UAT endpoint is required</t>
  </si>
  <si>
    <t xml:space="preserve">175/2026</t>
  </si>
  <si>
    <t xml:space="preserve">Add Surrender Certification form to Activity Log options As soon as possible.</t>
  </si>
  <si>
    <t xml:space="preserve">Wants to add surrender certification application for programs &amp; modification in statuses as well.</t>
  </si>
  <si>
    <t xml:space="preserve">176/2026</t>
  </si>
  <si>
    <t xml:space="preserve">Certification cards</t>
  </si>
  <si>
    <t xml:space="preserve">PG and CG certificates alignment issue [Alignment issue, corrected]</t>
  </si>
  <si>
    <t xml:space="preserve">177/2026</t>
  </si>
  <si>
    <t xml:space="preserve">Domestic Violence</t>
  </si>
  <si>
    <t xml:space="preserve">Details like date, name, license no are not visible on certificate [Data related issue]</t>
  </si>
  <si>
    <t xml:space="preserve">178/2026</t>
  </si>
  <si>
    <t xml:space="preserve">change</t>
  </si>
  <si>
    <t xml:space="preserve">Request to change credentials</t>
  </si>
  <si>
    <t xml:space="preserve">179/2026</t>
  </si>
  <si>
    <t xml:space="preserve">Error when trying to renew - Entity 17705</t>
  </si>
  <si>
    <t xml:space="preserve">User getting error when trying to renew license [Data related issue]</t>
  </si>
  <si>
    <t xml:space="preserve">180/2026</t>
  </si>
  <si>
    <t xml:space="preserve">AdHoc reports</t>
  </si>
  <si>
    <t xml:space="preserve">Adhoc licence tab not working [Report running]</t>
  </si>
  <si>
    <t xml:space="preserve">181/2026</t>
  </si>
  <si>
    <t xml:space="preserve">Delete Complaint 13277</t>
  </si>
  <si>
    <t xml:space="preserve">Request to delete the duplicate complaint</t>
  </si>
  <si>
    <t xml:space="preserve">182/2026</t>
  </si>
  <si>
    <t xml:space="preserve">Med-labs Personnel Renewals for Licensing</t>
  </si>
  <si>
    <t xml:space="preserve">Med labs personnel renewal application are going to work queue and asking for doc upload which was not earlier [Due to misconfiguration and case between affected]</t>
  </si>
  <si>
    <t xml:space="preserve">183/2026</t>
  </si>
  <si>
    <t xml:space="preserve">srivera@nvha.nv.gov </t>
  </si>
  <si>
    <t xml:space="preserve">Chrzanowski, S  </t>
  </si>
  <si>
    <t xml:space="preserve">User unable to login as getting error - You are not registered with online services.</t>
  </si>
  <si>
    <t xml:space="preserve">184/2026</t>
  </si>
  <si>
    <t xml:space="preserve">external new user with password reset issue (#49032) - NJDOH-Blood Bank </t>
  </si>
  <si>
    <t xml:space="preserve">Login issue as getting option to password reset [Due to Password expiry]</t>
  </si>
  <si>
    <t xml:space="preserve">185/2026</t>
  </si>
  <si>
    <t xml:space="preserve">r.park@agri.nv.gov</t>
  </si>
  <si>
    <t xml:space="preserve">Change of Credential Type</t>
  </si>
  <si>
    <t xml:space="preserve">186/2026</t>
  </si>
  <si>
    <t xml:space="preserve">ahniemiec@nvha.nv.gov</t>
  </si>
  <si>
    <t xml:space="preserve">Adhoc Reports Accuracy</t>
  </si>
  <si>
    <t xml:space="preserve">No data in Adhoc report [Report is running]</t>
  </si>
  <si>
    <t xml:space="preserve">187/2026</t>
  </si>
  <si>
    <t xml:space="preserve">Merge then remove duplicate profile</t>
  </si>
  <si>
    <t xml:space="preserve">188/2026</t>
  </si>
  <si>
    <t xml:space="preserve">ALiS meeting today</t>
  </si>
  <si>
    <t xml:space="preserve">Update on password reset recurring issue and asking for change in hours of operation (closed &amp; open at set time) and request for free text box in entiti information tab for internal user only.</t>
  </si>
  <si>
    <t xml:space="preserve">189/2026</t>
  </si>
  <si>
    <t xml:space="preserve">djohannessen@nvha.nv.gov </t>
  </si>
  <si>
    <t xml:space="preserve">Assistance needed with adding a new health facility type</t>
  </si>
  <si>
    <t xml:space="preserve">Needed steps  to enter new health facility type into CLICS system</t>
  </si>
  <si>
    <t xml:space="preserve">190/2026</t>
  </si>
  <si>
    <t xml:space="preserve">191/2026</t>
  </si>
  <si>
    <t xml:space="preserve">Request to consolidate entity 20781 and 20410</t>
  </si>
  <si>
    <t xml:space="preserve">Request to merge entities</t>
  </si>
  <si>
    <t xml:space="preserve">192/2026</t>
  </si>
  <si>
    <t xml:space="preserve">kkitson@agri.nv.gov</t>
  </si>
  <si>
    <t xml:space="preserve">Incorrect Credential Listed for Invoice</t>
  </si>
  <si>
    <t xml:space="preserve">Unable to update credentials on invoice</t>
  </si>
  <si>
    <t xml:space="preserve">193/2026</t>
  </si>
  <si>
    <t xml:space="preserve">mkupper@nvha.nv.gov</t>
  </si>
  <si>
    <t xml:space="preserve">Issues with ALiS</t>
  </si>
  <si>
    <t xml:space="preserve">Email not received, sent from activity logs and query related to complaint due date logic [Correctly calculated as per defined logic]</t>
  </si>
  <si>
    <t xml:space="preserve">194/2026</t>
  </si>
  <si>
    <t xml:space="preserve">FW: Print Receipt - (Action Required) Transaction 369544</t>
  </si>
  <si>
    <t xml:space="preserve">Payment receipt generated but not showing on payment page [Data Specific Issue]</t>
  </si>
  <si>
    <t xml:space="preserve">195/2026</t>
  </si>
  <si>
    <t xml:space="preserve">Request to remove entity 20798</t>
  </si>
  <si>
    <t xml:space="preserve">Request to remove the entity</t>
  </si>
  <si>
    <t xml:space="preserve">196/2026</t>
  </si>
  <si>
    <t xml:space="preserve">Entity 5329 - Unable to renew</t>
  </si>
  <si>
    <t xml:space="preserve">Unable to renew license as getting type mismatch error on payment page [Configuration suggested]</t>
  </si>
  <si>
    <t xml:space="preserve">197/2026</t>
  </si>
  <si>
    <t xml:space="preserve">meeting request</t>
  </si>
  <si>
    <t xml:space="preserve">Want to split payment for health authority and agriculture permit</t>
  </si>
  <si>
    <t xml:space="preserve">198/2026</t>
  </si>
  <si>
    <t xml:space="preserve">Child Care Licensing - application</t>
  </si>
  <si>
    <t xml:space="preserve">Wants to put the application back in work queue</t>
  </si>
  <si>
    <t xml:space="preserve">199/2026</t>
  </si>
  <si>
    <t xml:space="preserve">Child Care Licensing - Credential Type</t>
  </si>
  <si>
    <t xml:space="preserve">200/2026</t>
  </si>
  <si>
    <t xml:space="preserve">Inspection Change</t>
  </si>
  <si>
    <t xml:space="preserve">Request to move credentials for inspections</t>
  </si>
  <si>
    <t xml:space="preserve">201/2026</t>
  </si>
  <si>
    <t xml:space="preserve">Application Change</t>
  </si>
  <si>
    <t xml:space="preserve">Wants to move an application from one entity to another [Not feasible]</t>
  </si>
  <si>
    <t xml:space="preserve">202/2026</t>
  </si>
  <si>
    <t xml:space="preserve">craig@sierracounselingcenter.com</t>
  </si>
  <si>
    <t xml:space="preserve">Supervisor Renewal access</t>
  </si>
  <si>
    <t xml:space="preserve">Unable to access credentials and getting error - you don't have credentials for renewal [Correct username shared]</t>
  </si>
  <si>
    <t xml:space="preserve">203/2026</t>
  </si>
  <si>
    <t xml:space="preserve">Add Military Applicant Option to Exam Apps *Urgent Ticket*</t>
  </si>
  <si>
    <t xml:space="preserve">Wants to waive off exam fee for military applicants for court and guardian programs [Already in place]</t>
  </si>
  <si>
    <t xml:space="preserve">204/2026</t>
  </si>
  <si>
    <t xml:space="preserve">FW: Application Approved by Environmental Health Section NV DPBH: Online Transaction # 375818.</t>
  </si>
  <si>
    <t xml:space="preserve">New entity suggested by state staff but user stuck as it is asking for payment</t>
  </si>
  <si>
    <t xml:space="preserve">206/2026</t>
  </si>
  <si>
    <t xml:space="preserve">Re: Incorrect drop down box.</t>
  </si>
  <si>
    <t xml:space="preserve">Request to change the application status</t>
  </si>
  <si>
    <t xml:space="preserve">207/2026</t>
  </si>
  <si>
    <t xml:space="preserve">Silverflume Details link not working in health facility accounts</t>
  </si>
  <si>
    <t xml:space="preserve">Silverflume details link on application page showing no data found</t>
  </si>
  <si>
    <t xml:space="preserve">209/2026</t>
  </si>
  <si>
    <t xml:space="preserve">On UAT</t>
  </si>
  <si>
    <t xml:space="preserve">Request to rename field on Facility Information Page</t>
  </si>
  <si>
    <t xml:space="preserve">Request to rename field on Facility Information Page -Local License # to DBA/ Business Name and make it mandatory</t>
  </si>
  <si>
    <t xml:space="preserve">Ankit Gupta</t>
  </si>
  <si>
    <t xml:space="preserve">210/2026</t>
  </si>
  <si>
    <t xml:space="preserve">RE: MERRILL, CRAIG-DVPS</t>
  </si>
  <si>
    <t xml:space="preserve">Request to withdraw renewal application &amp; application approved without staff review.</t>
  </si>
  <si>
    <t xml:space="preserve">211/2026</t>
  </si>
  <si>
    <t xml:space="preserve">annette.arevalo@txcourts.gov</t>
  </si>
  <si>
    <t xml:space="preserve">Payment failed to post - Transaction 366924</t>
  </si>
  <si>
    <t xml:space="preserve">Request to post the payment as it is showing failed to post [Data related issue]</t>
  </si>
  <si>
    <t xml:space="preserve">212/2026</t>
  </si>
  <si>
    <t xml:space="preserve">Request to display field on Certificates</t>
  </si>
  <si>
    <t xml:space="preserve">Duplicate of 209/2026</t>
  </si>
  <si>
    <t xml:space="preserve">213/2026</t>
  </si>
  <si>
    <t xml:space="preserve">Change header of inspection reports</t>
  </si>
  <si>
    <t xml:space="preserve">Wants changes in header of inspection detail, SOD and out of compliance reports.</t>
  </si>
  <si>
    <t xml:space="preserve">214/2026</t>
  </si>
  <si>
    <t xml:space="preserve">Ad hoc report showing data till 6th Feb</t>
  </si>
  <si>
    <t xml:space="preserve">215/2026</t>
  </si>
  <si>
    <t xml:space="preserve">FW: Key Expiration Notice: 90 Days Update Notification</t>
  </si>
  <si>
    <t xml:space="preserve">Updated access key at their end wants to update the same at our end along with its expiry date</t>
  </si>
  <si>
    <t xml:space="preserve">216/2026</t>
  </si>
  <si>
    <t xml:space="preserve">Issue with Forgot Password Screen</t>
  </si>
  <si>
    <t xml:space="preserve">BU deselected when click on entity type during password reset</t>
  </si>
  <si>
    <t xml:space="preserve">217/2026</t>
  </si>
  <si>
    <t xml:space="preserve">Entity 20814 - Getting Server Error when trying to open the record.</t>
  </si>
  <si>
    <t xml:space="preserve">Unable to open entity as getting format exception [No issue observed, working as expected]</t>
  </si>
  <si>
    <t xml:space="preserve">218/2026</t>
  </si>
  <si>
    <t xml:space="preserve">Request to merge profiles</t>
  </si>
  <si>
    <t xml:space="preserve">219/2026</t>
  </si>
  <si>
    <t xml:space="preserve">Child Care Licensing - activity log history report</t>
  </si>
  <si>
    <t xml:space="preserve">Wants to know history of activity logs creation</t>
  </si>
  <si>
    <t xml:space="preserve">220/2026</t>
  </si>
  <si>
    <t xml:space="preserve">Password reset link is expiring immediately - LAWRENCE EDWARD HUNTER PL03397</t>
  </si>
  <si>
    <t xml:space="preserve">Password reset link is not working for user and getting expired immediately [Token expiry increased to 24 hours]</t>
  </si>
  <si>
    <t xml:space="preserve">221/2026</t>
  </si>
  <si>
    <r>
      <rPr>
        <sz val="11"/>
        <color theme="1"/>
        <rFont val="Aptos Narrow"/>
        <family val="2"/>
        <charset val="1"/>
      </rPr>
      <t xml:space="preserve">Request to update adhoc reports</t>
    </r>
    <r>
      <rPr>
        <b val="true"/>
        <sz val="13"/>
        <color rgb="FF243C5F"/>
        <rFont val="Calibri"/>
        <family val="0"/>
        <charset val="1"/>
      </rPr>
      <t xml:space="preserve"> </t>
    </r>
  </si>
  <si>
    <t xml:space="preserve">222/2026</t>
  </si>
  <si>
    <t xml:space="preserve">223/2026</t>
  </si>
  <si>
    <t xml:space="preserve">UAT Error</t>
  </si>
  <si>
    <t xml:space="preserve">Unable to access Adhoc reports in UAT env [Access provided to the user]</t>
  </si>
  <si>
    <t xml:space="preserve">224/2026</t>
  </si>
  <si>
    <t xml:space="preserve">Compliance Project Information for ticket #292/2025; 293/2025</t>
  </si>
  <si>
    <t xml:space="preserve">CR update on old tickets 292/2025</t>
  </si>
  <si>
    <t xml:space="preserve">225/2026</t>
  </si>
  <si>
    <t xml:space="preserve">Request to change Facility Type - Entity 20811</t>
  </si>
  <si>
    <t xml:space="preserve">226/2026</t>
  </si>
  <si>
    <t xml:space="preserve">Duplicate Profile Created under License iD: 151380</t>
  </si>
  <si>
    <t xml:space="preserve">Request to delete duplicate profile</t>
  </si>
  <si>
    <t xml:space="preserve">227/2026</t>
  </si>
  <si>
    <t xml:space="preserve">FW: exam enrollment and payment</t>
  </si>
  <si>
    <t xml:space="preserve">User unable to complete the payment when applying for interpreter licence [Payment failed so advise to retry]</t>
  </si>
  <si>
    <t xml:space="preserve">229/2026</t>
  </si>
  <si>
    <t xml:space="preserve">NV-Sapta</t>
  </si>
  <si>
    <t xml:space="preserve">New Certificate Template</t>
  </si>
  <si>
    <t xml:space="preserve">Wants change in certificate template as wants to show issue date, DBA &amp; business entity</t>
  </si>
  <si>
    <t xml:space="preserve">230/2026</t>
  </si>
  <si>
    <t xml:space="preserve">Entity 4156 - Machines 47, 48 and 50 not showing as an option under Renew </t>
  </si>
  <si>
    <t xml:space="preserve">Renewal option not available for a machine expiring on 30th April'26 [ Application already in workqueue]</t>
  </si>
  <si>
    <t xml:space="preserve">231/2026</t>
  </si>
  <si>
    <t xml:space="preserve">Request to update adhoc reports  </t>
  </si>
  <si>
    <t xml:space="preserve">232/2026</t>
  </si>
  <si>
    <t xml:space="preserve">No Access to Adhoc Reports </t>
  </si>
  <si>
    <t xml:space="preserve">Unable to access Adhoc reports as getting error username/password invalid [Data corrected]</t>
  </si>
  <si>
    <t xml:space="preserve">233/2026</t>
  </si>
  <si>
    <t xml:space="preserve">rick.windsor@txcourts.gov </t>
  </si>
  <si>
    <t xml:space="preserve">FW: Billing Issue</t>
  </si>
  <si>
    <t xml:space="preserve">Issue in making payment as it bounce back when click on submit payment [Payment failed  so asvise to check with payment vendor]</t>
  </si>
  <si>
    <t xml:space="preserve">Third party</t>
  </si>
  <si>
    <t xml:space="preserve">234/2026</t>
  </si>
  <si>
    <t xml:space="preserve">Child Care Licensing- Credential Type</t>
  </si>
  <si>
    <t xml:space="preserve">Request to change the credential type from Institution direction to center director</t>
  </si>
  <si>
    <t xml:space="preserve">235/2026</t>
  </si>
  <si>
    <t xml:space="preserve">Request to merge and delete duplicate profiles</t>
  </si>
  <si>
    <t xml:space="preserve">236/2026</t>
  </si>
  <si>
    <t xml:space="preserve">Certification card spacing</t>
  </si>
  <si>
    <t xml:space="preserve">No space between Judicial &amp; Branch on certificate</t>
  </si>
  <si>
    <t xml:space="preserve">237/2026</t>
  </si>
  <si>
    <t xml:space="preserve">Activity Log Email notifications</t>
  </si>
  <si>
    <t xml:space="preserve">Not receiving email from Activity logs</t>
  </si>
  <si>
    <t xml:space="preserve">238/2026</t>
  </si>
  <si>
    <t xml:space="preserve">Application Summaries-ACR/PCR Applications</t>
  </si>
  <si>
    <t xml:space="preserve">In application summary, mandatory documents summary showing HTML codes in provisional and apprentice certifications.</t>
  </si>
  <si>
    <t xml:space="preserve">239/2026</t>
  </si>
  <si>
    <t xml:space="preserve">FW: application fees</t>
  </si>
  <si>
    <t xml:space="preserve">Facility able to submit application without fee charged [Fee was not mapped]</t>
  </si>
  <si>
    <t xml:space="preserve">240/2026</t>
  </si>
  <si>
    <t xml:space="preserve">new help ticket 4.16.26 </t>
  </si>
  <si>
    <t xml:space="preserve">No option visible to  external user under "what do you want to do?" for newly approved lab license.</t>
  </si>
  <si>
    <t xml:space="preserve">241/2026</t>
  </si>
  <si>
    <t xml:space="preserve">Editing an Application Summary</t>
  </si>
  <si>
    <t xml:space="preserve">Wants to change answer for an question in pplication summary</t>
  </si>
  <si>
    <t xml:space="preserve">242/2026</t>
  </si>
  <si>
    <t xml:space="preserve">Change</t>
  </si>
  <si>
    <t xml:space="preserve">243/2026</t>
  </si>
  <si>
    <t xml:space="preserve">9829-GOOD SHEPHERD HOSPICE CARE INC</t>
  </si>
  <si>
    <t xml:space="preserve">Facility able to submit change of administrator for expired licensed</t>
  </si>
  <si>
    <t xml:space="preserve">244/2026</t>
  </si>
  <si>
    <t xml:space="preserve">new help ticket 4.20.26</t>
  </si>
  <si>
    <t xml:space="preserve">External user able to register online and received CLIS id and GUID as well.</t>
  </si>
  <si>
    <t xml:space="preserve">245/2026</t>
  </si>
  <si>
    <t xml:space="preserve">help ticket</t>
  </si>
  <si>
    <t xml:space="preserve">Not receiving email from Activity logs [Product limitation of domain so correct steps shared]</t>
  </si>
  <si>
    <t xml:space="preserve">246/2026</t>
  </si>
  <si>
    <t xml:space="preserve">cwalton@nvha.nv.gov</t>
  </si>
  <si>
    <t xml:space="preserve">UAT ALiS accounts</t>
  </si>
  <si>
    <t xml:space="preserve">Request to create UAT account for some users</t>
  </si>
  <si>
    <t xml:space="preserve">247/2026</t>
  </si>
  <si>
    <t xml:space="preserve">Entity 4063 unable to check attestation box, or put in signature date for inspection 34393 </t>
  </si>
  <si>
    <t xml:space="preserve">User unable to save details in POC as field is read only</t>
  </si>
  <si>
    <t xml:space="preserve">248/2026</t>
  </si>
  <si>
    <t xml:space="preserve">Request for Withdrawal reversal</t>
  </si>
  <si>
    <t xml:space="preserve">Request to reverse the mistakenly withdrawan application to work queue</t>
  </si>
  <si>
    <t xml:space="preserve">249/2026</t>
  </si>
  <si>
    <t xml:space="preserve">250/2026</t>
  </si>
  <si>
    <t xml:space="preserve">Convert from LL00106 to RXXXXXG</t>
  </si>
  <si>
    <t xml:space="preserve">Request to change licence type</t>
  </si>
  <si>
    <t xml:space="preserve">251/2026</t>
  </si>
  <si>
    <t xml:space="preserve">252/2026</t>
  </si>
  <si>
    <t xml:space="preserve">Request to move machines from entity 1586 to 20839</t>
  </si>
  <si>
    <t xml:space="preserve">253/2026</t>
  </si>
  <si>
    <t xml:space="preserve">new help ticket 4.23.26</t>
  </si>
  <si>
    <t xml:space="preserve">Getting error there is no inspection checklist when trying to modify inspection [No response selected in deficiency found questions]</t>
  </si>
  <si>
    <t xml:space="preserve">254/2026</t>
  </si>
  <si>
    <t xml:space="preserve">Inspection removal</t>
  </si>
  <si>
    <t xml:space="preserve">Request to delete the inspection</t>
  </si>
  <si>
    <t xml:space="preserve">255/2026</t>
  </si>
  <si>
    <t xml:space="preserve">Request to move machines from 4979 to 20842</t>
  </si>
  <si>
    <t xml:space="preserve">256/2026</t>
  </si>
  <si>
    <t xml:space="preserve">New help ticket 4.24.26</t>
  </si>
  <si>
    <t xml:space="preserve">Unable to access ALiS homepage</t>
  </si>
  <si>
    <t xml:space="preserve">257/2026</t>
  </si>
  <si>
    <t xml:space="preserve">new help ticket 4.27.26</t>
  </si>
  <si>
    <t xml:space="preserve">While adding new test for a lab system is not selecting parent test automatically and asking to select the same [Expected behaviour as corrected the parent child relation]</t>
  </si>
  <si>
    <t xml:space="preserve">259/2026</t>
  </si>
  <si>
    <t xml:space="preserve">Child Care Licensing - amendment application process</t>
  </si>
  <si>
    <t xml:space="preserve">Wants that user should not be able to edit fields in amendment application for CCL</t>
  </si>
  <si>
    <t xml:space="preserve">260/2026</t>
  </si>
  <si>
    <t xml:space="preserve">Paradise Valley - 39267</t>
  </si>
  <si>
    <t xml:space="preserve">261/2026</t>
  </si>
  <si>
    <t xml:space="preserve">new help ticket 4.28.26</t>
  </si>
  <si>
    <t xml:space="preserve">One of the state user unable to see any data in additional information tab while visible to other</t>
  </si>
  <si>
    <t xml:space="preserve">262/2026</t>
  </si>
  <si>
    <t xml:space="preserve">Request to move machine 03-02-1586-03 from entity 1586 to 20389</t>
  </si>
  <si>
    <t xml:space="preserve">263/2026</t>
  </si>
  <si>
    <t xml:space="preserve">Request to Update adhoc Reports </t>
  </si>
  <si>
    <t xml:space="preserve">264/2026</t>
  </si>
  <si>
    <t xml:space="preserve">Inquiry Regarding JBCC Compliance *Status &amp; Quote Required*</t>
  </si>
  <si>
    <t xml:space="preserve">265/2026</t>
  </si>
  <si>
    <t xml:space="preserve">266/2026</t>
  </si>
  <si>
    <t xml:space="preserve">Combine or move permit - EL-013-35285</t>
  </si>
  <si>
    <t xml:space="preserve">267/2026</t>
  </si>
  <si>
    <t xml:space="preserve">31384 delete</t>
  </si>
  <si>
    <t xml:space="preserve">Request to delete bduplicate profile</t>
  </si>
  <si>
    <t xml:space="preserve">268/2026</t>
  </si>
  <si>
    <t xml:space="preserve">ALiS Report</t>
  </si>
  <si>
    <t xml:space="preserve">Adhoc report facility count mismatch</t>
  </si>
  <si>
    <t xml:space="preserve">269/2026</t>
  </si>
  <si>
    <t xml:space="preserve">elipsey@nvha.nv.gov</t>
  </si>
  <si>
    <t xml:space="preserve">Help Desk Ticket - no payment collected on React apps  </t>
  </si>
  <si>
    <t xml:space="preserve">No payment collected for reactivation laboratory application</t>
  </si>
  <si>
    <t xml:space="preserve">270/2026</t>
  </si>
  <si>
    <t xml:space="preserve">quick question</t>
  </si>
  <si>
    <t xml:space="preserve">Query related to user  deletion who was part of ALiS team</t>
  </si>
  <si>
    <t xml:space="preserve">271/2026</t>
  </si>
  <si>
    <t xml:space="preserve">inspection deletion</t>
  </si>
  <si>
    <t xml:space="preserve">272/2026</t>
  </si>
  <si>
    <t xml:space="preserve">Merge/Delete request</t>
  </si>
  <si>
    <t xml:space="preserve">Request to merge and delete profiles</t>
  </si>
  <si>
    <t xml:space="preserve">273/2026</t>
  </si>
  <si>
    <t xml:space="preserve">Child Care Licensing- new application type</t>
  </si>
  <si>
    <t xml:space="preserve">Wants to add newapplication type - SUBSIDY PROVIDER APPLICATION and wants to link inspection to it [Duplicate against 285/2026]</t>
  </si>
  <si>
    <t xml:space="preserve">274/2026</t>
  </si>
  <si>
    <t xml:space="preserve">System displaying Terminated and Stored Machines as part of renewal options </t>
  </si>
  <si>
    <t xml:space="preserve">Users able to pay for terminated or stored machines and wants to stop the same [Renewal notifications generated before their status was updated to "Terminated" or "Stored" so data updated]</t>
  </si>
  <si>
    <t xml:space="preserve">275/2026</t>
  </si>
  <si>
    <t xml:space="preserve">URGENT: 2026 Texas Court Information Verification. </t>
  </si>
  <si>
    <t xml:space="preserve">End user received phishing email so wants to ensure if everything safe at our end</t>
  </si>
  <si>
    <t xml:space="preserve">276/2026</t>
  </si>
  <si>
    <t xml:space="preserve">parisstewart@health.nv.gov</t>
  </si>
  <si>
    <t xml:space="preserve">need help to reset password </t>
  </si>
  <si>
    <t xml:space="preserve">Password reset request</t>
  </si>
  <si>
    <t xml:space="preserve">277/2026</t>
  </si>
  <si>
    <t xml:space="preserve">Email notifications </t>
  </si>
  <si>
    <t xml:space="preserve">Not getting email notifications for invoices paid and application assigned</t>
  </si>
  <si>
    <t xml:space="preserve">278/2026</t>
  </si>
  <si>
    <t xml:space="preserve">Payment Receipts for JBCC Customers **CRUCIAL**</t>
  </si>
  <si>
    <t xml:space="preserve">Request to change the API calls to sync payment and pplication receipts to certificate holder</t>
  </si>
  <si>
    <t xml:space="preserve">279/2026</t>
  </si>
  <si>
    <t xml:space="preserve">Ad hoc Reports is Down Again</t>
  </si>
  <si>
    <t xml:space="preserve">License Adhoc not working [Sync is going on]</t>
  </si>
  <si>
    <t xml:space="preserve">280/2026</t>
  </si>
  <si>
    <t xml:space="preserve">Permit Type Change - 41067</t>
  </si>
  <si>
    <t xml:space="preserve">Request to change the permit type</t>
  </si>
  <si>
    <t xml:space="preserve">281/2026</t>
  </si>
  <si>
    <t xml:space="preserve">adding a new endorsement</t>
  </si>
  <si>
    <t xml:space="preserve">Getting error "endorsement code is required" while adding new endorsement [Data related issue]</t>
  </si>
  <si>
    <t xml:space="preserve">282/2026</t>
  </si>
  <si>
    <t xml:space="preserve">TX-FSC</t>
  </si>
  <si>
    <t xml:space="preserve">Leigh.Tomlin@fsc.texas.gov</t>
  </si>
  <si>
    <t xml:space="preserve">RE: Invoice Issue</t>
  </si>
  <si>
    <t xml:space="preserve">Unable to issue involice to a user and getting access related error [Duplicate licenses]</t>
  </si>
  <si>
    <t xml:space="preserve">283/2026</t>
  </si>
  <si>
    <t xml:space="preserve">Child Care Licensing- Meeting</t>
  </si>
  <si>
    <t xml:space="preserve">Ask for meeting related to new program integration with ALiS</t>
  </si>
  <si>
    <t xml:space="preserve">284/2026</t>
  </si>
  <si>
    <t xml:space="preserve">285/2026</t>
  </si>
  <si>
    <t xml:space="preserve">Re: Child Care Licensing- new application type</t>
  </si>
  <si>
    <t xml:space="preserve">Request to add new application type and want to link the same with inspection</t>
  </si>
  <si>
    <t xml:space="preserve">286/2026</t>
  </si>
  <si>
    <t xml:space="preserve">assistance needed with update</t>
  </si>
  <si>
    <t xml:space="preserve">Wants to change wordings on invoice</t>
  </si>
  <si>
    <t xml:space="preserve">288/2026</t>
  </si>
  <si>
    <t xml:space="preserve">RE: Help with fixing endorsement</t>
  </si>
  <si>
    <t xml:space="preserve">Users unable to uncheck endorsement "MEDICAL/BEDFAST EXEMPTIONS" in application. Also want that CHOW and initial application not able to apply for this endorsement [Expected behaviour]</t>
  </si>
  <si>
    <t xml:space="preserve">289/2026</t>
  </si>
  <si>
    <t xml:space="preserve">Help with applications</t>
  </si>
  <si>
    <t xml:space="preserve">Wants changes in administrator application where user able to change legal name and should be stopped</t>
  </si>
  <si>
    <t xml:space="preserve">290/2026</t>
  </si>
  <si>
    <t xml:space="preserve">Waiting On Customer</t>
  </si>
  <si>
    <t xml:space="preserve">New Application (RMA) for JBCC Military Applicants **Time Sensitive**</t>
  </si>
  <si>
    <t xml:space="preserve">Want changes in RMA applications as per new law</t>
  </si>
  <si>
    <t xml:space="preserve">291/2026</t>
  </si>
  <si>
    <t xml:space="preserve">personnel application question</t>
  </si>
  <si>
    <t xml:space="preserve">Wants to know if an application can be change from a General Supervisor to a General Supervisor of a Specialty after it has been submitted</t>
  </si>
  <si>
    <t xml:space="preserve">292/2026</t>
  </si>
  <si>
    <t xml:space="preserve">Request to move Machines from entity 3322 to entity 20863</t>
  </si>
  <si>
    <t xml:space="preserve">Request to move machine from one entity to another</t>
  </si>
  <si>
    <t xml:space="preserve">295/2026</t>
  </si>
  <si>
    <t xml:space="preserve">jrusch@nvha.nv.gov</t>
  </si>
  <si>
    <t xml:space="preserve">RE: License</t>
  </si>
  <si>
    <t xml:space="preserve">Bed numbers and type are not showing correctly for a particular license as special char showing [Template Issue]</t>
  </si>
  <si>
    <t xml:space="preserve">296/2026</t>
  </si>
  <si>
    <t xml:space="preserve">Required fields not working.</t>
  </si>
  <si>
    <t xml:space="preserve">User was able to create profile without required fields like first name, last name [Corporate Fiduciary application does not contain First Name, Last Name, Email or phone fields]</t>
  </si>
  <si>
    <t xml:space="preserve">299/2026</t>
  </si>
  <si>
    <t xml:space="preserve">RE: Online profile will not allow you to only update the</t>
  </si>
  <si>
    <t xml:space="preserve">Error message appeared that the address, city, and zip code are required showing on profile even after updating these</t>
  </si>
  <si>
    <t xml:space="preserve">300/2026</t>
  </si>
  <si>
    <t xml:space="preserve">new help ticket #1 5.19.26</t>
  </si>
  <si>
    <t xml:space="preserve">Request to add another placeholder in the automatic email notification template for New Inspection Scheduled [Duplicate of 307/2026]</t>
  </si>
  <si>
    <t xml:space="preserve">Duplicate</t>
  </si>
  <si>
    <t xml:space="preserve">301/2026</t>
  </si>
  <si>
    <t xml:space="preserve">New Help Ticket #2 5/19/26</t>
  </si>
  <si>
    <t xml:space="preserve">Want  to understand relation b/w Next inspection date and and inspection due date in inspection report</t>
  </si>
  <si>
    <t xml:space="preserve">302/2026</t>
  </si>
  <si>
    <t xml:space="preserve">Merge accounts</t>
  </si>
  <si>
    <t xml:space="preserve">303/2026</t>
  </si>
  <si>
    <t xml:space="preserve">Merge and Remove Duplicate Profiles for M. Carmiol Yalico</t>
  </si>
  <si>
    <t xml:space="preserve">Request to merge and delete duplicate license</t>
  </si>
  <si>
    <t xml:space="preserve">304/2026</t>
  </si>
  <si>
    <t xml:space="preserve">new application type created for health facilities</t>
  </si>
  <si>
    <t xml:space="preserve">Wants to know about creation of health facility application type</t>
  </si>
  <si>
    <t xml:space="preserve">305/2026</t>
  </si>
  <si>
    <t xml:space="preserve">URGENT _ FW: The Best Choice Group Home</t>
  </si>
  <si>
    <t xml:space="preserve">User able to submit change of ownership application for a closed facility which should not be allowed</t>
  </si>
  <si>
    <t xml:space="preserve">306/2026</t>
  </si>
  <si>
    <t xml:space="preserve">RE: URGENT _ FW: The Best Choice Group Home</t>
  </si>
  <si>
    <t xml:space="preserve">Further message related to 305/2026</t>
  </si>
  <si>
    <t xml:space="preserve">307/2026</t>
  </si>
  <si>
    <t xml:space="preserve">Re: new help ticket #1 5.19.26</t>
  </si>
  <si>
    <t xml:space="preserve">Request to add another placeholder in the automatic email notification template for New Inspection Scheduled [Duplicate of 300/2026]</t>
  </si>
  <si>
    <t xml:space="preserve">308/2026</t>
  </si>
  <si>
    <t xml:space="preserve">Child Care Licensing- Personnel Detail</t>
  </si>
  <si>
    <t xml:space="preserve">On entity information page, personnel information option is there which is not in use so want to know if same fields can be configured for different information</t>
  </si>
  <si>
    <t xml:space="preserve">309/2026</t>
  </si>
  <si>
    <t xml:space="preserve">Sara Chrzanowski - Licensee ID 9888</t>
  </si>
  <si>
    <t xml:space="preserve">User has a manual licence and no profile  and unable to register in ALiS [Data Specific Issue]</t>
  </si>
  <si>
    <t xml:space="preserve">User Registration</t>
  </si>
  <si>
    <t xml:space="preserve">310/2026</t>
  </si>
  <si>
    <t xml:space="preserve">Request to move 03-02-18745-09 to Entity 20838</t>
  </si>
  <si>
    <t xml:space="preserve">311/2026</t>
  </si>
  <si>
    <t xml:space="preserve">Request to change credential type from Group Care to Family Care</t>
  </si>
  <si>
    <t xml:space="preserve">312/2026</t>
  </si>
  <si>
    <t xml:space="preserve">FW: Additional profiles created for applicants</t>
  </si>
  <si>
    <t xml:space="preserve">Request to merge duplicate license</t>
  </si>
  <si>
    <t xml:space="preserve">313/2026</t>
  </si>
  <si>
    <t xml:space="preserve">Request to change credential type from center to Group Care</t>
  </si>
  <si>
    <t xml:space="preserve">314/2026</t>
  </si>
  <si>
    <t xml:space="preserve">Elizabeth Greer Credential #86834</t>
  </si>
  <si>
    <t xml:space="preserve">Request to remove the license</t>
  </si>
  <si>
    <t xml:space="preserve">315/2026</t>
  </si>
  <si>
    <t xml:space="preserve">Remove and or merge- duplicate profile</t>
  </si>
  <si>
    <t xml:space="preserve">Request to merge and delete duplicate profile</t>
  </si>
  <si>
    <t xml:space="preserve">316/2026</t>
  </si>
  <si>
    <t xml:space="preserve">FW: Payment Needed</t>
  </si>
  <si>
    <t xml:space="preserve">User unable to process payment</t>
  </si>
  <si>
    <t xml:space="preserve">317/2026</t>
  </si>
  <si>
    <t xml:space="preserve">FW: Action Required: Secure Acceptance Callback / Postback Endpoint Changes</t>
  </si>
  <si>
    <t xml:space="preserve">Query related to cybersource endpoint change if any update is required at our end.</t>
  </si>
  <si>
    <t xml:space="preserve">318/2026</t>
  </si>
  <si>
    <t xml:space="preserve">Fee charge glitch</t>
  </si>
  <si>
    <t xml:space="preserve">Users not charged full fee in some applications. Wants to stop the same in future.</t>
  </si>
  <si>
    <t xml:space="preserve">319/2026</t>
  </si>
  <si>
    <t xml:space="preserve">Annaeli Rivas - Lab license</t>
  </si>
  <si>
    <t xml:space="preserve">321/2026</t>
  </si>
  <si>
    <t xml:space="preserve">Countries in ALiS and Licensee Lists</t>
  </si>
  <si>
    <t xml:space="preserve">Wants Licensee's country in report so that able to get interpreter list country wise.</t>
  </si>
  <si>
    <t xml:space="preserve">322/2026</t>
  </si>
  <si>
    <t xml:space="preserve">Request to Update AdHoc Reports</t>
  </si>
  <si>
    <t xml:space="preserve">Request to update adhoc report</t>
  </si>
  <si>
    <t xml:space="preserve">323/2026</t>
  </si>
  <si>
    <t xml:space="preserve">FW: NVHA-HCQC-F.A.M. HEALING CENTER LLC IN PAHRUMP </t>
  </si>
  <si>
    <t xml:space="preserve">User whose Domestic Violence Provider of Treatment license expired, unable to reinstate or aapply for new license and getting error as "you already have expired provider" (Expiry related, steps shared)</t>
  </si>
  <si>
    <t xml:space="preserve">324/2026</t>
  </si>
  <si>
    <t xml:space="preserve">Remove and or merge- duplicate profile </t>
  </si>
  <si>
    <t xml:space="preserve">326/2026</t>
  </si>
  <si>
    <t xml:space="preserve">Getting Error on document upload</t>
  </si>
  <si>
    <t xml:space="preserve">Getting error "Request entitiy too large" while uploading doc in mandatory document [Doc size issue]</t>
  </si>
  <si>
    <t xml:space="preserve">327/2026</t>
  </si>
  <si>
    <t xml:space="preserve"> FW: Inspection Stuck Offline: 16-02-13471</t>
  </si>
  <si>
    <t xml:space="preserve">Inspection stuck offline so unable to send findings on violations</t>
  </si>
  <si>
    <t xml:space="preserve">328/2026</t>
  </si>
  <si>
    <t xml:space="preserve">FW: VISTA STAFFING SOLUTIONS, INC #11928 </t>
  </si>
  <si>
    <t xml:space="preserve">Provide able to submit payment for never issues license and want that closed/expired/never issued/revoked/suspended etc licenses should not be accesible.</t>
  </si>
  <si>
    <t xml:space="preserve">329/2026</t>
  </si>
  <si>
    <t xml:space="preserve">NJ-HMB</t>
  </si>
  <si>
    <t xml:space="preserve">paolo.ata@doh.nj.gov </t>
  </si>
  <si>
    <t xml:space="preserve">Human Milk Bank - Online Application instead of Paper Application </t>
  </si>
  <si>
    <t xml:space="preserve">Request to change application status so that facility can edit the application [Duplicate against 337/2026]</t>
  </si>
  <si>
    <t xml:space="preserve">330/2026</t>
  </si>
  <si>
    <t xml:space="preserve">Applying Payment - Entity 16037 </t>
  </si>
  <si>
    <t xml:space="preserve">User mistekenly applied for new license instead of renewal and pais for the same. Wants to know if payment can be transferred to renewed one.</t>
  </si>
  <si>
    <t xml:space="preserve">331/2026</t>
  </si>
  <si>
    <t xml:space="preserve">Another Appy Payment question - Entity 18168  </t>
  </si>
  <si>
    <t xml:space="preserve">332/2026</t>
  </si>
  <si>
    <t xml:space="preserve">Restore transaction #</t>
  </si>
  <si>
    <t xml:space="preserve">Request to restore the transaction</t>
  </si>
  <si>
    <t xml:space="preserve">333/2026</t>
  </si>
  <si>
    <t xml:space="preserve">Incorrect application - convert from PL00051G to PLXXXXX</t>
  </si>
  <si>
    <t xml:space="preserve">334/2026</t>
  </si>
  <si>
    <t xml:space="preserve">Convert from PL00050G to PLXXXXX - incorrect application</t>
  </si>
  <si>
    <t xml:space="preserve">335/2026</t>
  </si>
  <si>
    <t xml:space="preserve">Multi‑User Editing Conflicts in System</t>
  </si>
  <si>
    <t xml:space="preserve">When multiple users working on modify inspection then updates are getting saved for one user only or over written. Need to save datails filled by multile users. Also, wants to know if it is possible to show user who is editing the inspection.</t>
  </si>
  <si>
    <t xml:space="preserve">336/2026</t>
  </si>
  <si>
    <t xml:space="preserve">Ellen Kunz - access - account locked , Help! :)</t>
  </si>
  <si>
    <t xml:space="preserve">User login issue as showing account locked</t>
  </si>
  <si>
    <t xml:space="preserve">Administrator</t>
  </si>
  <si>
    <t xml:space="preserve">337/2026</t>
  </si>
  <si>
    <t xml:space="preserve">RE: Human Milk Bank - Online Application instead of Paper Application</t>
  </si>
  <si>
    <t xml:space="preserve">Request to change application status so that facility can edit the application [Suggested to withdraw the application but option not visible at client's end]</t>
  </si>
  <si>
    <t xml:space="preserve">339/2026</t>
  </si>
  <si>
    <t xml:space="preserve">Renewal notification not delivered to the recipient and getting returned</t>
  </si>
  <si>
    <t xml:space="preserve">340/2026</t>
  </si>
  <si>
    <t xml:space="preserve">Delete document in 40808 and 40874</t>
  </si>
  <si>
    <t xml:space="preserve">Request to delete the documents under equipment specification</t>
  </si>
  <si>
    <t xml:space="preserve">341/2026</t>
  </si>
  <si>
    <t xml:space="preserve">Fireline Brew - 39900</t>
  </si>
  <si>
    <t xml:space="preserve">342/2026</t>
  </si>
  <si>
    <t xml:space="preserve">Request for instructions on how to add application types.</t>
  </si>
  <si>
    <t xml:space="preserve">Wants to know how to add application types</t>
  </si>
  <si>
    <t xml:space="preserve">343/2026</t>
  </si>
  <si>
    <t xml:space="preserve">new help ticket 6.8.26</t>
  </si>
  <si>
    <t xml:space="preserve">Specialities are not in alphabetical order on license print as it used to be</t>
  </si>
  <si>
    <t xml:space="preserve">344/2026</t>
  </si>
  <si>
    <t xml:space="preserve">Ad hoc reports</t>
  </si>
  <si>
    <t xml:space="preserve">Wants to know if it is possible to have email for primary contact permanent in Ad hoc report</t>
  </si>
  <si>
    <t xml:space="preserve">Adhoc Report</t>
  </si>
  <si>
    <t xml:space="preserve">345/2026</t>
  </si>
  <si>
    <t xml:space="preserve">Incorrect application</t>
  </si>
  <si>
    <t xml:space="preserve">346/2026</t>
  </si>
  <si>
    <t xml:space="preserve">Permit does not show as renew option to user</t>
  </si>
  <si>
    <t xml:space="preserve">User unable to renew license and getting error - "no permits are eligible for renewal" when trying to renew [Grace perion of 180 days expired]</t>
  </si>
  <si>
    <t xml:space="preserve">347/2026</t>
  </si>
  <si>
    <t xml:space="preserve">Snips of 2 Medlab Personnel</t>
  </si>
  <si>
    <t xml:space="preserve">User able to reinstate expired license however he should be able to apply for new license (No issue found, working as expected)</t>
  </si>
  <si>
    <t xml:space="preserve">348/2026</t>
  </si>
  <si>
    <t xml:space="preserve">IN HOME PERSONAL SERVICES- 10997</t>
  </si>
  <si>
    <t xml:space="preserve">For one of the Change of Corporate Personnel Application "Is current owner" is selected as No even then name is displaying on lisence</t>
  </si>
  <si>
    <t xml:space="preserve">Template</t>
  </si>
  <si>
    <t xml:space="preserve">350/2026</t>
  </si>
  <si>
    <t xml:space="preserve">Applicant Needing to apply under 2 business units</t>
  </si>
  <si>
    <t xml:space="preserve">One of the user has licence in a BU and state staff assigned other BU to the user and wants to know if user can apply for second license under new business unit.</t>
  </si>
  <si>
    <t xml:space="preserve">351/2026</t>
  </si>
  <si>
    <t xml:space="preserve">Registration transaction 354095 for Kamie Narcisse Thomas </t>
  </si>
  <si>
    <t xml:space="preserve">Unable to search a transaction in work queue as it keeps on loading</t>
  </si>
  <si>
    <t xml:space="preserve">352/2026</t>
  </si>
  <si>
    <t xml:space="preserve">Renewal Application Stuck in Work Queue Even after Approval </t>
  </si>
  <si>
    <t xml:space="preserve">Appliction stuck in work queue as showing correct expiry date in profile section (credential info)</t>
  </si>
  <si>
    <t xml:space="preserve">353/2026</t>
  </si>
  <si>
    <t xml:space="preserve">NV-HCQC</t>
  </si>
  <si>
    <t xml:space="preserve">CLICS database connection  </t>
  </si>
  <si>
    <t xml:space="preserve">Unable to access CLIS database and getting login failed error [Correction done in DB]</t>
  </si>
  <si>
    <t xml:space="preserve">354/2026</t>
  </si>
  <si>
    <t xml:space="preserve">RE: Email Notification Edit Needed</t>
  </si>
  <si>
    <t xml:space="preserve">Want to edit mail content but email template not available in dropdown menu</t>
  </si>
  <si>
    <t xml:space="preserve">355/2026</t>
  </si>
  <si>
    <t xml:space="preserve">merge/delete request</t>
  </si>
  <si>
    <t xml:space="preserve">356/2026</t>
  </si>
  <si>
    <t xml:space="preserve">paolo.ata@doh.nj.gov</t>
  </si>
  <si>
    <t xml:space="preserve">Human Milk Bank - Modify Application Withdraw status</t>
  </si>
  <si>
    <t xml:space="preserve">Request to access to modify applications</t>
  </si>
  <si>
    <t xml:space="preserve">358/2026</t>
  </si>
  <si>
    <t xml:space="preserve">Human Milk Bank - Work Queue Issue</t>
  </si>
  <si>
    <t xml:space="preserve">Unable to locate applications, should be in work queue</t>
  </si>
  <si>
    <t xml:space="preserve">359/2026</t>
  </si>
  <si>
    <t xml:space="preserve">NJDOH Business Unit - Embryo Storage Facility - Work Queue Issue</t>
  </si>
  <si>
    <t xml:space="preserve">Embryo storage facility BU is not showing any facility in work queue search</t>
  </si>
  <si>
    <t xml:space="preserve">360/2026</t>
  </si>
  <si>
    <t xml:space="preserve">CAZARES-GARCIA, ALICIA </t>
  </si>
  <si>
    <t xml:space="preserve">362/2026</t>
  </si>
  <si>
    <t xml:space="preserve">FW: Human Milk Bank - Application: Initial Registration and Accreditation</t>
  </si>
  <si>
    <t xml:space="preserve">Option to withdraw is not available in workqueue &gt; review &gt; application status</t>
  </si>
  <si>
    <t xml:space="preserve">363/2026</t>
  </si>
  <si>
    <t xml:space="preserve">nermine.khalil@doh.nj.gov</t>
  </si>
  <si>
    <t xml:space="preserve">ALIS Production - Correction Needed for L-ESF License #00011</t>
  </si>
  <si>
    <t xml:space="preserve">Mistakenly created a facility in production by assuming to be on UAT and want to remove it.</t>
  </si>
  <si>
    <t xml:space="preserve">364/2026</t>
  </si>
  <si>
    <t xml:space="preserve">FW: Food safety Cert</t>
  </si>
  <si>
    <t xml:space="preserve">User is not getting option to renew license [Guided with steps]</t>
  </si>
  <si>
    <t xml:space="preserve">365/2026</t>
  </si>
  <si>
    <t xml:space="preserve">alexis.klenk@doh.nj.gov</t>
  </si>
  <si>
    <t xml:space="preserve">Request to Delete Documents Incorrectly Uploaded to Embryo Storage Facility Entities</t>
  </si>
  <si>
    <t xml:space="preserve">Request to delete documents that are mistakenly uploaded in wrong facility in embryo</t>
  </si>
  <si>
    <t xml:space="preserve">366/2026</t>
  </si>
  <si>
    <t xml:space="preserve">FW: Adding endorsement to the Vegas Place 11994-AGC-0 </t>
  </si>
  <si>
    <t xml:space="preserve">Unable to create new endorsement application as error  comes up - "Application already in progress" but there wa no pending application.</t>
  </si>
  <si>
    <t xml:space="preserve">367/2026</t>
  </si>
  <si>
    <t xml:space="preserve">Convert license type for LL00107</t>
  </si>
  <si>
    <t xml:space="preserve">Request to convert the application type</t>
  </si>
  <si>
    <t xml:space="preserve">368/2026</t>
  </si>
  <si>
    <t xml:space="preserve">PLEASE RESTORE TRANSACTION #328677</t>
  </si>
  <si>
    <t xml:space="preserve">369/2026</t>
  </si>
  <si>
    <t xml:space="preserve">4240 Login issues</t>
  </si>
  <si>
    <t xml:space="preserve">User is unable to login RAM account after credential change and later confirmed the resolution.</t>
  </si>
  <si>
    <t xml:space="preserve">370/2026</t>
  </si>
  <si>
    <t xml:space="preserve">Request to change the credential type from institution to center</t>
  </si>
  <si>
    <t xml:space="preserve">371/2026</t>
  </si>
  <si>
    <t xml:space="preserve">Request to Update adhoc reports</t>
  </si>
  <si>
    <t xml:space="preserve">372/2026</t>
  </si>
  <si>
    <t xml:space="preserve">Request to move machines from 1821 to 20982</t>
  </si>
  <si>
    <t xml:space="preserve">Request to move machine from entity to other</t>
  </si>
  <si>
    <t xml:space="preserve">374/2026</t>
  </si>
  <si>
    <t xml:space="preserve">In Code Review</t>
  </si>
  <si>
    <t xml:space="preserve">cap on bed limit for CBLA</t>
  </si>
  <si>
    <t xml:space="preserve">Wants to restrict residential CBLA facility for bed change to max 6</t>
  </si>
  <si>
    <t xml:space="preserve">375/2026</t>
  </si>
  <si>
    <t xml:space="preserve">delete accounts</t>
  </si>
  <si>
    <t xml:space="preserve">Request to delete duplicate licenses</t>
  </si>
  <si>
    <t xml:space="preserve">376/2026</t>
  </si>
  <si>
    <t xml:space="preserve">377/2026</t>
  </si>
  <si>
    <t xml:space="preserve">HHA was able to apply for CHOW</t>
  </si>
  <si>
    <t xml:space="preserve">HHA was able to apply for a change of ownership (CHOW) when that facility type has been removed that can apply for a CHOW</t>
  </si>
  <si>
    <t xml:space="preserve">378/2026</t>
  </si>
  <si>
    <t xml:space="preserve">Convert from LL00108 to RCIS Fluoroscopy</t>
  </si>
  <si>
    <t xml:space="preserve">Request to convert the license type</t>
  </si>
  <si>
    <t xml:space="preserve">379/2026</t>
  </si>
  <si>
    <t xml:space="preserve">split accounts</t>
  </si>
  <si>
    <t xml:space="preserve">Request to split the accounts</t>
  </si>
  <si>
    <t xml:space="preserve">380/2026</t>
  </si>
  <si>
    <t xml:space="preserve">Tags not shown in ALiS</t>
  </si>
  <si>
    <t xml:space="preserve">Tags no visble under “Statement of Deficiency/Out of Compliance" </t>
  </si>
  <si>
    <t xml:space="preserve">381/2026</t>
  </si>
  <si>
    <t xml:space="preserve">Vista Staffing Solutions Inc</t>
  </si>
  <si>
    <t xml:space="preserve">Wants to reopen an account that was never issued.</t>
  </si>
  <si>
    <t xml:space="preserve">382/2026</t>
  </si>
  <si>
    <t xml:space="preserve">Colleen.Davis@doh.nj.gov </t>
  </si>
  <si>
    <t xml:space="preserve">GUID request for new state user - NJDOH Blood Bank</t>
  </si>
  <si>
    <t xml:space="preserve">New user created and asking for GUID for the same</t>
  </si>
  <si>
    <t xml:space="preserve">383/2026</t>
  </si>
  <si>
    <t xml:space="preserve">application status reversal? </t>
  </si>
  <si>
    <t xml:space="preserve">Wants to  move application status from denied back to pending (or under review)</t>
  </si>
  <si>
    <t xml:space="preserve">384/2026</t>
  </si>
  <si>
    <t xml:space="preserve">ALiS Adhoc Report tab</t>
  </si>
  <si>
    <t xml:space="preserve">Request to know how to give Adhoc report access to a user [Access provided]</t>
  </si>
  <si>
    <t xml:space="preserve">385/2026</t>
  </si>
  <si>
    <t xml:space="preserve">Move inspection</t>
  </si>
  <si>
    <t xml:space="preserve">Request to move inspection from one license to other</t>
  </si>
  <si>
    <t xml:space="preserve">386/2026</t>
  </si>
  <si>
    <t xml:space="preserve">387/2026</t>
  </si>
  <si>
    <t xml:space="preserve">Transaction wont load in work queue</t>
  </si>
  <si>
    <t xml:space="preserve">Transaction keeps loading and not visible in work queue</t>
  </si>
  <si>
    <t xml:space="preserve">388/2026</t>
  </si>
  <si>
    <t xml:space="preserve">JesseWellman@nvha.nv.gov</t>
  </si>
  <si>
    <t xml:space="preserve">Regarding query for either Laboratories or Laboratory Staff </t>
  </si>
  <si>
    <t xml:space="preserve">Clarification related to SQL query shared earlier.</t>
  </si>
  <si>
    <t xml:space="preserve">389/2026</t>
  </si>
  <si>
    <t xml:space="preserve">390/2026</t>
  </si>
  <si>
    <t xml:space="preserve">Background Check Information Page correction</t>
  </si>
  <si>
    <t xml:space="preserve">Wants to remove "Work Category" field from background check information page</t>
  </si>
  <si>
    <t xml:space="preserve">391/2026</t>
  </si>
  <si>
    <t xml:space="preserve">FW: Adding endorsement to the Vegas Place 11994-AGC-0</t>
  </si>
  <si>
    <t xml:space="preserve">Unable to create new endorsement application as error  comes up - "Application already in progress" but there was no pending application.</t>
  </si>
  <si>
    <t xml:space="preserve">392/2026</t>
  </si>
  <si>
    <t xml:space="preserve">FW: Boulder City Hospital conversion from CAH with distinct part (CMS) to REH and separate licensed SNF</t>
  </si>
  <si>
    <t xml:space="preserve">User is not getting cash in payment option and only getting card and cheque.</t>
  </si>
  <si>
    <t xml:space="preserve">393/2026</t>
  </si>
  <si>
    <t xml:space="preserve">ALIS-FEES</t>
  </si>
  <si>
    <t xml:space="preserve">Unable to update fees in ALiS as it is not saving the details</t>
  </si>
  <si>
    <t xml:space="preserve">394/2026</t>
  </si>
  <si>
    <t xml:space="preserve">Request for script - Tracking Approved Machines by Staff</t>
  </si>
  <si>
    <t xml:space="preserve">Request for script to track no of RPM machines</t>
  </si>
  <si>
    <t xml:space="preserve">395/2026</t>
  </si>
  <si>
    <t xml:space="preserve">396/2026</t>
  </si>
  <si>
    <t xml:space="preserve">oboothe@nvha.nv.gov</t>
  </si>
  <si>
    <t xml:space="preserve">ALIS- Work Queue</t>
  </si>
  <si>
    <t xml:space="preserve">Unable to create activity logs despite the required role</t>
  </si>
  <si>
    <t xml:space="preserve">397/2026</t>
  </si>
  <si>
    <t xml:space="preserve">Registration Notice and Pending Applications</t>
  </si>
  <si>
    <t xml:space="preserve">Entity paid for renewal  but license expired before approval so want to know it is part of the workflow [Expected behaviour]</t>
  </si>
  <si>
    <t xml:space="preserve">398/2026</t>
  </si>
  <si>
    <t xml:space="preserve">kelvin.rodriguez@nvha.nv.gov</t>
  </si>
  <si>
    <t xml:space="preserve">Assistance Needed Accessing Lab 3267</t>
  </si>
  <si>
    <t xml:space="preserve">Unable to access a lab and getting error - xml exception [Data Specific Issue]</t>
  </si>
  <si>
    <t xml:space="preserve">Data Specific</t>
  </si>
  <si>
    <t xml:space="preserve">401/2026</t>
  </si>
  <si>
    <t xml:space="preserve">Merge/and or Remove Duplicate profiles. </t>
  </si>
  <si>
    <t xml:space="preserve">402/2026</t>
  </si>
  <si>
    <t xml:space="preserve">Errors in AdHoc Reporting</t>
  </si>
  <si>
    <t xml:space="preserve">License adhoc report is not showing correct data as showing no of seats as 0 instead of 12 for a particular entity</t>
  </si>
  <si>
    <t xml:space="preserve">403/2026</t>
  </si>
  <si>
    <t xml:space="preserve">404/2026</t>
  </si>
  <si>
    <t xml:space="preserve">FW: This message was incorrectly sent from the wrong email address. Please respond to this address</t>
  </si>
  <si>
    <t xml:space="preserve">User unable to submit initial application as nothing happen after click on submit button</t>
  </si>
  <si>
    <t xml:space="preserve">405/2026</t>
  </si>
  <si>
    <t xml:space="preserve">ID: 155745 -</t>
  </si>
  <si>
    <t xml:space="preserve">Request to delete the duplicate profile</t>
  </si>
  <si>
    <t xml:space="preserve">406/2026</t>
  </si>
  <si>
    <t xml:space="preserve">Replacing all Certificate Templates with RCP Branded Templates</t>
  </si>
  <si>
    <t xml:space="preserve">Wants to update all certificates with RCP branded template</t>
  </si>
  <si>
    <t xml:space="preserve">407/2026</t>
  </si>
  <si>
    <t xml:space="preserve">Adding endorsement to the Vegas Place 11994-AGC-0</t>
  </si>
  <si>
    <t xml:space="preserve">Duplicate against 391/2026</t>
  </si>
  <si>
    <t xml:space="preserve">408/2026</t>
  </si>
  <si>
    <t xml:space="preserve">Request to Set Up Template &amp; assign Lic. number for newly created RCIS FLUOROSCOPY - PROFESSIONAL LICENSE</t>
  </si>
  <si>
    <t xml:space="preserve">New credential type created and wants to set up template and license number format for the same.</t>
  </si>
  <si>
    <t xml:space="preserve">409/2026</t>
  </si>
  <si>
    <t xml:space="preserve">remove items</t>
  </si>
  <si>
    <t xml:space="preserve">Request to remove items from plan review action as mentioned mistakenly</t>
  </si>
  <si>
    <t xml:space="preserve">410/2026</t>
  </si>
  <si>
    <t xml:space="preserve">FW: Troy Curnutt Consulting 03-12-20637-01 RAM Request for credential number change to 00-16-20637-01</t>
  </si>
  <si>
    <t xml:space="preserve">Request to change the credential number</t>
  </si>
  <si>
    <t xml:space="preserve">411/2026</t>
  </si>
  <si>
    <t xml:space="preserve">Request to change the credential type from Institution to Family Care</t>
  </si>
  <si>
    <t xml:space="preserve">412/2026</t>
  </si>
  <si>
    <t xml:space="preserve">k.devine@health.nv.gov</t>
  </si>
  <si>
    <t xml:space="preserve">Access to Ad hoc Reports needed!</t>
  </si>
  <si>
    <t xml:space="preserve">Want adhoc report access as unable to acess the same</t>
  </si>
  <si>
    <t xml:space="preserve">413/2026</t>
  </si>
  <si>
    <t xml:space="preserve">carina.garcia@txcourts.gov </t>
  </si>
  <si>
    <t xml:space="preserve">MERGE REQUEST</t>
  </si>
  <si>
    <t xml:space="preserve">414/2026</t>
  </si>
  <si>
    <t xml:space="preserve">Email issue: Serenity Living at Mountain's Edge [10764-AGC-3] </t>
  </si>
  <si>
    <t xml:space="preserve">User not received SOD completion email</t>
  </si>
  <si>
    <t xml:space="preserve">415/2026</t>
  </si>
  <si>
    <t xml:space="preserve">RE: Merge/and or Remove Duplicate profiles.</t>
  </si>
  <si>
    <t xml:space="preserve">416/2026</t>
  </si>
  <si>
    <t xml:space="preserve">Delete 80172 inspection #</t>
  </si>
  <si>
    <t xml:space="preserve">Request to delete inspection</t>
  </si>
  <si>
    <t xml:space="preserve">417/2026</t>
  </si>
  <si>
    <t xml:space="preserve">Request to move machines from entity 0044 to entity 20836</t>
  </si>
  <si>
    <t xml:space="preserve">418/2026</t>
  </si>
  <si>
    <t xml:space="preserve">Unable to connect to NVRCPReadnlyDB </t>
  </si>
  <si>
    <t xml:space="preserve">Getting error while connecting NVRCP read only db</t>
  </si>
  <si>
    <t xml:space="preserve">419/2026</t>
  </si>
  <si>
    <t xml:space="preserve">Generating Report from AdHoc Reports </t>
  </si>
  <si>
    <t xml:space="preserve">Request to generate Adhoc report with specific fields</t>
  </si>
  <si>
    <t xml:space="preserve">420/2026</t>
  </si>
  <si>
    <t xml:space="preserve">Child Care Licensing- Website</t>
  </si>
  <si>
    <t xml:space="preserve">Request to update link on childcare homepage</t>
  </si>
  <si>
    <t xml:space="preserve">421/2026</t>
  </si>
  <si>
    <t xml:space="preserve">Changing Physical Address</t>
  </si>
  <si>
    <t xml:space="preserve">Wants to know how registrant able to change physocal address multiple times</t>
  </si>
  <si>
    <t xml:space="preserve">422/2026</t>
  </si>
  <si>
    <t xml:space="preserve">Add dropdown option</t>
  </si>
  <si>
    <t xml:space="preserve">Request to add new application status "Expired" in the dropdown</t>
  </si>
</sst>
</file>

<file path=xl/styles.xml><?xml version="1.0" encoding="utf-8"?>
<styleSheet xmlns="http://schemas.openxmlformats.org/spreadsheetml/2006/main">
  <numFmts count="12">
    <numFmt numFmtId="164" formatCode="General"/>
    <numFmt numFmtId="165" formatCode="[h]:mm:ss"/>
    <numFmt numFmtId="166" formatCode="0.00"/>
    <numFmt numFmtId="167" formatCode="h:mm\ AM/PM"/>
    <numFmt numFmtId="168" formatCode="m/d/yyyy"/>
    <numFmt numFmtId="169" formatCode="h:mm:ss"/>
    <numFmt numFmtId="170" formatCode="0"/>
    <numFmt numFmtId="171" formatCode="[$-F400]h:mm:ss\ AM/PM"/>
    <numFmt numFmtId="172" formatCode="m/d/yyyy\ h:mm"/>
    <numFmt numFmtId="173" formatCode="h:mm"/>
    <numFmt numFmtId="174" formatCode="mmm\-yy"/>
    <numFmt numFmtId="175" formatCode="d\-mmm"/>
  </numFmts>
  <fonts count="8">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sz val="10"/>
      <color theme="1"/>
      <name val="Arial"/>
      <family val="0"/>
      <charset val="1"/>
    </font>
    <font>
      <sz val="11"/>
      <color rgb="FF000000"/>
      <name val="Aptos Narrow"/>
      <family val="0"/>
      <charset val="1"/>
    </font>
    <font>
      <b val="true"/>
      <sz val="13"/>
      <color rgb="FF243C5F"/>
      <name val="Calibri"/>
      <family val="0"/>
      <charset val="1"/>
    </font>
  </fonts>
  <fills count="4">
    <fill>
      <patternFill patternType="none"/>
    </fill>
    <fill>
      <patternFill patternType="gray125"/>
    </fill>
    <fill>
      <patternFill patternType="solid">
        <fgColor theme="0" tint="-0.25"/>
        <bgColor rgb="FFCCCCFF"/>
      </patternFill>
    </fill>
    <fill>
      <patternFill patternType="solid">
        <fgColor theme="0"/>
        <bgColor rgb="FFFFFFCC"/>
      </patternFill>
    </fill>
  </fills>
  <borders count="15">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style="thin"/>
      <diagonal/>
    </border>
    <border diagonalUp="false" diagonalDown="false">
      <left/>
      <right/>
      <top style="thin"/>
      <bottom style="thin"/>
      <diagonal/>
    </border>
    <border diagonalUp="false" diagonalDown="false">
      <left/>
      <right style="thin"/>
      <top/>
      <bottom/>
      <diagonal/>
    </border>
    <border diagonalUp="false" diagonalDown="false">
      <left style="thin"/>
      <right/>
      <top/>
      <bottom/>
      <diagonal/>
    </border>
    <border diagonalUp="false" diagonalDown="false">
      <left style="thin"/>
      <right/>
      <top/>
      <bottom style="thin"/>
      <diagonal/>
    </border>
    <border diagonalUp="false" diagonalDown="false">
      <left style="thin"/>
      <right/>
      <top style="thin"/>
      <bottom/>
      <diagonal/>
    </border>
    <border diagonalUp="false" diagonalDown="false">
      <left/>
      <right/>
      <top style="thin"/>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7"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6"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center" vertical="center"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74" fontId="5" fillId="0" borderId="2" xfId="0" applyFont="true" applyBorder="true" applyAlignment="false" applyProtection="false">
      <alignment horizontal="general" vertical="bottom" textRotation="0" wrapText="false" indent="0" shrinkToFit="false"/>
      <protection locked="true" hidden="false"/>
    </xf>
    <xf numFmtId="168" fontId="5" fillId="0" borderId="2" xfId="0" applyFont="true" applyBorder="true" applyAlignment="false" applyProtection="false">
      <alignment horizontal="general" vertical="bottom" textRotation="0" wrapText="false" indent="0" shrinkToFit="false"/>
      <protection locked="true" hidden="false"/>
    </xf>
    <xf numFmtId="169"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8" fontId="5" fillId="0" borderId="5" xfId="0" applyFont="true" applyBorder="true" applyAlignment="false" applyProtection="false">
      <alignment horizontal="general" vertical="bottom" textRotation="0" wrapText="false" indent="0" shrinkToFit="false"/>
      <protection locked="true" hidden="false"/>
    </xf>
    <xf numFmtId="169" fontId="0" fillId="0" borderId="5"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8" fontId="0" fillId="0" borderId="4" xfId="0" applyFont="false" applyBorder="true" applyAlignment="false" applyProtection="false">
      <alignment horizontal="general" vertical="bottom" textRotation="0" wrapText="false" indent="0" shrinkToFit="false"/>
      <protection locked="true" hidden="false"/>
    </xf>
    <xf numFmtId="164" fontId="0" fillId="0" borderId="7" xfId="0" applyFont="true" applyBorder="true" applyAlignment="false" applyProtection="false">
      <alignment horizontal="general" vertical="bottom" textRotation="0" wrapText="false" indent="0" shrinkToFit="false"/>
      <protection locked="true" hidden="false"/>
    </xf>
    <xf numFmtId="168" fontId="0" fillId="0" borderId="7" xfId="0" applyFont="false" applyBorder="true" applyAlignment="false" applyProtection="false">
      <alignment horizontal="general" vertical="bottom" textRotation="0" wrapText="false" indent="0" shrinkToFit="false"/>
      <protection locked="true" hidden="false"/>
    </xf>
    <xf numFmtId="169" fontId="0" fillId="0" borderId="7"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8" fontId="0" fillId="0" borderId="2" xfId="0" applyFont="false" applyBorder="true" applyAlignment="false" applyProtection="false">
      <alignment horizontal="general" vertical="bottom" textRotation="0" wrapText="false" indent="0" shrinkToFit="false"/>
      <protection locked="true" hidden="false"/>
    </xf>
    <xf numFmtId="170" fontId="0" fillId="0" borderId="2" xfId="0" applyFont="false" applyBorder="true" applyAlignment="false" applyProtection="false">
      <alignment horizontal="general" vertical="bottom" textRotation="0" wrapText="fals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9" fontId="0" fillId="0" borderId="4" xfId="0" applyFont="false" applyBorder="true" applyAlignment="false" applyProtection="false">
      <alignment horizontal="general" vertical="bottom" textRotation="0" wrapText="false" indent="0" shrinkToFit="false"/>
      <protection locked="true" hidden="false"/>
    </xf>
    <xf numFmtId="168" fontId="0" fillId="0" borderId="5" xfId="0" applyFont="fals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13" xfId="0" applyFont="false" applyBorder="true" applyAlignment="false" applyProtection="false">
      <alignment horizontal="general" vertical="bottom" textRotation="0" wrapText="false" indent="0" shrinkToFit="false"/>
      <protection locked="true" hidden="false"/>
    </xf>
    <xf numFmtId="168" fontId="0" fillId="0" borderId="3"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14"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75" fontId="0" fillId="0" borderId="1"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orner" xfId="20"/>
    <cellStyle name="Pivot Table Value" xfId="21"/>
    <cellStyle name="Pivot Table Field" xfId="22"/>
    <cellStyle name="Pivot Table Category" xfId="23"/>
    <cellStyle name="Pivot Table Title" xfId="24"/>
    <cellStyle name="Pivot Table Result" xfId="25"/>
  </cellStyles>
  <dxfs count="7">
    <dxf>
      <fill>
        <patternFill patternType="solid">
          <fgColor rgb="FFBFBFBF"/>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C7CE"/>
          <bgColor rgb="FF000000"/>
        </patternFill>
      </fill>
    </dxf>
    <dxf>
      <fill>
        <patternFill patternType="solid">
          <fgColor rgb="FF9C0006"/>
          <bgColor rgb="FF00000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3C5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G6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4" activePane="bottomLeft" state="frozen"/>
      <selection pane="topLeft" activeCell="A1" activeCellId="0" sqref="A1"/>
      <selection pane="bottomLeft" activeCell="A1" activeCellId="0" sqref="1:1"/>
    </sheetView>
  </sheetViews>
  <sheetFormatPr defaultColWidth="8.53125" defaultRowHeight="15" customHeight="false" zeroHeight="false" outlineLevelRow="0" outlineLevelCol="0"/>
  <cols>
    <col collapsed="false" customWidth="true" hidden="false" outlineLevel="0" max="1" min="1" style="1" width="10.42"/>
    <col collapsed="false" customWidth="true" hidden="false" outlineLevel="0" max="2" min="2" style="1" width="12.42"/>
    <col collapsed="false" customWidth="true" hidden="false" outlineLevel="0" max="3" min="3" style="1" width="12.57"/>
    <col collapsed="false" customWidth="true" hidden="false" outlineLevel="0" max="4" min="4" style="1" width="7.72"/>
    <col collapsed="false" customWidth="true" hidden="false" outlineLevel="0" max="5" min="5" style="1" width="7.14"/>
    <col collapsed="false" customWidth="true" hidden="false" outlineLevel="0" max="6" min="6" style="1" width="17.14"/>
    <col collapsed="false" customWidth="true" hidden="false" outlineLevel="0" max="7" min="7" style="1" width="8.28"/>
    <col collapsed="false" customWidth="true" hidden="false" outlineLevel="0" max="8" min="8" style="1" width="15.28"/>
    <col collapsed="false" customWidth="true" hidden="false" outlineLevel="0" max="9" min="9" style="1" width="17.28"/>
    <col collapsed="false" customWidth="true" hidden="false" outlineLevel="0" max="10" min="10" style="1" width="10.28"/>
    <col collapsed="false" customWidth="true" hidden="false" outlineLevel="0" max="11" min="11" style="1" width="13.28"/>
    <col collapsed="false" customWidth="true" hidden="false" outlineLevel="0" max="12" min="12" style="1" width="15.71"/>
    <col collapsed="false" customWidth="true" hidden="false" outlineLevel="0" max="13" min="13" style="1" width="41"/>
    <col collapsed="false" customWidth="true" hidden="false" outlineLevel="0" max="16" min="14" style="1" width="13.85"/>
    <col collapsed="false" customWidth="true" hidden="false" outlineLevel="0" max="17" min="17" style="1" width="17.72"/>
    <col collapsed="false" customWidth="true" hidden="false" outlineLevel="0" max="19" min="18" style="1" width="13.13"/>
    <col collapsed="false" customWidth="true" hidden="false" outlineLevel="0" max="21" min="20" style="1" width="15.57"/>
    <col collapsed="false" customWidth="true" hidden="false" outlineLevel="0" max="22" min="22" style="1" width="18"/>
    <col collapsed="false" customWidth="true" hidden="false" outlineLevel="0" max="23" min="23" style="1" width="13.57"/>
    <col collapsed="false" customWidth="true" hidden="false" outlineLevel="0" max="24" min="24" style="1" width="13.13"/>
    <col collapsed="false" customWidth="true" hidden="false" outlineLevel="0" max="25" min="25" style="1" width="11.57"/>
    <col collapsed="false" customWidth="true" hidden="false" outlineLevel="0" max="26" min="26" style="1" width="17.42"/>
    <col collapsed="false" customWidth="true" hidden="false" outlineLevel="0" max="27" min="27" style="1" width="10.86"/>
    <col collapsed="false" customWidth="true" hidden="false" outlineLevel="0" max="28" min="28" style="2" width="14.29"/>
    <col collapsed="false" customWidth="true" hidden="false" outlineLevel="0" max="29" min="29" style="3" width="23.85"/>
    <col collapsed="false" customWidth="true" hidden="false" outlineLevel="0" max="30" min="30" style="4" width="26.85"/>
    <col collapsed="false" customWidth="true" hidden="false" outlineLevel="0" max="31" min="31" style="1" width="14.14"/>
    <col collapsed="false" customWidth="true" hidden="false" outlineLevel="0" max="33" min="32" style="4" width="23.29"/>
    <col collapsed="false" customWidth="true" hidden="false" outlineLevel="0" max="34" min="34" style="4" width="18.42"/>
    <col collapsed="false" customWidth="true" hidden="false" outlineLevel="0" max="35" min="35" style="4" width="23.29"/>
    <col collapsed="false" customWidth="true" hidden="false" outlineLevel="0" max="36" min="36" style="1" width="17.57"/>
    <col collapsed="false" customWidth="true" hidden="false" outlineLevel="0" max="41" min="37" style="1" width="9.14"/>
    <col collapsed="false" customWidth="true" hidden="false" outlineLevel="0" max="43" min="42" style="0" width="13.42"/>
    <col collapsed="false" customWidth="true" hidden="false" outlineLevel="0" max="45" min="45" style="0" width="15.28"/>
    <col collapsed="false" customWidth="true" hidden="false" outlineLevel="0" max="46" min="46" style="0" width="17.57"/>
    <col collapsed="false" customWidth="true" hidden="false" outlineLevel="0" max="47" min="47" style="0" width="15.71"/>
    <col collapsed="false" customWidth="true" hidden="false" outlineLevel="0" max="48" min="48" style="0" width="20"/>
    <col collapsed="false" customWidth="true" hidden="false" outlineLevel="0" max="49" min="49" style="0" width="10.42"/>
    <col collapsed="false" customWidth="true" hidden="false" outlineLevel="0" max="50" min="50" style="0" width="12.57"/>
    <col collapsed="false" customWidth="true" hidden="false" outlineLevel="0" max="51" min="51" style="0" width="17.28"/>
    <col collapsed="false" customWidth="true" hidden="false" outlineLevel="0" max="54" min="54" style="0" width="9.85"/>
    <col collapsed="false" customWidth="true" hidden="false" outlineLevel="0" max="16384" min="16384" style="0" width="13.48"/>
  </cols>
  <sheetData>
    <row r="1" customFormat="false" ht="15" hidden="false" customHeight="false" outlineLevel="0" collapsed="false">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20</v>
      </c>
      <c r="AC1" s="7" t="s">
        <v>27</v>
      </c>
      <c r="AD1" s="7" t="s">
        <v>28</v>
      </c>
      <c r="AE1" s="7" t="s">
        <v>29</v>
      </c>
      <c r="AF1" s="8" t="s">
        <v>30</v>
      </c>
      <c r="AG1" s="8" t="s">
        <v>31</v>
      </c>
      <c r="AH1" s="8" t="s">
        <v>32</v>
      </c>
      <c r="AI1" s="8" t="s">
        <v>33</v>
      </c>
      <c r="AJ1" s="9" t="s">
        <v>34</v>
      </c>
      <c r="AK1" s="9" t="s">
        <v>35</v>
      </c>
      <c r="AL1" s="9" t="s">
        <v>36</v>
      </c>
      <c r="AM1" s="9" t="s">
        <v>37</v>
      </c>
      <c r="AN1" s="9" t="s">
        <v>38</v>
      </c>
      <c r="AO1" s="9" t="s">
        <v>39</v>
      </c>
      <c r="AP1" s="10" t="s">
        <v>40</v>
      </c>
      <c r="AQ1" s="10" t="s">
        <v>41</v>
      </c>
      <c r="AR1" s="10" t="s">
        <v>42</v>
      </c>
      <c r="AS1" s="10" t="s">
        <v>43</v>
      </c>
      <c r="AT1" s="10" t="s">
        <v>44</v>
      </c>
      <c r="AU1" s="10" t="s">
        <v>45</v>
      </c>
      <c r="AV1" s="10" t="s">
        <v>46</v>
      </c>
      <c r="AW1" s="10" t="s">
        <v>47</v>
      </c>
      <c r="AX1" s="10" t="s">
        <v>48</v>
      </c>
      <c r="AY1" s="10" t="s">
        <v>49</v>
      </c>
      <c r="AZ1" s="10" t="s">
        <v>50</v>
      </c>
      <c r="BA1" s="10" t="s">
        <v>51</v>
      </c>
      <c r="BB1" s="10" t="s">
        <v>52</v>
      </c>
      <c r="BC1" s="10" t="s">
        <v>53</v>
      </c>
      <c r="BD1" s="10"/>
      <c r="BE1" s="10"/>
      <c r="BF1" s="10"/>
      <c r="BG1" s="10"/>
    </row>
    <row r="2" customFormat="false" ht="15" hidden="false" customHeight="false" outlineLevel="0" collapsed="false">
      <c r="A2" s="1" t="s">
        <v>54</v>
      </c>
      <c r="B2" s="11" t="n">
        <v>45993</v>
      </c>
      <c r="C2" s="12" t="n">
        <v>0.0145833333333333</v>
      </c>
      <c r="D2" s="13" t="str">
        <f aca="false">IF(B2="","",TEXT(B2,"MMM")&amp;"'"&amp;TEXT(B2,"yy"))</f>
        <v>Dec'25</v>
      </c>
      <c r="E2" s="1" t="s">
        <v>55</v>
      </c>
      <c r="F2" s="1" t="s">
        <v>39</v>
      </c>
      <c r="G2" s="1" t="str">
        <f aca="false">IF(F2="Closed","Closed","Pending")</f>
        <v>Closed</v>
      </c>
      <c r="H2" s="1" t="s">
        <v>56</v>
      </c>
      <c r="I2" s="1" t="s">
        <v>57</v>
      </c>
      <c r="J2" s="1" t="s">
        <v>58</v>
      </c>
      <c r="K2" s="1" t="s">
        <v>59</v>
      </c>
      <c r="L2" s="1" t="s">
        <v>60</v>
      </c>
      <c r="M2" s="1" t="s">
        <v>61</v>
      </c>
      <c r="N2" s="1" t="s">
        <v>62</v>
      </c>
      <c r="O2" s="1" t="s">
        <v>63</v>
      </c>
      <c r="P2" s="1" t="s">
        <v>64</v>
      </c>
      <c r="Q2" s="1" t="s">
        <v>65</v>
      </c>
      <c r="R2" s="1" t="s">
        <v>66</v>
      </c>
      <c r="U2" s="12" t="n">
        <v>0.0194444444444444</v>
      </c>
      <c r="V2" s="11" t="n">
        <v>45993</v>
      </c>
      <c r="W2" s="12" t="n">
        <v>0.942361111111111</v>
      </c>
      <c r="X2" s="11" t="n">
        <v>45997</v>
      </c>
      <c r="Y2" s="12" t="n">
        <v>0.0319444444444444</v>
      </c>
      <c r="Z2" s="1" t="s">
        <v>67</v>
      </c>
      <c r="AA2" s="1" t="s">
        <v>68</v>
      </c>
      <c r="AB2" s="2" t="n">
        <f aca="false">U2-C2</f>
        <v>0.00486111111111111</v>
      </c>
      <c r="AC2" s="14" t="str">
        <f aca="false">TEXT(((V2+W2)-(B2+C2)),"hh:mm")</f>
        <v>22:16</v>
      </c>
      <c r="AD2" s="15" t="str">
        <f aca="false">INT((V2+W2)-(B2+C2)) &amp; ":" &amp;
TEXT(HOUR((V2+W2)-(B2+C2)), "00") &amp; ":" &amp;
TEXT(MINUTE((V2+W2)-(B2+C2)), "00")</f>
        <v>0:22:16</v>
      </c>
      <c r="AE2" s="1" t="n">
        <f aca="false">IFERROR(
LEFT(AD2,FIND(":",AD2)-1)
+ MID(AD2,FIND(":",AD2)+1,2)/24
+ RIGHT(AD2,2)/1440,
"")</f>
        <v>0.927777777777778</v>
      </c>
      <c r="AF2" s="4" t="str">
        <f aca="false">INT((X2+Y2)-(B2+C2)) &amp; ":" &amp;
TEXT(HOUR((X2+Y2)-(B2+C2)), "00") &amp; ":" &amp;
TEXT(MINUTE((X2+Y2)-(B2+C2)), "00")</f>
        <v>4:00:25</v>
      </c>
      <c r="AG2" s="4" t="str">
        <f aca="false" t="array" ref="AG2:AG2">INT(_xlfn.XLOOKUP(J2,{"Low","Medium","High","Urgent"},{48,24,12,8})/24) &amp; ":" &amp;
TEXT(MOD(_xlfn.XLOOKUP(J2,{"Low","Medium","High","Urgent"},{48,24,12,8}),24)/24,"hh:mm")</f>
        <v>1:00:00</v>
      </c>
      <c r="AH2" s="4" t="str">
        <f aca="false">IF(AD2&gt;AG2,"Not Met","Met")</f>
        <v>Met</v>
      </c>
      <c r="AI2" s="4" t="str">
        <f aca="false">IF(AB2&lt;TIME(0,30,0),"Met","Not Met")</f>
        <v>Met</v>
      </c>
      <c r="AN2" s="1" t="str">
        <f aca="false">TEXT(B2,"dd")</f>
        <v>02</v>
      </c>
      <c r="AO2" s="1" t="str">
        <f aca="false">TEXT(X2,"dd")</f>
        <v>06</v>
      </c>
      <c r="AP2" s="16" t="str">
        <f aca="false">INT(
  NETWORKDAYS(B2,V2)-1
  + IF(WEEKDAY(V2,2)&lt;6,MOD(V2+W2,1),0)
  - IF(WEEKDAY(B2,2)&lt;6,MOD(B2+C2,1),0)
)
&amp; ":" &amp;
TEXT(HOUR(
  NETWORKDAYS(B2,V2)-1
  + IF(WEEKDAY(V2,2)&lt;6,MOD(V2+W2,1),0)
  - IF(WEEKDAY(B2,2)&lt;6,MOD(B2+C2,1),0)
),"00")
&amp; ":" &amp;
TEXT(MINUTE(
  NETWORKDAYS(B2,V2)-1
  + IF(WEEKDAY(V2,2)&lt;6,MOD(V2+W2,1),0)
  - IF(WEEKDAY(B2,2)&lt;6,MOD(B2+C2,1),0)
),"00")</f>
        <v>0:22:16</v>
      </c>
      <c r="AQ2" s="0" t="n">
        <f aca="false">IFERROR(
LEFT(AP2,FIND(":",AP2)-1)
+ MID(AP2,FIND(":",AP2)+1,2)/24
+ RIGHT(AP2,2)/1440,
"")</f>
        <v>0.927777777777778</v>
      </c>
      <c r="AR2" s="0" t="n">
        <f aca="false">WEEKNUM(B2,1)</f>
        <v>49</v>
      </c>
      <c r="AS2" s="17" t="n">
        <f aca="false">IF(B2&gt;0, (B2+C2)-TIME(13,30,0), "")</f>
        <v>45992.4520833333</v>
      </c>
      <c r="AT2" s="18" t="n">
        <f aca="false">IF(B2&gt;0, (B2+C2)-TIME(13,30,0), "")</f>
        <v>45992.4520833333</v>
      </c>
      <c r="AU2" s="17" t="n">
        <f aca="false">IF(V2&gt;0, (V2+W2)-TIME(13,30,0), "")</f>
        <v>45993.3798611111</v>
      </c>
      <c r="AV2" s="18" t="n">
        <f aca="false">IF(V2&gt;0, (V2+W2)-TIME(13,30,0), "")</f>
        <v>45993.3798611111</v>
      </c>
      <c r="AW2" s="19" t="n">
        <f aca="false">24*(
MAX(0,
IF(NETWORKDAYS(AS2,AU2)=1,
MIN(MOD(AV2,1),TIME(17,30,0)) - MAX(MOD(AT2,1),TIME(8,30,0)),
(TIME(17,30,0)-MAX(MOD(AT2,1),TIME(8,30,0)))
+ (MIN(MOD(AV2,1),TIME(17,30,0))-TIME(8,30,0))
+ (NETWORKDAYS(AS2,AU2)-2)*9/24
)
)
)</f>
        <v>7.26666666666667</v>
      </c>
      <c r="AX2" s="19" t="n">
        <f aca="false">24*(
MAX(0,
IF(NETWORKDAYS(AS2,AU2)=1,
MIN(MOD(AV2,1),TIME(17,30,0)) - MAX(MOD(AT2,1),TIME(8,30,0)),
(TIME(17,30,0)-MAX(MOD(AT2,1),TIME(8,30,0)))
+ (MIN(MOD(AV2,1),TIME(17,30,0))-TIME(8,30,0))
+ (NETWORKDAYS(AS2,AU2)-2)* (TIME(17,30,0)-TIME(8,30,0))
)
)
)</f>
        <v>7.26666666666667</v>
      </c>
      <c r="AY2" s="20" t="n">
        <f aca="false">ROUND(
IF(AS2=AU2,
MAX(0,
(MIN(MOD(AV2,1),TIME(17,30,0))-
MAX(MOD(AT2,1),TIME(8,30,0)))*24
),
(
(MAX(0,TIME(17,30,0)-MAX(MOD(AT2,1),TIME(8,30,0)))*24)
+
(MAX(0,MIN(MOD(AV2,1),TIME(17,30,0))-TIME(8,30,0))*24)
+
(MAX(0,NETWORKDAYS(AS2+1,AU2-1))*9)
)
),
2)</f>
        <v>7.27</v>
      </c>
      <c r="AZ2" s="0" t="n">
        <f aca="false" t="array" ref="AZ2:AZ2">_xlfn.XLOOKUP(J2,{"Low","Medium","High"},{270,72,24})</f>
        <v>72</v>
      </c>
      <c r="BA2" s="0" t="str">
        <f aca="false">IF(AW2&gt;AZ2,"Not Met","Met")</f>
        <v>Met</v>
      </c>
      <c r="BB2" s="21" t="str">
        <f aca="false">IF(AS2="","",TEXT(AS2,"MMM")&amp;"'"&amp;TEXT(AS2,"yy"))</f>
        <v>Dec'25</v>
      </c>
      <c r="BC2" s="0" t="str">
        <f aca="false">IF(AU2="","",TEXT(AU2,"MMM")&amp;"'"&amp;TEXT(AU2,"yy"))</f>
        <v>Dec'25</v>
      </c>
      <c r="BF2" s="0" t="s">
        <v>69</v>
      </c>
      <c r="BG2" s="0" t="s">
        <v>70</v>
      </c>
    </row>
    <row r="3" customFormat="false" ht="15" hidden="false" customHeight="true" outlineLevel="0" collapsed="false">
      <c r="A3" s="1" t="s">
        <v>71</v>
      </c>
      <c r="B3" s="11" t="n">
        <v>45993</v>
      </c>
      <c r="C3" s="12" t="n">
        <v>0.11875</v>
      </c>
      <c r="D3" s="13" t="str">
        <f aca="false">IF(B3="","",TEXT(B3,"MMM")&amp;"'"&amp;TEXT(B3,"yy"))</f>
        <v>Dec'25</v>
      </c>
      <c r="E3" s="1" t="s">
        <v>55</v>
      </c>
      <c r="F3" s="1" t="s">
        <v>39</v>
      </c>
      <c r="G3" s="1" t="str">
        <f aca="false">IF(F3="Closed","Closed","Pending")</f>
        <v>Closed</v>
      </c>
      <c r="H3" s="1" t="s">
        <v>72</v>
      </c>
      <c r="I3" s="1" t="s">
        <v>73</v>
      </c>
      <c r="J3" s="1" t="s">
        <v>74</v>
      </c>
      <c r="K3" s="1" t="s">
        <v>59</v>
      </c>
      <c r="L3" s="1" t="s">
        <v>75</v>
      </c>
      <c r="M3" s="1" t="s">
        <v>76</v>
      </c>
      <c r="N3" s="1" t="s">
        <v>62</v>
      </c>
      <c r="O3" s="1" t="s">
        <v>77</v>
      </c>
      <c r="P3" s="1" t="s">
        <v>78</v>
      </c>
      <c r="Q3" s="1" t="s">
        <v>65</v>
      </c>
      <c r="R3" s="1" t="s">
        <v>79</v>
      </c>
      <c r="U3" s="12" t="n">
        <v>0.129166666666667</v>
      </c>
      <c r="V3" s="11" t="n">
        <v>46008</v>
      </c>
      <c r="W3" s="12" t="n">
        <v>0.945833333333333</v>
      </c>
      <c r="X3" s="11" t="n">
        <v>46009</v>
      </c>
      <c r="Y3" s="12" t="n">
        <v>0.00277777777777778</v>
      </c>
      <c r="Z3" s="1" t="s">
        <v>67</v>
      </c>
      <c r="AA3" s="1" t="s">
        <v>68</v>
      </c>
      <c r="AB3" s="2" t="n">
        <f aca="false">U3-C3</f>
        <v>0.0104166666666667</v>
      </c>
      <c r="AC3" s="14" t="str">
        <f aca="false">TEXT(((V3+W3)-(B3+C3)),"hh:mm")</f>
        <v>19:51</v>
      </c>
      <c r="AD3" s="4" t="str">
        <f aca="false">INT((V3+W3)-(B3+C3)) &amp; ":" &amp;
TEXT(HOUR((V3+W3)-(B3+C3)), "00") &amp; ":" &amp;
TEXT(MINUTE((V3+W3)-(B3+C3)), "00")</f>
        <v>15:19:51</v>
      </c>
      <c r="AE3" s="1" t="n">
        <f aca="false">IFERROR(
LEFT(AD3,FIND(":",AD3)-1)
+ MID(AD3,FIND(":",AD3)+1,2)/24
+ RIGHT(AD3,2)/1440,
"")</f>
        <v>15.8270833333333</v>
      </c>
      <c r="AF3" s="4" t="str">
        <f aca="false">INT((X3+Y3)-(B3+C3)) &amp; ":" &amp;
TEXT(HOUR((X3+Y3)-(B3+C3)), "00") &amp; ":" &amp;
TEXT(MINUTE((X3+Y3)-(B3+C3)), "00")</f>
        <v>15:21:13</v>
      </c>
      <c r="AG3" s="4" t="str">
        <f aca="false" t="array" ref="AG3:AG3">INT(_xlfn.XLOOKUP(J3,{"Low","Medium","High","Urgent"},{48,24,12,8})/24) &amp; ":" &amp;
TEXT(MOD(_xlfn.XLOOKUP(J3,{"Low","Medium","High","Urgent"},{48,24,12,8}),24)/24,"hh:mm")</f>
        <v>2:00:00</v>
      </c>
      <c r="AH3" s="4" t="str">
        <f aca="false">IF(AD3&gt;AG3,"Not Met","Met")</f>
        <v>Met</v>
      </c>
      <c r="AI3" s="4" t="str">
        <f aca="false">IF(AB3&lt;TIME(0,30,0),"Met","Not Met")</f>
        <v>Met</v>
      </c>
      <c r="AN3" s="1" t="str">
        <f aca="false">TEXT(B3,"dd")</f>
        <v>02</v>
      </c>
      <c r="AO3" s="1" t="str">
        <f aca="false">TEXT(X3,"dd")</f>
        <v>18</v>
      </c>
      <c r="AP3" s="16" t="str">
        <f aca="false">INT(
  NETWORKDAYS(B3,V3)-1
  + IF(WEEKDAY(V3,2)&lt;6,MOD(V3+W3,1),0)
  - IF(WEEKDAY(B3,2)&lt;6,MOD(B3+C3,1),0)
)
&amp; ":" &amp;
TEXT(HOUR(
  NETWORKDAYS(B3,V3)-1
  + IF(WEEKDAY(V3,2)&lt;6,MOD(V3+W3,1),0)
  - IF(WEEKDAY(B3,2)&lt;6,MOD(B3+C3,1),0)
),"00")
&amp; ":" &amp;
TEXT(MINUTE(
  NETWORKDAYS(B3,V3)-1
  + IF(WEEKDAY(V3,2)&lt;6,MOD(V3+W3,1),0)
  - IF(WEEKDAY(B3,2)&lt;6,MOD(B3+C3,1),0)
),"00")</f>
        <v>11:19:50</v>
      </c>
      <c r="AQ3" s="0" t="n">
        <f aca="false">IFERROR(
LEFT(AP3,FIND(":",AP3)-1)
+ MID(AP3,FIND(":",AP3)+1,2)/24
+ RIGHT(AP3,2)/1440,
"")</f>
        <v>11.8263888888889</v>
      </c>
      <c r="AR3" s="0" t="n">
        <f aca="false">WEEKNUM(B3,1)</f>
        <v>49</v>
      </c>
      <c r="AS3" s="17" t="n">
        <f aca="false">IF(B3&gt;0, (B3+C3)-TIME(13,30,0), "")</f>
        <v>45992.55625</v>
      </c>
      <c r="AT3" s="18" t="n">
        <f aca="false">IF(B3&gt;0, (B3+C3)-TIME(13,30,0), "")</f>
        <v>45992.55625</v>
      </c>
      <c r="AU3" s="17" t="n">
        <f aca="false">IF(V3&gt;0, (V3+W3)-TIME(13,30,0), "")</f>
        <v>46008.3833333333</v>
      </c>
      <c r="AV3" s="18" t="n">
        <f aca="false">IF(V3&gt;0, (V3+W3)-TIME(13,30,0), "")</f>
        <v>46008.3833333333</v>
      </c>
      <c r="AW3" s="19" t="n">
        <f aca="false">24*(
MAX(0,
IF(NETWORKDAYS(AS3,AU3)=1,
MIN(MOD(AV3,1),TIME(17,30,0)) - MAX(MOD(AT3,1),TIME(8,30,0)),
(TIME(17,30,0)-MAX(MOD(AT3,1),TIME(8,30,0)))
+ (MIN(MOD(AV3,1),TIME(17,30,0))-TIME(8,30,0))
+ (NETWORKDAYS(AS3,AU3)-2)*9/24
)
)
)</f>
        <v>103.85</v>
      </c>
      <c r="AX3" s="19" t="n">
        <f aca="false">24*(
MAX(0,
IF(NETWORKDAYS(AS3,AU3)=1,
MIN(MOD(AV3,1),TIME(17,30,0)) - MAX(MOD(AT3,1),TIME(8,30,0)),
(TIME(17,30,0)-MAX(MOD(AT3,1),TIME(8,30,0)))
+ (MIN(MOD(AV3,1),TIME(17,30,0))-TIME(8,30,0))
+ (NETWORKDAYS(AS3,AU3)-2)* (TIME(17,30,0)-TIME(8,30,0))
)
)
)</f>
        <v>103.85</v>
      </c>
      <c r="AY3" s="20" t="n">
        <f aca="false">ROUND(
IF(AS3=AU3,
MAX(0,
(MIN(MOD(AV3,1),TIME(17,30,0))-
MAX(MOD(AT3,1),TIME(8,30,0)))*24
),
(
(MAX(0,TIME(17,30,0)-MAX(MOD(AT3,1),TIME(8,30,0)))*24)
+
(MAX(0,MIN(MOD(AV3,1),TIME(17,30,0))-TIME(8,30,0))*24)
+
(MAX(0,NETWORKDAYS(AS3+1,AU3-1))*9)
)
),
2)</f>
        <v>103.85</v>
      </c>
      <c r="AZ3" s="0" t="n">
        <f aca="false" t="array" ref="AZ3:AZ3">_xlfn.XLOOKUP(J3,{"Low","Medium","High"},{270,72,24})</f>
        <v>270</v>
      </c>
      <c r="BA3" s="0" t="str">
        <f aca="false">IF(AW3&gt;AZ3,"Not Met","Met")</f>
        <v>Met</v>
      </c>
      <c r="BB3" s="21" t="str">
        <f aca="false">IF(AS3="","",TEXT(AS3,"MMM")&amp;"'"&amp;TEXT(AS3,"yy"))</f>
        <v>Dec'25</v>
      </c>
      <c r="BC3" s="0" t="str">
        <f aca="false">IF(AU3="","",TEXT(AU3,"MMM")&amp;"'"&amp;TEXT(AU3,"yy"))</f>
        <v>Dec'25</v>
      </c>
      <c r="BE3" s="0" t="s">
        <v>74</v>
      </c>
      <c r="BF3" s="0" t="n">
        <v>48</v>
      </c>
      <c r="BG3" s="0" t="n">
        <v>270</v>
      </c>
    </row>
    <row r="4" customFormat="false" ht="15" hidden="false" customHeight="false" outlineLevel="0" collapsed="false">
      <c r="A4" s="1" t="s">
        <v>80</v>
      </c>
      <c r="B4" s="11" t="n">
        <v>45993</v>
      </c>
      <c r="C4" s="12" t="n">
        <v>0.166666666666667</v>
      </c>
      <c r="D4" s="13" t="str">
        <f aca="false">IF(B4="","",TEXT(B4,"MMM")&amp;"'"&amp;TEXT(B4,"yy"))</f>
        <v>Dec'25</v>
      </c>
      <c r="E4" s="1" t="s">
        <v>55</v>
      </c>
      <c r="F4" s="1" t="s">
        <v>39</v>
      </c>
      <c r="G4" s="1" t="str">
        <f aca="false">IF(F4="Closed","Closed","Pending")</f>
        <v>Closed</v>
      </c>
      <c r="H4" s="1" t="s">
        <v>81</v>
      </c>
      <c r="I4" s="1" t="s">
        <v>82</v>
      </c>
      <c r="J4" s="1" t="s">
        <v>74</v>
      </c>
      <c r="K4" s="1" t="s">
        <v>59</v>
      </c>
      <c r="L4" s="1" t="s">
        <v>83</v>
      </c>
      <c r="M4" s="1" t="s">
        <v>84</v>
      </c>
      <c r="N4" s="1" t="s">
        <v>62</v>
      </c>
      <c r="O4" s="1" t="s">
        <v>77</v>
      </c>
      <c r="P4" s="1" t="s">
        <v>85</v>
      </c>
      <c r="Q4" s="1" t="s">
        <v>86</v>
      </c>
      <c r="R4" s="1" t="s">
        <v>87</v>
      </c>
      <c r="S4" s="1" t="s">
        <v>88</v>
      </c>
      <c r="U4" s="12" t="n">
        <v>0.945833333333333</v>
      </c>
      <c r="V4" s="11" t="n">
        <v>45995</v>
      </c>
      <c r="W4" s="12" t="n">
        <v>0.0638888888888889</v>
      </c>
      <c r="X4" s="11" t="n">
        <v>46000</v>
      </c>
      <c r="Y4" s="12" t="n">
        <v>0.00208333333333333</v>
      </c>
      <c r="Z4" s="1" t="s">
        <v>67</v>
      </c>
      <c r="AA4" s="1" t="s">
        <v>89</v>
      </c>
      <c r="AB4" s="2" t="n">
        <f aca="false">U4-C4</f>
        <v>0.779166666666667</v>
      </c>
      <c r="AC4" s="14" t="str">
        <f aca="false">TEXT(((V4+W4)-(B4+C4)),"hh:mm")</f>
        <v>21:32</v>
      </c>
      <c r="AD4" s="4" t="str">
        <f aca="false">INT((V4+W4)-(B4+C4)) &amp; ":" &amp;
TEXT(HOUR((V4+W4)-(B4+C4)), "00") &amp; ":" &amp;
TEXT(MINUTE((V4+W4)-(B4+C4)), "00")</f>
        <v>1:21:32</v>
      </c>
      <c r="AE4" s="1" t="n">
        <f aca="false">IFERROR(
LEFT(AD4,FIND(":",AD4)-1)
+ MID(AD4,FIND(":",AD4)+1,2)/24
+ RIGHT(AD4,2)/1440,
"")</f>
        <v>1.89722222222222</v>
      </c>
      <c r="AF4" s="4" t="str">
        <f aca="false">INT((X4+Y4)-(B4+C4)) &amp; ":" &amp;
TEXT(HOUR((X4+Y4)-(B4+C4)), "00") &amp; ":" &amp;
TEXT(MINUTE((X4+Y4)-(B4+C4)), "00")</f>
        <v>6:20:03</v>
      </c>
      <c r="AG4" s="4" t="str">
        <f aca="false" t="array" ref="AG4:AG4">INT(_xlfn.XLOOKUP(J4,{"Low","Medium","High","Urgent"},{48,24,12,8})/24) &amp; ":" &amp;
TEXT(MOD(_xlfn.XLOOKUP(J4,{"Low","Medium","High","Urgent"},{48,24,12,8}),24)/24,"hh:mm")</f>
        <v>2:00:00</v>
      </c>
      <c r="AH4" s="4" t="str">
        <f aca="false">IF(AD4&gt;AG4,"Not Met","Met")</f>
        <v>Met</v>
      </c>
      <c r="AI4" s="4" t="str">
        <f aca="false">IF(AB4&lt;TIME(0,30,0),"Met","Not Met")</f>
        <v>Not Met</v>
      </c>
      <c r="AN4" s="1" t="str">
        <f aca="false">TEXT(B4,"dd")</f>
        <v>02</v>
      </c>
      <c r="AO4" s="1" t="str">
        <f aca="false">TEXT(X4,"dd")</f>
        <v>09</v>
      </c>
      <c r="AP4" s="16" t="str">
        <f aca="false">INT(
  NETWORKDAYS(B4,V4)-1
  + IF(WEEKDAY(V4,2)&lt;6,MOD(V4+W4,1),0)
  - IF(WEEKDAY(B4,2)&lt;6,MOD(B4+C4,1),0)
)
&amp; ":" &amp;
TEXT(HOUR(
  NETWORKDAYS(B4,V4)-1
  + IF(WEEKDAY(V4,2)&lt;6,MOD(V4+W4,1),0)
  - IF(WEEKDAY(B4,2)&lt;6,MOD(B4+C4,1),0)
),"00")
&amp; ":" &amp;
TEXT(MINUTE(
  NETWORKDAYS(B4,V4)-1
  + IF(WEEKDAY(V4,2)&lt;6,MOD(V4+W4,1),0)
  - IF(WEEKDAY(B4,2)&lt;6,MOD(B4+C4,1),0)
),"00")</f>
        <v>1:21:31</v>
      </c>
      <c r="AQ4" s="0" t="n">
        <f aca="false">IFERROR(
LEFT(AP4,FIND(":",AP4)-1)
+ MID(AP4,FIND(":",AP4)+1,2)/24
+ RIGHT(AP4,2)/1440,
"")</f>
        <v>1.89652777777778</v>
      </c>
      <c r="AR4" s="0" t="n">
        <f aca="false">WEEKNUM(B4,1)</f>
        <v>49</v>
      </c>
      <c r="AS4" s="17" t="n">
        <f aca="false">IF(B4&gt;0, (B4+C4)-TIME(13,30,0), "")</f>
        <v>45992.6041666667</v>
      </c>
      <c r="AT4" s="18" t="n">
        <f aca="false">IF(B4&gt;0, (B4+C4)-TIME(13,30,0), "")</f>
        <v>45992.6041666667</v>
      </c>
      <c r="AU4" s="17" t="n">
        <f aca="false">IF(V4&gt;0, (V4+W4)-TIME(13,30,0), "")</f>
        <v>45994.5013888889</v>
      </c>
      <c r="AV4" s="18" t="n">
        <f aca="false">IF(V4&gt;0, (V4+W4)-TIME(13,30,0), "")</f>
        <v>45994.5013888889</v>
      </c>
      <c r="AW4" s="19" t="n">
        <f aca="false">24*(
MAX(0,
IF(NETWORKDAYS(AS4,AU4)=1,
MIN(MOD(AV4,1),TIME(17,30,0)) - MAX(MOD(AT4,1),TIME(8,30,0)),
(TIME(17,30,0)-MAX(MOD(AT4,1),TIME(8,30,0)))
+ (MIN(MOD(AV4,1),TIME(17,30,0))-TIME(8,30,0))
+ (NETWORKDAYS(AS4,AU4)-2)*9/24
)
)
)</f>
        <v>15.5333333333333</v>
      </c>
      <c r="AX4" s="19" t="n">
        <f aca="false">24*(
MAX(0,
IF(NETWORKDAYS(AS4,AU4)=1,
MIN(MOD(AV4,1),TIME(17,30,0)) - MAX(MOD(AT4,1),TIME(8,30,0)),
(TIME(17,30,0)-MAX(MOD(AT4,1),TIME(8,30,0)))
+ (MIN(MOD(AV4,1),TIME(17,30,0))-TIME(8,30,0))
+ (NETWORKDAYS(AS4,AU4)-2)* (TIME(17,30,0)-TIME(8,30,0))
)
)
)</f>
        <v>15.5333333333333</v>
      </c>
      <c r="AY4" s="20" t="n">
        <f aca="false">ROUND(
IF(AS4=AU4,
MAX(0,
(MIN(MOD(AV4,1),TIME(17,30,0))-
MAX(MOD(AT4,1),TIME(8,30,0)))*24
),
(
(MAX(0,TIME(17,30,0)-MAX(MOD(AT4,1),TIME(8,30,0)))*24)
+
(MAX(0,MIN(MOD(AV4,1),TIME(17,30,0))-TIME(8,30,0))*24)
+
(MAX(0,NETWORKDAYS(AS4+1,AU4-1))*9)
)
),
2)</f>
        <v>15.53</v>
      </c>
      <c r="AZ4" s="0" t="n">
        <f aca="false" t="array" ref="AZ4:AZ4">_xlfn.XLOOKUP(J4,{"Low","Medium","High"},{270,72,24})</f>
        <v>270</v>
      </c>
      <c r="BA4" s="0" t="str">
        <f aca="false">IF(AW4&gt;AZ4,"Not Met","Met")</f>
        <v>Met</v>
      </c>
      <c r="BB4" s="21" t="str">
        <f aca="false">IF(AS4="","",TEXT(AS4,"MMM")&amp;"'"&amp;TEXT(AS4,"yy"))</f>
        <v>Dec'25</v>
      </c>
      <c r="BC4" s="0" t="str">
        <f aca="false">IF(AU4="","",TEXT(AU4,"MMM")&amp;"'"&amp;TEXT(AU4,"yy"))</f>
        <v>Dec'25</v>
      </c>
      <c r="BE4" s="0" t="s">
        <v>58</v>
      </c>
      <c r="BF4" s="0" t="n">
        <v>24</v>
      </c>
      <c r="BG4" s="0" t="n">
        <v>72</v>
      </c>
    </row>
    <row r="5" customFormat="false" ht="15" hidden="false" customHeight="false" outlineLevel="0" collapsed="false">
      <c r="A5" s="1" t="s">
        <v>90</v>
      </c>
      <c r="B5" s="11" t="n">
        <v>45993</v>
      </c>
      <c r="C5" s="12" t="n">
        <v>0.189583333333333</v>
      </c>
      <c r="D5" s="13" t="str">
        <f aca="false">IF(B5="","",TEXT(B5,"MMM")&amp;"'"&amp;TEXT(B5,"yy"))</f>
        <v>Dec'25</v>
      </c>
      <c r="E5" s="1" t="s">
        <v>55</v>
      </c>
      <c r="F5" s="1" t="s">
        <v>39</v>
      </c>
      <c r="G5" s="1" t="str">
        <f aca="false">IF(F5="Closed","Closed","Pending")</f>
        <v>Closed</v>
      </c>
      <c r="H5" s="1" t="s">
        <v>81</v>
      </c>
      <c r="I5" s="1" t="s">
        <v>82</v>
      </c>
      <c r="J5" s="1" t="s">
        <v>74</v>
      </c>
      <c r="K5" s="1" t="s">
        <v>59</v>
      </c>
      <c r="L5" s="1" t="s">
        <v>91</v>
      </c>
      <c r="M5" s="1" t="s">
        <v>92</v>
      </c>
      <c r="N5" s="1" t="s">
        <v>62</v>
      </c>
      <c r="O5" s="1" t="s">
        <v>77</v>
      </c>
      <c r="P5" s="1" t="s">
        <v>85</v>
      </c>
      <c r="Q5" s="1" t="s">
        <v>86</v>
      </c>
      <c r="R5" s="1" t="s">
        <v>87</v>
      </c>
      <c r="S5" s="1" t="s">
        <v>88</v>
      </c>
      <c r="U5" s="12" t="n">
        <v>0.949305555555556</v>
      </c>
      <c r="V5" s="11" t="n">
        <v>45993</v>
      </c>
      <c r="W5" s="12" t="n">
        <v>0.949305555555556</v>
      </c>
      <c r="X5" s="11" t="n">
        <v>46000</v>
      </c>
      <c r="Y5" s="12" t="n">
        <v>0.00555555555555556</v>
      </c>
      <c r="Z5" s="1" t="s">
        <v>67</v>
      </c>
      <c r="AA5" s="1" t="s">
        <v>68</v>
      </c>
      <c r="AB5" s="2" t="n">
        <f aca="false">U5-C5</f>
        <v>0.759722222222222</v>
      </c>
      <c r="AC5" s="14" t="str">
        <f aca="false">TEXT(((V5+W5)-(B5+C5)),"hh:mm")</f>
        <v>18:14</v>
      </c>
      <c r="AD5" s="4" t="str">
        <f aca="false">INT((V5+W5)-(B5+C5)) &amp; ":" &amp;
TEXT(HOUR((V5+W5)-(B5+C5)), "00") &amp; ":" &amp;
TEXT(MINUTE((V5+W5)-(B5+C5)), "00")</f>
        <v>0:18:14</v>
      </c>
      <c r="AE5" s="1" t="n">
        <f aca="false">IFERROR(
LEFT(AD5,FIND(":",AD5)-1)
+ MID(AD5,FIND(":",AD5)+1,2)/24
+ RIGHT(AD5,2)/1440,
"")</f>
        <v>0.759722222222222</v>
      </c>
      <c r="AF5" s="4" t="str">
        <f aca="false">INT((X5+Y5)-(B5+C5)) &amp; ":" &amp;
TEXT(HOUR((X5+Y5)-(B5+C5)), "00") &amp; ":" &amp;
TEXT(MINUTE((X5+Y5)-(B5+C5)), "00")</f>
        <v>6:19:35</v>
      </c>
      <c r="AG5" s="4" t="str">
        <f aca="false" t="array" ref="AG5:AG5">INT(_xlfn.XLOOKUP(J5,{"Low","Medium","High","Urgent"},{48,24,12,8})/24) &amp; ":" &amp;
TEXT(MOD(_xlfn.XLOOKUP(J5,{"Low","Medium","High","Urgent"},{48,24,12,8}),24)/24,"hh:mm")</f>
        <v>2:00:00</v>
      </c>
      <c r="AH5" s="4" t="str">
        <f aca="false">IF(AD5&gt;AG5,"Not Met","Met")</f>
        <v>Met</v>
      </c>
      <c r="AI5" s="4" t="str">
        <f aca="false">IF(AB5&lt;TIME(0,30,0),"Met","Not Met")</f>
        <v>Not Met</v>
      </c>
      <c r="AN5" s="1" t="str">
        <f aca="false">TEXT(B5,"dd")</f>
        <v>02</v>
      </c>
      <c r="AO5" s="1" t="str">
        <f aca="false">TEXT(X5,"dd")</f>
        <v>09</v>
      </c>
      <c r="AP5" s="16" t="str">
        <f aca="false">INT(
  NETWORKDAYS(B5,V5)-1
  + IF(WEEKDAY(V5,2)&lt;6,MOD(V5+W5,1),0)
  - IF(WEEKDAY(B5,2)&lt;6,MOD(B5+C5,1),0)
)
&amp; ":" &amp;
TEXT(HOUR(
  NETWORKDAYS(B5,V5)-1
  + IF(WEEKDAY(V5,2)&lt;6,MOD(V5+W5,1),0)
  - IF(WEEKDAY(B5,2)&lt;6,MOD(B5+C5,1),0)
),"00")
&amp; ":" &amp;
TEXT(MINUTE(
  NETWORKDAYS(B5,V5)-1
  + IF(WEEKDAY(V5,2)&lt;6,MOD(V5+W5,1),0)
  - IF(WEEKDAY(B5,2)&lt;6,MOD(B5+C5,1),0)
),"00")</f>
        <v>0:18:14</v>
      </c>
      <c r="AQ5" s="0" t="n">
        <f aca="false">IFERROR(
LEFT(AP5,FIND(":",AP5)-1)
+ MID(AP5,FIND(":",AP5)+1,2)/24
+ RIGHT(AP5,2)/1440,
"")</f>
        <v>0.759722222222222</v>
      </c>
      <c r="AR5" s="0" t="n">
        <f aca="false">WEEKNUM(B5,1)</f>
        <v>49</v>
      </c>
      <c r="AS5" s="17" t="n">
        <f aca="false">IF(B5&gt;0, (B5+C5)-TIME(13,30,0), "")</f>
        <v>45992.6270833333</v>
      </c>
      <c r="AT5" s="18" t="n">
        <f aca="false">IF(B5&gt;0, (B5+C5)-TIME(13,30,0), "")</f>
        <v>45992.6270833333</v>
      </c>
      <c r="AU5" s="17" t="n">
        <f aca="false">IF(V5&gt;0, (V5+W5)-TIME(13,30,0), "")</f>
        <v>45993.3868055556</v>
      </c>
      <c r="AV5" s="18" t="n">
        <f aca="false">IF(V5&gt;0, (V5+W5)-TIME(13,30,0), "")</f>
        <v>45993.3868055556</v>
      </c>
      <c r="AW5" s="19" t="n">
        <f aca="false">24*(
MAX(0,
IF(NETWORKDAYS(AS5,AU5)=1,
MIN(MOD(AV5,1),TIME(17,30,0)) - MAX(MOD(AT5,1),TIME(8,30,0)),
(TIME(17,30,0)-MAX(MOD(AT5,1),TIME(8,30,0)))
+ (MIN(MOD(AV5,1),TIME(17,30,0))-TIME(8,30,0))
+ (NETWORKDAYS(AS5,AU5)-2)*9/24
)
)
)</f>
        <v>3.23333333333333</v>
      </c>
      <c r="AX5" s="19" t="n">
        <f aca="false">24*(
MAX(0,
IF(NETWORKDAYS(AS5,AU5)=1,
MIN(MOD(AV5,1),TIME(17,30,0)) - MAX(MOD(AT5,1),TIME(8,30,0)),
(TIME(17,30,0)-MAX(MOD(AT5,1),TIME(8,30,0)))
+ (MIN(MOD(AV5,1),TIME(17,30,0))-TIME(8,30,0))
+ (NETWORKDAYS(AS5,AU5)-2)* (TIME(17,30,0)-TIME(8,30,0))
)
)
)</f>
        <v>3.23333333333333</v>
      </c>
      <c r="AY5" s="20" t="n">
        <f aca="false">ROUND(
IF(AS5=AU5,
MAX(0,
(MIN(MOD(AV5,1),TIME(17,30,0))-
MAX(MOD(AT5,1),TIME(8,30,0)))*24
),
(
(MAX(0,TIME(17,30,0)-MAX(MOD(AT5,1),TIME(8,30,0)))*24)
+
(MAX(0,MIN(MOD(AV5,1),TIME(17,30,0))-TIME(8,30,0))*24)
+
(MAX(0,NETWORKDAYS(AS5+1,AU5-1))*9)
)
),
2)</f>
        <v>3.23</v>
      </c>
      <c r="AZ5" s="0" t="n">
        <f aca="false" t="array" ref="AZ5:AZ5">_xlfn.XLOOKUP(J5,{"Low","Medium","High"},{270,72,24})</f>
        <v>270</v>
      </c>
      <c r="BA5" s="0" t="str">
        <f aca="false">IF(AW5&gt;AZ5,"Not Met","Met")</f>
        <v>Met</v>
      </c>
      <c r="BB5" s="21" t="str">
        <f aca="false">IF(AS5="","",TEXT(AS5,"MMM")&amp;"'"&amp;TEXT(AS5,"yy"))</f>
        <v>Dec'25</v>
      </c>
      <c r="BC5" s="0" t="str">
        <f aca="false">IF(AU5="","",TEXT(AU5,"MMM")&amp;"'"&amp;TEXT(AU5,"yy"))</f>
        <v>Dec'25</v>
      </c>
      <c r="BE5" s="0" t="s">
        <v>93</v>
      </c>
      <c r="BF5" s="0" t="n">
        <v>12</v>
      </c>
      <c r="BG5" s="0" t="n">
        <v>24</v>
      </c>
    </row>
    <row r="6" customFormat="false" ht="15" hidden="false" customHeight="false" outlineLevel="0" collapsed="false">
      <c r="A6" s="1" t="s">
        <v>94</v>
      </c>
      <c r="B6" s="11" t="n">
        <v>45995</v>
      </c>
      <c r="C6" s="12" t="n">
        <v>0.111805555555556</v>
      </c>
      <c r="D6" s="13" t="str">
        <f aca="false">IF(B6="","",TEXT(B6,"MMM")&amp;"'"&amp;TEXT(B6,"yy"))</f>
        <v>Dec'25</v>
      </c>
      <c r="E6" s="1" t="s">
        <v>55</v>
      </c>
      <c r="F6" s="1" t="s">
        <v>39</v>
      </c>
      <c r="G6" s="1" t="str">
        <f aca="false">IF(F6="Closed","Closed","Pending")</f>
        <v>Closed</v>
      </c>
      <c r="H6" s="1" t="s">
        <v>72</v>
      </c>
      <c r="I6" s="1" t="s">
        <v>95</v>
      </c>
      <c r="J6" s="1" t="s">
        <v>74</v>
      </c>
      <c r="K6" s="1" t="s">
        <v>59</v>
      </c>
      <c r="L6" s="1" t="s">
        <v>96</v>
      </c>
      <c r="M6" s="1" t="s">
        <v>97</v>
      </c>
      <c r="N6" s="1" t="s">
        <v>65</v>
      </c>
      <c r="O6" s="1" t="s">
        <v>77</v>
      </c>
      <c r="P6" s="1" t="s">
        <v>98</v>
      </c>
      <c r="Q6" s="1" t="s">
        <v>86</v>
      </c>
      <c r="R6" s="1" t="s">
        <v>99</v>
      </c>
      <c r="U6" s="12" t="n">
        <v>0.186805555555556</v>
      </c>
      <c r="V6" s="11" t="n">
        <v>45996</v>
      </c>
      <c r="W6" s="12" t="n">
        <v>0.91875</v>
      </c>
      <c r="X6" s="11" t="n">
        <v>46002</v>
      </c>
      <c r="Y6" s="12" t="n">
        <v>0.0958333333333333</v>
      </c>
      <c r="Z6" s="1" t="s">
        <v>67</v>
      </c>
      <c r="AA6" s="1" t="s">
        <v>68</v>
      </c>
      <c r="AB6" s="2" t="n">
        <f aca="false">U6-C6</f>
        <v>0.075</v>
      </c>
      <c r="AC6" s="14" t="str">
        <f aca="false">TEXT(((V6+W6)-(B6+C6)),"hh:mm")</f>
        <v>19:22</v>
      </c>
      <c r="AD6" s="4" t="str">
        <f aca="false">INT((V6+W6)-(B6+C6)) &amp; ":" &amp;
TEXT(HOUR((V6+W6)-(B6+C6)), "00") &amp; ":" &amp;
TEXT(MINUTE((V6+W6)-(B6+C6)), "00")</f>
        <v>1:19:22</v>
      </c>
      <c r="AE6" s="1" t="n">
        <f aca="false">IFERROR(
LEFT(AD6,FIND(":",AD6)-1)
+ MID(AD6,FIND(":",AD6)+1,2)/24
+ RIGHT(AD6,2)/1440,
"")</f>
        <v>1.80694444444444</v>
      </c>
      <c r="AF6" s="4" t="str">
        <f aca="false">INT((X6+Y6)-(B6+C6)) &amp; ":" &amp;
TEXT(HOUR((X6+Y6)-(B6+C6)), "00") &amp; ":" &amp;
TEXT(MINUTE((X6+Y6)-(B6+C6)), "00")</f>
        <v>6:23:37</v>
      </c>
      <c r="AG6" s="4" t="str">
        <f aca="false" t="array" ref="AG6:AG6">INT(_xlfn.XLOOKUP(J6,{"Low","Medium","High","Urgent"},{48,24,12,8})/24) &amp; ":" &amp;
TEXT(MOD(_xlfn.XLOOKUP(J6,{"Low","Medium","High","Urgent"},{48,24,12,8}),24)/24,"hh:mm")</f>
        <v>2:00:00</v>
      </c>
      <c r="AH6" s="4" t="str">
        <f aca="false">IF(AD6&gt;AG6,"Not Met","Met")</f>
        <v>Met</v>
      </c>
      <c r="AI6" s="4" t="str">
        <f aca="false">IF(AB6&lt;TIME(0,30,0),"Met","Not Met")</f>
        <v>Not Met</v>
      </c>
      <c r="AN6" s="1" t="str">
        <f aca="false">TEXT(B6,"dd")</f>
        <v>04</v>
      </c>
      <c r="AO6" s="1" t="str">
        <f aca="false">TEXT(X6,"dd")</f>
        <v>11</v>
      </c>
      <c r="AP6" s="16" t="str">
        <f aca="false">INT(
  NETWORKDAYS(B6,V6)-1
  + IF(WEEKDAY(V6,2)&lt;6,MOD(V6+W6,1),0)
  - IF(WEEKDAY(B6,2)&lt;6,MOD(B6+C6,1),0)
)
&amp; ":" &amp;
TEXT(HOUR(
  NETWORKDAYS(B6,V6)-1
  + IF(WEEKDAY(V6,2)&lt;6,MOD(V6+W6,1),0)
  - IF(WEEKDAY(B6,2)&lt;6,MOD(B6+C6,1),0)
),"00")
&amp; ":" &amp;
TEXT(MINUTE(
  NETWORKDAYS(B6,V6)-1
  + IF(WEEKDAY(V6,2)&lt;6,MOD(V6+W6,1),0)
  - IF(WEEKDAY(B6,2)&lt;6,MOD(B6+C6,1),0)
),"00")</f>
        <v>1:19:21</v>
      </c>
      <c r="AQ6" s="0" t="n">
        <f aca="false">IFERROR(
LEFT(AP6,FIND(":",AP6)-1)
+ MID(AP6,FIND(":",AP6)+1,2)/24
+ RIGHT(AP6,2)/1440,
"")</f>
        <v>1.80625</v>
      </c>
      <c r="AR6" s="0" t="n">
        <f aca="false">WEEKNUM(B6,1)</f>
        <v>49</v>
      </c>
      <c r="AS6" s="17" t="n">
        <f aca="false">IF(B6&gt;0, (B6+C6)-TIME(13,30,0), "")</f>
        <v>45994.5493055556</v>
      </c>
      <c r="AT6" s="18" t="n">
        <f aca="false">IF(B6&gt;0, (B6+C6)-TIME(13,30,0), "")</f>
        <v>45994.5493055556</v>
      </c>
      <c r="AU6" s="17" t="n">
        <f aca="false">IF(V6&gt;0, (V6+W6)-TIME(13,30,0), "")</f>
        <v>45996.35625</v>
      </c>
      <c r="AV6" s="18" t="n">
        <f aca="false">IF(V6&gt;0, (V6+W6)-TIME(13,30,0), "")</f>
        <v>45996.35625</v>
      </c>
      <c r="AW6" s="19" t="n">
        <f aca="false">24*(
MAX(0,
IF(NETWORKDAYS(AS6,AU6)=1,
MIN(MOD(AV6,1),TIME(17,30,0)) - MAX(MOD(AT6,1),TIME(8,30,0)),
(TIME(17,30,0)-MAX(MOD(AT6,1),TIME(8,30,0)))
+ (MIN(MOD(AV6,1),TIME(17,30,0))-TIME(8,30,0))
+ (NETWORKDAYS(AS6,AU6)-2)*9/24
)
)
)</f>
        <v>13.3666666666667</v>
      </c>
      <c r="AX6" s="19" t="n">
        <f aca="false">24*(
MAX(0,
IF(NETWORKDAYS(AS6,AU6)=1,
MIN(MOD(AV6,1),TIME(17,30,0)) - MAX(MOD(AT6,1),TIME(8,30,0)),
(TIME(17,30,0)-MAX(MOD(AT6,1),TIME(8,30,0)))
+ (MIN(MOD(AV6,1),TIME(17,30,0))-TIME(8,30,0))
+ (NETWORKDAYS(AS6,AU6)-2)* (TIME(17,30,0)-TIME(8,30,0))
)
)
)</f>
        <v>13.3666666666667</v>
      </c>
      <c r="AY6" s="20" t="n">
        <f aca="false">ROUND(
IF(AS6=AU6,
MAX(0,
(MIN(MOD(AV6,1),TIME(17,30,0))-
MAX(MOD(AT6,1),TIME(8,30,0)))*24
),
(
(MAX(0,TIME(17,30,0)-MAX(MOD(AT6,1),TIME(8,30,0)))*24)
+
(MAX(0,MIN(MOD(AV6,1),TIME(17,30,0))-TIME(8,30,0))*24)
+
(MAX(0,NETWORKDAYS(AS6+1,AU6-1))*9)
)
),
2)</f>
        <v>13.37</v>
      </c>
      <c r="AZ6" s="0" t="n">
        <f aca="false" t="array" ref="AZ6:AZ6">_xlfn.XLOOKUP(J6,{"Low","Medium","High"},{270,72,24})</f>
        <v>270</v>
      </c>
      <c r="BA6" s="0" t="str">
        <f aca="false">IF(AW6&gt;AZ6,"Not Met","Met")</f>
        <v>Met</v>
      </c>
      <c r="BB6" s="21" t="str">
        <f aca="false">IF(AS6="","",TEXT(AS6,"MMM")&amp;"'"&amp;TEXT(AS6,"yy"))</f>
        <v>Dec'25</v>
      </c>
      <c r="BC6" s="0" t="str">
        <f aca="false">IF(AU6="","",TEXT(AU6,"MMM")&amp;"'"&amp;TEXT(AU6,"yy"))</f>
        <v>Dec'25</v>
      </c>
      <c r="BE6" s="0" t="s">
        <v>100</v>
      </c>
      <c r="BF6" s="0" t="n">
        <v>8</v>
      </c>
      <c r="BG6" s="0" t="s">
        <v>101</v>
      </c>
    </row>
    <row r="7" customFormat="false" ht="15" hidden="false" customHeight="false" outlineLevel="0" collapsed="false">
      <c r="A7" s="1" t="s">
        <v>102</v>
      </c>
      <c r="B7" s="11" t="n">
        <v>45995</v>
      </c>
      <c r="C7" s="12" t="n">
        <v>0.275</v>
      </c>
      <c r="D7" s="13" t="str">
        <f aca="false">IF(B7="","",TEXT(B7,"MMM")&amp;"'"&amp;TEXT(B7,"yy"))</f>
        <v>Dec'25</v>
      </c>
      <c r="E7" s="1" t="s">
        <v>55</v>
      </c>
      <c r="F7" s="1" t="s">
        <v>39</v>
      </c>
      <c r="G7" s="1" t="str">
        <f aca="false">IF(F7="Closed","Closed","Pending")</f>
        <v>Closed</v>
      </c>
      <c r="H7" s="1" t="s">
        <v>56</v>
      </c>
      <c r="I7" s="1" t="s">
        <v>103</v>
      </c>
      <c r="J7" s="1" t="s">
        <v>58</v>
      </c>
      <c r="K7" s="1" t="s">
        <v>59</v>
      </c>
      <c r="L7" s="1" t="s">
        <v>104</v>
      </c>
      <c r="M7" s="1" t="s">
        <v>105</v>
      </c>
      <c r="N7" s="1" t="s">
        <v>65</v>
      </c>
      <c r="O7" s="1" t="s">
        <v>106</v>
      </c>
      <c r="P7" s="1" t="s">
        <v>107</v>
      </c>
      <c r="Q7" s="1" t="s">
        <v>86</v>
      </c>
      <c r="R7" s="1" t="s">
        <v>66</v>
      </c>
      <c r="T7" s="1" t="s">
        <v>101</v>
      </c>
      <c r="U7" s="22" t="n">
        <v>0.966666666666667</v>
      </c>
      <c r="V7" s="11" t="n">
        <v>45995</v>
      </c>
      <c r="W7" s="12" t="n">
        <v>0.966666666666667</v>
      </c>
      <c r="X7" s="11" t="n">
        <v>45995</v>
      </c>
      <c r="Y7" s="22" t="n">
        <v>0.979861111111111</v>
      </c>
      <c r="Z7" s="1" t="s">
        <v>108</v>
      </c>
      <c r="AA7" s="1" t="s">
        <v>68</v>
      </c>
      <c r="AB7" s="2" t="n">
        <f aca="false">U7-C7</f>
        <v>0.691666666666667</v>
      </c>
      <c r="AC7" s="14" t="str">
        <f aca="false">TEXT(((V7+W7)-(B7+C7)),"hh:mm")</f>
        <v>16:36</v>
      </c>
      <c r="AD7" s="4" t="str">
        <f aca="false">INT((V7+W7)-(B7+C7)) &amp; ":" &amp;
TEXT(HOUR((V7+W7)-(B7+C7)), "00") &amp; ":" &amp;
TEXT(MINUTE((V7+W7)-(B7+C7)), "00")</f>
        <v>0:16:36</v>
      </c>
      <c r="AE7" s="1" t="n">
        <f aca="false">IFERROR(
LEFT(AD7,FIND(":",AD7)-1)
+ MID(AD7,FIND(":",AD7)+1,2)/24
+ RIGHT(AD7,2)/1440,
"")</f>
        <v>0.691666666666667</v>
      </c>
      <c r="AF7" s="4" t="str">
        <f aca="false">INT((X7+Y7)-(B7+C7)) &amp; ":" &amp;
TEXT(HOUR((X7+Y7)-(B7+C7)), "00") &amp; ":" &amp;
TEXT(MINUTE((X7+Y7)-(B7+C7)), "00")</f>
        <v>0:16:55</v>
      </c>
      <c r="AG7" s="4" t="str">
        <f aca="false" t="array" ref="AG7:AG7">INT(_xlfn.XLOOKUP(J7,{"Low","Medium","High","Urgent"},{48,24,12,8})/24) &amp; ":" &amp;
TEXT(MOD(_xlfn.XLOOKUP(J7,{"Low","Medium","High","Urgent"},{48,24,12,8}),24)/24,"hh:mm")</f>
        <v>1:00:00</v>
      </c>
      <c r="AH7" s="4" t="str">
        <f aca="false">IF(AD7&gt;AG7,"Not Met","Met")</f>
        <v>Met</v>
      </c>
      <c r="AI7" s="4" t="str">
        <f aca="false">IF(AB7&lt;TIME(0,30,0),"Met","Not Met")</f>
        <v>Not Met</v>
      </c>
      <c r="AN7" s="1" t="str">
        <f aca="false">TEXT(B7,"dd")</f>
        <v>04</v>
      </c>
      <c r="AO7" s="1" t="str">
        <f aca="false">TEXT(X7,"dd")</f>
        <v>04</v>
      </c>
      <c r="AP7" s="16" t="str">
        <f aca="false">INT(
  NETWORKDAYS(B7,V7)-1
  + IF(WEEKDAY(V7,2)&lt;6,MOD(V7+W7,1),0)
  - IF(WEEKDAY(B7,2)&lt;6,MOD(B7+C7,1),0)
)
&amp; ":" &amp;
TEXT(HOUR(
  NETWORKDAYS(B7,V7)-1
  + IF(WEEKDAY(V7,2)&lt;6,MOD(V7+W7,1),0)
  - IF(WEEKDAY(B7,2)&lt;6,MOD(B7+C7,1),0)
),"00")
&amp; ":" &amp;
TEXT(MINUTE(
  NETWORKDAYS(B7,V7)-1
  + IF(WEEKDAY(V7,2)&lt;6,MOD(V7+W7,1),0)
  - IF(WEEKDAY(B7,2)&lt;6,MOD(B7+C7,1),0)
),"00")</f>
        <v>0:16:35</v>
      </c>
      <c r="AQ7" s="0" t="n">
        <f aca="false">IFERROR(
LEFT(AP7,FIND(":",AP7)-1)
+ MID(AP7,FIND(":",AP7)+1,2)/24
+ RIGHT(AP7,2)/1440,
"")</f>
        <v>0.690972222222222</v>
      </c>
      <c r="AR7" s="0" t="n">
        <f aca="false">WEEKNUM(B7,1)</f>
        <v>49</v>
      </c>
      <c r="AS7" s="17" t="n">
        <f aca="false">IF(B7&gt;0, (B7+C7)-TIME(13,30,0), "")</f>
        <v>45994.7125</v>
      </c>
      <c r="AT7" s="18" t="n">
        <f aca="false">IF(B7&gt;0, (B7+C7)-TIME(13,30,0), "")</f>
        <v>45994.7125</v>
      </c>
      <c r="AU7" s="17" t="n">
        <f aca="false">IF(V7&gt;0, (V7+W7)-TIME(13,30,0), "")</f>
        <v>45995.4041666667</v>
      </c>
      <c r="AV7" s="18" t="n">
        <f aca="false">IF(V7&gt;0, (V7+W7)-TIME(13,30,0), "")</f>
        <v>45995.4041666667</v>
      </c>
      <c r="AW7" s="19" t="n">
        <f aca="false">24*(
MAX(0,
IF(NETWORKDAYS(AS7,AU7)=1,
MIN(MOD(AV7,1),TIME(17,30,0)) - MAX(MOD(AT7,1),TIME(8,30,0)),
(TIME(17,30,0)-MAX(MOD(AT7,1),TIME(8,30,0)))
+ (MIN(MOD(AV7,1),TIME(17,30,0))-TIME(8,30,0))
+ (NETWORKDAYS(AS7,AU7)-2)*9/24
)
)
)</f>
        <v>1.6</v>
      </c>
      <c r="AX7" s="19" t="n">
        <f aca="false">24*(
MAX(0,
IF(NETWORKDAYS(AS7,AU7)=1,
MIN(MOD(AV7,1),TIME(17,30,0)) - MAX(MOD(AT7,1),TIME(8,30,0)),
(TIME(17,30,0)-MAX(MOD(AT7,1),TIME(8,30,0)))
+ (MIN(MOD(AV7,1),TIME(17,30,0))-TIME(8,30,0))
+ (NETWORKDAYS(AS7,AU7)-2)* (TIME(17,30,0)-TIME(8,30,0))
)
)
)</f>
        <v>1.6</v>
      </c>
      <c r="AY7" s="20" t="n">
        <f aca="false">ROUND(
IF(AS7=AU7,
MAX(0,
(MIN(MOD(AV7,1),TIME(17,30,0))-
MAX(MOD(AT7,1),TIME(8,30,0)))*24
),
(
(MAX(0,TIME(17,30,0)-MAX(MOD(AT7,1),TIME(8,30,0)))*24)
+
(MAX(0,MIN(MOD(AV7,1),TIME(17,30,0))-TIME(8,30,0))*24)
+
(MAX(0,NETWORKDAYS(AS7+1,AU7-1))*9)
)
),
2)</f>
        <v>1.6</v>
      </c>
      <c r="AZ7" s="0" t="n">
        <f aca="false" t="array" ref="AZ7:AZ7">_xlfn.XLOOKUP(J7,{"Low","Medium","High"},{270,72,24})</f>
        <v>72</v>
      </c>
      <c r="BA7" s="0" t="str">
        <f aca="false">IF(AW7&gt;AZ7,"Not Met","Met")</f>
        <v>Met</v>
      </c>
      <c r="BB7" s="21" t="str">
        <f aca="false">IF(AS7="","",TEXT(AS7,"MMM")&amp;"'"&amp;TEXT(AS7,"yy"))</f>
        <v>Dec'25</v>
      </c>
      <c r="BC7" s="0" t="str">
        <f aca="false">IF(AU7="","",TEXT(AU7,"MMM")&amp;"'"&amp;TEXT(AU7,"yy"))</f>
        <v>Dec'25</v>
      </c>
    </row>
    <row r="8" customFormat="false" ht="15" hidden="false" customHeight="false" outlineLevel="0" collapsed="false">
      <c r="A8" s="23" t="s">
        <v>109</v>
      </c>
      <c r="B8" s="24" t="n">
        <v>45995</v>
      </c>
      <c r="C8" s="12" t="n">
        <v>0.904166666666667</v>
      </c>
      <c r="D8" s="13" t="str">
        <f aca="false">IF(B8="","",TEXT(B8,"MMM")&amp;"'"&amp;TEXT(B8,"yy"))</f>
        <v>Dec'25</v>
      </c>
      <c r="E8" s="1" t="s">
        <v>55</v>
      </c>
      <c r="F8" s="1" t="s">
        <v>39</v>
      </c>
      <c r="G8" s="1" t="str">
        <f aca="false">IF(F8="Closed","Closed","Pending")</f>
        <v>Closed</v>
      </c>
      <c r="H8" s="1" t="s">
        <v>72</v>
      </c>
      <c r="I8" s="1" t="s">
        <v>110</v>
      </c>
      <c r="J8" s="1" t="s">
        <v>74</v>
      </c>
      <c r="K8" s="1" t="s">
        <v>59</v>
      </c>
      <c r="L8" s="1" t="s">
        <v>111</v>
      </c>
      <c r="M8" s="1" t="s">
        <v>112</v>
      </c>
      <c r="N8" s="1" t="s">
        <v>62</v>
      </c>
      <c r="O8" s="1" t="s">
        <v>77</v>
      </c>
      <c r="P8" s="1" t="s">
        <v>113</v>
      </c>
      <c r="Q8" s="1" t="s">
        <v>86</v>
      </c>
      <c r="R8" s="1" t="s">
        <v>87</v>
      </c>
      <c r="U8" s="12" t="n">
        <v>0.972916666666667</v>
      </c>
      <c r="V8" s="11" t="n">
        <v>45999</v>
      </c>
      <c r="W8" s="12" t="n">
        <v>0.970833333333333</v>
      </c>
      <c r="X8" s="11" t="n">
        <v>46001</v>
      </c>
      <c r="Y8" s="12" t="n">
        <v>0.282638888888889</v>
      </c>
      <c r="Z8" s="1" t="s">
        <v>67</v>
      </c>
      <c r="AA8" s="1" t="s">
        <v>89</v>
      </c>
      <c r="AB8" s="2" t="n">
        <f aca="false">U8-C8</f>
        <v>0.06875</v>
      </c>
      <c r="AC8" s="14" t="str">
        <f aca="false">TEXT(((V8+W8)-(B8+C8)),"hh:mm")</f>
        <v>01:36</v>
      </c>
      <c r="AD8" s="4" t="str">
        <f aca="false">INT((V8+W8)-(B8+C8)) &amp; ":" &amp;
TEXT(HOUR((V8+W8)-(B8+C8)), "00") &amp; ":" &amp;
TEXT(MINUTE((V8+W8)-(B8+C8)), "00")</f>
        <v>4:01:36</v>
      </c>
      <c r="AE8" s="1" t="n">
        <f aca="false">IFERROR(
LEFT(AD8,FIND(":",AD8)-1)
+ MID(AD8,FIND(":",AD8)+1,2)/24
+ RIGHT(AD8,2)/1440,
"")</f>
        <v>4.06666666666667</v>
      </c>
      <c r="AF8" s="4" t="str">
        <f aca="false">INT((X8+Y8)-(B8+C8)) &amp; ":" &amp;
TEXT(HOUR((X8+Y8)-(B8+C8)), "00") &amp; ":" &amp;
TEXT(MINUTE((X8+Y8)-(B8+C8)), "00")</f>
        <v>5:09:05</v>
      </c>
      <c r="AG8" s="4" t="str">
        <f aca="false" t="array" ref="AG8:AG8">INT(_xlfn.XLOOKUP(J8,{"Low","Medium","High","Urgent"},{48,24,12,8})/24) &amp; ":" &amp;
TEXT(MOD(_xlfn.XLOOKUP(J8,{"Low","Medium","High","Urgent"},{48,24,12,8}),24)/24,"hh:mm")</f>
        <v>2:00:00</v>
      </c>
      <c r="AH8" s="4" t="str">
        <f aca="false">IF(AD8&gt;AG8,"Not Met","Met")</f>
        <v>Not Met</v>
      </c>
      <c r="AI8" s="4" t="str">
        <f aca="false">IF(AB8&lt;TIME(0,30,0),"Met","Not Met")</f>
        <v>Not Met</v>
      </c>
      <c r="AN8" s="1" t="str">
        <f aca="false">TEXT(B8,"dd")</f>
        <v>04</v>
      </c>
      <c r="AO8" s="1" t="str">
        <f aca="false">TEXT(X8,"dd")</f>
        <v>10</v>
      </c>
      <c r="AP8" s="16" t="str">
        <f aca="false">INT(
  NETWORKDAYS(B8,V8)-1
  + IF(WEEKDAY(V8,2)&lt;6,MOD(V8+W8,1),0)
  - IF(WEEKDAY(B8,2)&lt;6,MOD(B8+C8,1),0)
)
&amp; ":" &amp;
TEXT(HOUR(
  NETWORKDAYS(B8,V8)-1
  + IF(WEEKDAY(V8,2)&lt;6,MOD(V8+W8,1),0)
  - IF(WEEKDAY(B8,2)&lt;6,MOD(B8+C8,1),0)
),"00")
&amp; ":" &amp;
TEXT(MINUTE(
  NETWORKDAYS(B8,V8)-1
  + IF(WEEKDAY(V8,2)&lt;6,MOD(V8+W8,1),0)
  - IF(WEEKDAY(B8,2)&lt;6,MOD(B8+C8,1),0)
),"00")</f>
        <v>2:01:35</v>
      </c>
      <c r="AQ8" s="0" t="n">
        <f aca="false">IFERROR(
LEFT(AP8,FIND(":",AP8)-1)
+ MID(AP8,FIND(":",AP8)+1,2)/24
+ RIGHT(AP8,2)/1440,
"")</f>
        <v>2.06597222222222</v>
      </c>
      <c r="AR8" s="0" t="n">
        <f aca="false">WEEKNUM(B8,1)</f>
        <v>49</v>
      </c>
      <c r="AS8" s="17" t="n">
        <f aca="false">IF(B8&gt;0, (B8+C8)-TIME(13,30,0), "")</f>
        <v>45995.3416666667</v>
      </c>
      <c r="AT8" s="18" t="n">
        <f aca="false">IF(B8&gt;0, (B8+C8)-TIME(13,30,0), "")</f>
        <v>45995.3416666667</v>
      </c>
      <c r="AU8" s="17" t="n">
        <f aca="false">IF(V8&gt;0, (V8+W8)-TIME(13,30,0), "")</f>
        <v>45999.4083333333</v>
      </c>
      <c r="AV8" s="18" t="n">
        <f aca="false">IF(V8&gt;0, (V8+W8)-TIME(13,30,0), "")</f>
        <v>45999.4083333333</v>
      </c>
      <c r="AW8" s="19" t="n">
        <f aca="false">24*(
MAX(0,
IF(NETWORKDAYS(AS8,AU8)=1,
MIN(MOD(AV8,1),TIME(17,30,0)) - MAX(MOD(AT8,1),TIME(8,30,0)),
(TIME(17,30,0)-MAX(MOD(AT8,1),TIME(8,30,0)))
+ (MIN(MOD(AV8,1),TIME(17,30,0))-TIME(8,30,0))
+ (NETWORKDAYS(AS8,AU8)-2)*9/24
)
)
)</f>
        <v>19.3</v>
      </c>
      <c r="AX8" s="19" t="n">
        <f aca="false">24*(
MAX(0,
IF(NETWORKDAYS(AS8,AU8)=1,
MIN(MOD(AV8,1),TIME(17,30,0)) - MAX(MOD(AT8,1),TIME(8,30,0)),
(TIME(17,30,0)-MAX(MOD(AT8,1),TIME(8,30,0)))
+ (MIN(MOD(AV8,1),TIME(17,30,0))-TIME(8,30,0))
+ (NETWORKDAYS(AS8,AU8)-2)* (TIME(17,30,0)-TIME(8,30,0))
)
)
)</f>
        <v>19.3</v>
      </c>
      <c r="AY8" s="20" t="n">
        <f aca="false">ROUND(
IF(AS8=AU8,
MAX(0,
(MIN(MOD(AV8,1),TIME(17,30,0))-
MAX(MOD(AT8,1),TIME(8,30,0)))*24
),
(
(MAX(0,TIME(17,30,0)-MAX(MOD(AT8,1),TIME(8,30,0)))*24)
+
(MAX(0,MIN(MOD(AV8,1),TIME(17,30,0))-TIME(8,30,0))*24)
+
(MAX(0,NETWORKDAYS(AS8+1,AU8-1))*9)
)
),
2)</f>
        <v>19.3</v>
      </c>
      <c r="AZ8" s="0" t="n">
        <f aca="false" t="array" ref="AZ8:AZ8">_xlfn.XLOOKUP(J8,{"Low","Medium","High"},{270,72,24})</f>
        <v>270</v>
      </c>
      <c r="BA8" s="0" t="str">
        <f aca="false">IF(AW8&gt;AZ8,"Not Met","Met")</f>
        <v>Met</v>
      </c>
      <c r="BB8" s="21" t="str">
        <f aca="false">IF(AS8="","",TEXT(AS8,"MMM")&amp;"'"&amp;TEXT(AS8,"yy"))</f>
        <v>Dec'25</v>
      </c>
      <c r="BC8" s="0" t="str">
        <f aca="false">IF(AU8="","",TEXT(AU8,"MMM")&amp;"'"&amp;TEXT(AU8,"yy"))</f>
        <v>Dec'25</v>
      </c>
    </row>
    <row r="9" customFormat="false" ht="15" hidden="false" customHeight="false" outlineLevel="0" collapsed="false">
      <c r="A9" s="23" t="s">
        <v>114</v>
      </c>
      <c r="B9" s="24" t="n">
        <v>45996</v>
      </c>
      <c r="C9" s="12" t="n">
        <v>0.261111111111111</v>
      </c>
      <c r="D9" s="13" t="str">
        <f aca="false">IF(B9="","",TEXT(B9,"MMM")&amp;"'"&amp;TEXT(B9,"yy"))</f>
        <v>Dec'25</v>
      </c>
      <c r="E9" s="1" t="s">
        <v>55</v>
      </c>
      <c r="F9" s="1" t="s">
        <v>39</v>
      </c>
      <c r="G9" s="1" t="str">
        <f aca="false">IF(F9="Closed","Closed","Pending")</f>
        <v>Closed</v>
      </c>
      <c r="H9" s="1" t="s">
        <v>56</v>
      </c>
      <c r="I9" s="1" t="s">
        <v>103</v>
      </c>
      <c r="J9" s="1" t="s">
        <v>58</v>
      </c>
      <c r="K9" s="1" t="s">
        <v>59</v>
      </c>
      <c r="L9" s="1" t="s">
        <v>115</v>
      </c>
      <c r="M9" s="1" t="s">
        <v>116</v>
      </c>
      <c r="N9" s="1" t="s">
        <v>65</v>
      </c>
      <c r="O9" s="1" t="s">
        <v>106</v>
      </c>
      <c r="P9" s="1" t="s">
        <v>117</v>
      </c>
      <c r="Q9" s="1" t="s">
        <v>86</v>
      </c>
      <c r="R9" s="1" t="s">
        <v>118</v>
      </c>
      <c r="U9" s="12" t="n">
        <v>0.275694444444444</v>
      </c>
      <c r="V9" s="11" t="n">
        <v>45996</v>
      </c>
      <c r="W9" s="12" t="n">
        <v>0.925694444444445</v>
      </c>
      <c r="X9" s="11" t="n">
        <v>46003</v>
      </c>
      <c r="Y9" s="12" t="n">
        <v>0.0194444444444444</v>
      </c>
      <c r="Z9" s="1" t="s">
        <v>67</v>
      </c>
      <c r="AA9" s="1" t="s">
        <v>68</v>
      </c>
      <c r="AB9" s="2" t="n">
        <f aca="false">U9-C9</f>
        <v>0.0145833333333333</v>
      </c>
      <c r="AC9" s="14" t="str">
        <f aca="false">TEXT(((V9+W9)-(B9+C9)),"hh:mm")</f>
        <v>15:57</v>
      </c>
      <c r="AD9" s="4" t="str">
        <f aca="false">INT((V9+W9)-(B9+C9)) &amp; ":" &amp;
TEXT(HOUR((V9+W9)-(B9+C9)), "00") &amp; ":" &amp;
TEXT(MINUTE((V9+W9)-(B9+C9)), "00")</f>
        <v>0:15:57</v>
      </c>
      <c r="AE9" s="1" t="n">
        <f aca="false">IFERROR(
LEFT(AD9,FIND(":",AD9)-1)
+ MID(AD9,FIND(":",AD9)+1,2)/24
+ RIGHT(AD9,2)/1440,
"")</f>
        <v>0.664583333333333</v>
      </c>
      <c r="AF9" s="4" t="str">
        <f aca="false">INT((X9+Y9)-(B9+C9)) &amp; ":" &amp;
TEXT(HOUR((X9+Y9)-(B9+C9)), "00") &amp; ":" &amp;
TEXT(MINUTE((X9+Y9)-(B9+C9)), "00")</f>
        <v>6:18:12</v>
      </c>
      <c r="AG9" s="4" t="str">
        <f aca="false" t="array" ref="AG9:AG9">INT(_xlfn.XLOOKUP(J9,{"Low","Medium","High","Urgent"},{48,24,12,8})/24) &amp; ":" &amp;
TEXT(MOD(_xlfn.XLOOKUP(J9,{"Low","Medium","High","Urgent"},{48,24,12,8}),24)/24,"hh:mm")</f>
        <v>1:00:00</v>
      </c>
      <c r="AH9" s="4" t="str">
        <f aca="false">IF(AD9&gt;AG9,"Not Met","Met")</f>
        <v>Met</v>
      </c>
      <c r="AI9" s="4" t="str">
        <f aca="false">IF(AB9&lt;TIME(0,30,0),"Met","Not Met")</f>
        <v>Met</v>
      </c>
      <c r="AN9" s="1" t="str">
        <f aca="false">TEXT(B9,"dd")</f>
        <v>05</v>
      </c>
      <c r="AO9" s="1" t="str">
        <f aca="false">TEXT(X9,"dd")</f>
        <v>12</v>
      </c>
      <c r="AP9" s="16" t="str">
        <f aca="false">INT(
  NETWORKDAYS(B9,V9)-1
  + IF(WEEKDAY(V9,2)&lt;6,MOD(V9+W9,1),0)
  - IF(WEEKDAY(B9,2)&lt;6,MOD(B9+C9,1),0)
)
&amp; ":" &amp;
TEXT(HOUR(
  NETWORKDAYS(B9,V9)-1
  + IF(WEEKDAY(V9,2)&lt;6,MOD(V9+W9,1),0)
  - IF(WEEKDAY(B9,2)&lt;6,MOD(B9+C9,1),0)
),"00")
&amp; ":" &amp;
TEXT(MINUTE(
  NETWORKDAYS(B9,V9)-1
  + IF(WEEKDAY(V9,2)&lt;6,MOD(V9+W9,1),0)
  - IF(WEEKDAY(B9,2)&lt;6,MOD(B9+C9,1),0)
),"00")</f>
        <v>0:15:56</v>
      </c>
      <c r="AQ9" s="0" t="n">
        <f aca="false">IFERROR(
LEFT(AP9,FIND(":",AP9)-1)
+ MID(AP9,FIND(":",AP9)+1,2)/24
+ RIGHT(AP9,2)/1440,
"")</f>
        <v>0.663888888888889</v>
      </c>
      <c r="AR9" s="0" t="n">
        <f aca="false">WEEKNUM(B9,1)</f>
        <v>49</v>
      </c>
      <c r="AS9" s="17" t="n">
        <f aca="false">IF(B9&gt;0, (B9+C9)-TIME(13,30,0), "")</f>
        <v>45995.6986111111</v>
      </c>
      <c r="AT9" s="18" t="n">
        <f aca="false">IF(B9&gt;0, (B9+C9)-TIME(13,30,0), "")</f>
        <v>45995.6986111111</v>
      </c>
      <c r="AU9" s="17" t="n">
        <f aca="false">IF(V9&gt;0, (V9+W9)-TIME(13,30,0), "")</f>
        <v>45996.3631944444</v>
      </c>
      <c r="AV9" s="18" t="n">
        <f aca="false">IF(V9&gt;0, (V9+W9)-TIME(13,30,0), "")</f>
        <v>45996.3631944444</v>
      </c>
      <c r="AW9" s="19" t="n">
        <f aca="false">24*(
MAX(0,
IF(NETWORKDAYS(AS9,AU9)=1,
MIN(MOD(AV9,1),TIME(17,30,0)) - MAX(MOD(AT9,1),TIME(8,30,0)),
(TIME(17,30,0)-MAX(MOD(AT9,1),TIME(8,30,0)))
+ (MIN(MOD(AV9,1),TIME(17,30,0))-TIME(8,30,0))
+ (NETWORKDAYS(AS9,AU9)-2)*9/24
)
)
)</f>
        <v>0.95</v>
      </c>
      <c r="AX9" s="19" t="n">
        <f aca="false">24*(
MAX(0,
IF(NETWORKDAYS(AS9,AU9)=1,
MIN(MOD(AV9,1),TIME(17,30,0)) - MAX(MOD(AT9,1),TIME(8,30,0)),
(TIME(17,30,0)-MAX(MOD(AT9,1),TIME(8,30,0)))
+ (MIN(MOD(AV9,1),TIME(17,30,0))-TIME(8,30,0))
+ (NETWORKDAYS(AS9,AU9)-2)* (TIME(17,30,0)-TIME(8,30,0))
)
)
)</f>
        <v>0.95</v>
      </c>
      <c r="AY9" s="20" t="n">
        <f aca="false">ROUND(
IF(AS9=AU9,
MAX(0,
(MIN(MOD(AV9,1),TIME(17,30,0))-
MAX(MOD(AT9,1),TIME(8,30,0)))*24
),
(
(MAX(0,TIME(17,30,0)-MAX(MOD(AT9,1),TIME(8,30,0)))*24)
+
(MAX(0,MIN(MOD(AV9,1),TIME(17,30,0))-TIME(8,30,0))*24)
+
(MAX(0,NETWORKDAYS(AS9+1,AU9-1))*9)
)
),
2)</f>
        <v>0.95</v>
      </c>
      <c r="AZ9" s="0" t="n">
        <f aca="false" t="array" ref="AZ9:AZ9">_xlfn.XLOOKUP(J9,{"Low","Medium","High"},{270,72,24})</f>
        <v>72</v>
      </c>
      <c r="BA9" s="0" t="str">
        <f aca="false">IF(AW9&gt;AZ9,"Not Met","Met")</f>
        <v>Met</v>
      </c>
      <c r="BB9" s="21" t="str">
        <f aca="false">IF(AS9="","",TEXT(AS9,"MMM")&amp;"'"&amp;TEXT(AS9,"yy"))</f>
        <v>Dec'25</v>
      </c>
      <c r="BC9" s="0" t="str">
        <f aca="false">IF(AU9="","",TEXT(AU9,"MMM")&amp;"'"&amp;TEXT(AU9,"yy"))</f>
        <v>Dec'25</v>
      </c>
    </row>
    <row r="10" customFormat="false" ht="15" hidden="false" customHeight="false" outlineLevel="0" collapsed="false">
      <c r="A10" s="23" t="s">
        <v>119</v>
      </c>
      <c r="B10" s="11" t="n">
        <v>45997</v>
      </c>
      <c r="C10" s="12" t="n">
        <v>0.0583333333333333</v>
      </c>
      <c r="D10" s="13" t="str">
        <f aca="false">IF(B10="","",TEXT(B10,"MMM")&amp;"'"&amp;TEXT(B10,"yy"))</f>
        <v>Dec'25</v>
      </c>
      <c r="E10" s="1" t="s">
        <v>55</v>
      </c>
      <c r="F10" s="1" t="s">
        <v>39</v>
      </c>
      <c r="G10" s="1" t="str">
        <f aca="false">IF(F10="Closed","Closed","Pending")</f>
        <v>Closed</v>
      </c>
      <c r="H10" s="1" t="s">
        <v>120</v>
      </c>
      <c r="I10" s="1" t="s">
        <v>121</v>
      </c>
      <c r="J10" s="1" t="s">
        <v>74</v>
      </c>
      <c r="K10" s="1" t="s">
        <v>59</v>
      </c>
      <c r="L10" s="1" t="s">
        <v>122</v>
      </c>
      <c r="M10" s="1" t="s">
        <v>123</v>
      </c>
      <c r="N10" s="1" t="s">
        <v>65</v>
      </c>
      <c r="O10" s="1" t="s">
        <v>106</v>
      </c>
      <c r="P10" s="1" t="s">
        <v>124</v>
      </c>
      <c r="Q10" s="1" t="s">
        <v>86</v>
      </c>
      <c r="R10" s="1" t="s">
        <v>66</v>
      </c>
      <c r="U10" s="12" t="n">
        <v>0.075</v>
      </c>
      <c r="V10" s="11" t="n">
        <v>45999</v>
      </c>
      <c r="W10" s="12" t="n">
        <v>0.970833333333333</v>
      </c>
      <c r="X10" s="11" t="n">
        <v>46001</v>
      </c>
      <c r="Y10" s="12" t="n">
        <v>0.28125</v>
      </c>
      <c r="Z10" s="23" t="s">
        <v>108</v>
      </c>
      <c r="AA10" s="1" t="s">
        <v>68</v>
      </c>
      <c r="AB10" s="2" t="n">
        <f aca="false">U10-C10</f>
        <v>0.0166666666666667</v>
      </c>
      <c r="AC10" s="14" t="str">
        <f aca="false">TEXT(((V10+W10)-(B10+C10)),"hh:mm")</f>
        <v>21:54</v>
      </c>
      <c r="AD10" s="4" t="str">
        <f aca="false">INT((V10+W10)-(B10+C10)) &amp; ":" &amp;
TEXT(HOUR((V10+W10)-(B10+C10)), "00") &amp; ":" &amp;
TEXT(MINUTE((V10+W10)-(B10+C10)), "00")</f>
        <v>2:21:54</v>
      </c>
      <c r="AE10" s="1" t="n">
        <f aca="false">IFERROR(
LEFT(AD10,FIND(":",AD10)-1)
+ MID(AD10,FIND(":",AD10)+1,2)/24
+ RIGHT(AD10,2)/1440,
"")</f>
        <v>2.9125</v>
      </c>
      <c r="AF10" s="4" t="str">
        <f aca="false">INT((X10+Y10)-(B10+C10)) &amp; ":" &amp;
TEXT(HOUR((X10+Y10)-(B10+C10)), "00") &amp; ":" &amp;
TEXT(MINUTE((X10+Y10)-(B10+C10)), "00")</f>
        <v>4:05:21</v>
      </c>
      <c r="AG10" s="4" t="str">
        <f aca="false" t="array" ref="AG10:AG10">INT(_xlfn.XLOOKUP(J10,{"Low","Medium","High","Urgent"},{48,24,12,8})/24) &amp; ":" &amp;
TEXT(MOD(_xlfn.XLOOKUP(J10,{"Low","Medium","High","Urgent"},{48,24,12,8}),24)/24,"hh:mm")</f>
        <v>2:00:00</v>
      </c>
      <c r="AH10" s="4" t="str">
        <f aca="false">IF(AD10&gt;AG10,"Not Met","Met")</f>
        <v>Not Met</v>
      </c>
      <c r="AI10" s="4" t="str">
        <f aca="false">IF(AB10&lt;TIME(0,30,0),"Met","Not Met")</f>
        <v>Met</v>
      </c>
      <c r="AN10" s="1" t="str">
        <f aca="false">TEXT(B10,"dd")</f>
        <v>06</v>
      </c>
      <c r="AO10" s="1" t="str">
        <f aca="false">TEXT(X10,"dd")</f>
        <v>10</v>
      </c>
      <c r="AP10" s="16" t="str">
        <f aca="false">INT(
  NETWORKDAYS(B10,V10)-1
  + IF(WEEKDAY(V10,2)&lt;6,MOD(V10+W10,1),0)
  - IF(WEEKDAY(B10,2)&lt;6,MOD(B10+C10,1),0)
)
&amp; ":" &amp;
TEXT(HOUR(
  NETWORKDAYS(B10,V10)-1
  + IF(WEEKDAY(V10,2)&lt;6,MOD(V10+W10,1),0)
  - IF(WEEKDAY(B10,2)&lt;6,MOD(B10+C10,1),0)
),"00")
&amp; ":" &amp;
TEXT(MINUTE(
  NETWORKDAYS(B10,V10)-1
  + IF(WEEKDAY(V10,2)&lt;6,MOD(V10+W10,1),0)
  - IF(WEEKDAY(B10,2)&lt;6,MOD(B10+C10,1),0)
),"00")</f>
        <v>0:23:17</v>
      </c>
      <c r="AQ10" s="0" t="n">
        <f aca="false">IFERROR(
LEFT(AP10,FIND(":",AP10)-1)
+ MID(AP10,FIND(":",AP10)+1,2)/24
+ RIGHT(AP10,2)/1440,
"")</f>
        <v>0.970138888888889</v>
      </c>
      <c r="AR10" s="0" t="n">
        <f aca="false">WEEKNUM(B10,1)</f>
        <v>49</v>
      </c>
      <c r="AS10" s="17" t="n">
        <f aca="false">IF(B10&gt;0, (B10+C10)-TIME(13,30,0), "")</f>
        <v>45996.4958333333</v>
      </c>
      <c r="AT10" s="18" t="n">
        <f aca="false">IF(B10&gt;0, (B10+C10)-TIME(13,30,0), "")</f>
        <v>45996.4958333333</v>
      </c>
      <c r="AU10" s="17" t="n">
        <f aca="false">IF(V10&gt;0, (V10+W10)-TIME(13,30,0), "")</f>
        <v>45999.4083333333</v>
      </c>
      <c r="AV10" s="18" t="n">
        <f aca="false">IF(V10&gt;0, (V10+W10)-TIME(13,30,0), "")</f>
        <v>45999.4083333333</v>
      </c>
      <c r="AW10" s="19" t="n">
        <f aca="false">24*(
MAX(0,
IF(NETWORKDAYS(AS10,AU10)=1,
MIN(MOD(AV10,1),TIME(17,30,0)) - MAX(MOD(AT10,1),TIME(8,30,0)),
(TIME(17,30,0)-MAX(MOD(AT10,1),TIME(8,30,0)))
+ (MIN(MOD(AV10,1),TIME(17,30,0))-TIME(8,30,0))
+ (NETWORKDAYS(AS10,AU10)-2)*9/24
)
)
)</f>
        <v>6.9</v>
      </c>
      <c r="AX10" s="19" t="n">
        <f aca="false">24*(
MAX(0,
IF(NETWORKDAYS(AS10,AU10)=1,
MIN(MOD(AV10,1),TIME(17,30,0)) - MAX(MOD(AT10,1),TIME(8,30,0)),
(TIME(17,30,0)-MAX(MOD(AT10,1),TIME(8,30,0)))
+ (MIN(MOD(AV10,1),TIME(17,30,0))-TIME(8,30,0))
+ (NETWORKDAYS(AS10,AU10)-2)* (TIME(17,30,0)-TIME(8,30,0))
)
)
)</f>
        <v>6.9</v>
      </c>
      <c r="AY10" s="20" t="n">
        <f aca="false">ROUND(
IF(AS10=AU10,
MAX(0,
(MIN(MOD(AV10,1),TIME(17,30,0))-
MAX(MOD(AT10,1),TIME(8,30,0)))*24
),
(
(MAX(0,TIME(17,30,0)-MAX(MOD(AT10,1),TIME(8,30,0)))*24)
+
(MAX(0,MIN(MOD(AV10,1),TIME(17,30,0))-TIME(8,30,0))*24)
+
(MAX(0,NETWORKDAYS(AS10+1,AU10-1))*9)
)
),
2)</f>
        <v>6.9</v>
      </c>
      <c r="AZ10" s="0" t="n">
        <f aca="false" t="array" ref="AZ10:AZ10">_xlfn.XLOOKUP(J10,{"Low","Medium","High"},{270,72,24})</f>
        <v>270</v>
      </c>
      <c r="BA10" s="0" t="str">
        <f aca="false">IF(AW10&gt;AZ10,"Not Met","Met")</f>
        <v>Met</v>
      </c>
      <c r="BB10" s="21" t="str">
        <f aca="false">IF(AS10="","",TEXT(AS10,"MMM")&amp;"'"&amp;TEXT(AS10,"yy"))</f>
        <v>Dec'25</v>
      </c>
      <c r="BC10" s="0" t="str">
        <f aca="false">IF(AU10="","",TEXT(AU10,"MMM")&amp;"'"&amp;TEXT(AU10,"yy"))</f>
        <v>Dec'25</v>
      </c>
    </row>
    <row r="11" customFormat="false" ht="15" hidden="false" customHeight="false" outlineLevel="0" collapsed="false">
      <c r="A11" s="23" t="s">
        <v>125</v>
      </c>
      <c r="B11" s="11" t="n">
        <v>45997</v>
      </c>
      <c r="C11" s="12" t="n">
        <v>0.0770833333333333</v>
      </c>
      <c r="D11" s="13" t="str">
        <f aca="false">IF(B11="","",TEXT(B11,"MMM")&amp;"'"&amp;TEXT(B11,"yy"))</f>
        <v>Dec'25</v>
      </c>
      <c r="E11" s="1" t="s">
        <v>55</v>
      </c>
      <c r="F11" s="1" t="s">
        <v>39</v>
      </c>
      <c r="G11" s="1" t="str">
        <f aca="false">IF(F11="Closed","Closed","Pending")</f>
        <v>Closed</v>
      </c>
      <c r="H11" s="1" t="s">
        <v>120</v>
      </c>
      <c r="I11" s="1" t="s">
        <v>126</v>
      </c>
      <c r="J11" s="1" t="s">
        <v>74</v>
      </c>
      <c r="K11" s="1" t="s">
        <v>59</v>
      </c>
      <c r="L11" s="1" t="s">
        <v>127</v>
      </c>
      <c r="M11" s="1" t="s">
        <v>128</v>
      </c>
      <c r="N11" s="1" t="s">
        <v>65</v>
      </c>
      <c r="O11" s="1" t="s">
        <v>106</v>
      </c>
      <c r="P11" s="1" t="s">
        <v>124</v>
      </c>
      <c r="Q11" s="1" t="s">
        <v>86</v>
      </c>
      <c r="R11" s="1" t="s">
        <v>66</v>
      </c>
      <c r="U11" s="12" t="n">
        <v>0.0798611111111111</v>
      </c>
      <c r="V11" s="11" t="n">
        <v>46003</v>
      </c>
      <c r="W11" s="12" t="n">
        <v>0.186805555555556</v>
      </c>
      <c r="X11" s="11" t="n">
        <v>46003</v>
      </c>
      <c r="Y11" s="12" t="n">
        <v>0.459027777777778</v>
      </c>
      <c r="Z11" s="1" t="s">
        <v>67</v>
      </c>
      <c r="AA11" s="1" t="s">
        <v>68</v>
      </c>
      <c r="AB11" s="2" t="n">
        <f aca="false">U11-C11</f>
        <v>0.00277777777777778</v>
      </c>
      <c r="AC11" s="14" t="str">
        <f aca="false">TEXT(((V11+W11)-(B11+C11)),"hh:mm")</f>
        <v>02:38</v>
      </c>
      <c r="AD11" s="4" t="str">
        <f aca="false">INT((V11+W11)-(B11+C11)) &amp; ":" &amp;
TEXT(HOUR((V11+W11)-(B11+C11)), "00") &amp; ":" &amp;
TEXT(MINUTE((V11+W11)-(B11+C11)), "00")</f>
        <v>6:02:38</v>
      </c>
      <c r="AE11" s="1" t="n">
        <f aca="false">IFERROR(
LEFT(AD11,FIND(":",AD11)-1)
+ MID(AD11,FIND(":",AD11)+1,2)/24
+ RIGHT(AD11,2)/1440,
"")</f>
        <v>6.10972222222222</v>
      </c>
      <c r="AF11" s="4" t="str">
        <f aca="false">INT((X11+Y11)-(B11+C11)) &amp; ":" &amp;
TEXT(HOUR((X11+Y11)-(B11+C11)), "00") &amp; ":" &amp;
TEXT(MINUTE((X11+Y11)-(B11+C11)), "00")</f>
        <v>6:09:10</v>
      </c>
      <c r="AG11" s="4" t="str">
        <f aca="false" t="array" ref="AG11:AG11">INT(_xlfn.XLOOKUP(J11,{"Low","Medium","High","Urgent"},{48,24,12,8})/24) &amp; ":" &amp;
TEXT(MOD(_xlfn.XLOOKUP(J11,{"Low","Medium","High","Urgent"},{48,24,12,8}),24)/24,"hh:mm")</f>
        <v>2:00:00</v>
      </c>
      <c r="AH11" s="4" t="str">
        <f aca="false">IF(AD11&gt;AG11,"Not Met","Met")</f>
        <v>Not Met</v>
      </c>
      <c r="AI11" s="4" t="str">
        <f aca="false">IF(AB11&lt;TIME(0,30,0),"Met","Not Met")</f>
        <v>Met</v>
      </c>
      <c r="AN11" s="1" t="str">
        <f aca="false">TEXT(B11,"dd")</f>
        <v>06</v>
      </c>
      <c r="AO11" s="1" t="str">
        <f aca="false">TEXT(X11,"dd")</f>
        <v>12</v>
      </c>
      <c r="AP11" s="16" t="str">
        <f aca="false">INT(
  NETWORKDAYS(B11,V11)-1
  + IF(WEEKDAY(V11,2)&lt;6,MOD(V11+W11,1),0)
  - IF(WEEKDAY(B11,2)&lt;6,MOD(B11+C11,1),0)
)
&amp; ":" &amp;
TEXT(HOUR(
  NETWORKDAYS(B11,V11)-1
  + IF(WEEKDAY(V11,2)&lt;6,MOD(V11+W11,1),0)
  - IF(WEEKDAY(B11,2)&lt;6,MOD(B11+C11,1),0)
),"00")
&amp; ":" &amp;
TEXT(MINUTE(
  NETWORKDAYS(B11,V11)-1
  + IF(WEEKDAY(V11,2)&lt;6,MOD(V11+W11,1),0)
  - IF(WEEKDAY(B11,2)&lt;6,MOD(B11+C11,1),0)
),"00")</f>
        <v>4:04:28</v>
      </c>
      <c r="AQ11" s="0" t="n">
        <f aca="false">IFERROR(
LEFT(AP11,FIND(":",AP11)-1)
+ MID(AP11,FIND(":",AP11)+1,2)/24
+ RIGHT(AP11,2)/1440,
"")</f>
        <v>4.18611111111111</v>
      </c>
      <c r="AR11" s="0" t="n">
        <f aca="false">WEEKNUM(B11,1)</f>
        <v>49</v>
      </c>
      <c r="AS11" s="17" t="n">
        <f aca="false">IF(B11&gt;0, (B11+C11)-TIME(13,30,0), "")</f>
        <v>45996.5145833333</v>
      </c>
      <c r="AT11" s="18" t="n">
        <f aca="false">IF(B11&gt;0, (B11+C11)-TIME(13,30,0), "")</f>
        <v>45996.5145833333</v>
      </c>
      <c r="AU11" s="17" t="n">
        <f aca="false">IF(V11&gt;0, (V11+W11)-TIME(13,30,0), "")</f>
        <v>46002.6243055556</v>
      </c>
      <c r="AV11" s="18" t="n">
        <f aca="false">IF(V11&gt;0, (V11+W11)-TIME(13,30,0), "")</f>
        <v>46002.6243055556</v>
      </c>
      <c r="AW11" s="19" t="n">
        <f aca="false">24*(
MAX(0,
IF(NETWORKDAYS(AS11,AU11)=1,
MIN(MOD(AV11,1),TIME(17,30,0)) - MAX(MOD(AT11,1),TIME(8,30,0)),
(TIME(17,30,0)-MAX(MOD(AT11,1),TIME(8,30,0)))
+ (MIN(MOD(AV11,1),TIME(17,30,0))-TIME(8,30,0))
+ (NETWORKDAYS(AS11,AU11)-2)*9/24
)
)
)</f>
        <v>38.6333333333333</v>
      </c>
      <c r="AX11" s="19" t="n">
        <f aca="false">24*(
MAX(0,
IF(NETWORKDAYS(AS11,AU11)=1,
MIN(MOD(AV11,1),TIME(17,30,0)) - MAX(MOD(AT11,1),TIME(8,30,0)),
(TIME(17,30,0)-MAX(MOD(AT11,1),TIME(8,30,0)))
+ (MIN(MOD(AV11,1),TIME(17,30,0))-TIME(8,30,0))
+ (NETWORKDAYS(AS11,AU11)-2)* (TIME(17,30,0)-TIME(8,30,0))
)
)
)</f>
        <v>38.6333333333333</v>
      </c>
      <c r="AY11" s="20" t="n">
        <f aca="false">ROUND(
IF(AS11=AU11,
MAX(0,
(MIN(MOD(AV11,1),TIME(17,30,0))-
MAX(MOD(AT11,1),TIME(8,30,0)))*24
),
(
(MAX(0,TIME(17,30,0)-MAX(MOD(AT11,1),TIME(8,30,0)))*24)
+
(MAX(0,MIN(MOD(AV11,1),TIME(17,30,0))-TIME(8,30,0))*24)
+
(MAX(0,NETWORKDAYS(AS11+1,AU11-1))*9)
)
),
2)</f>
        <v>38.63</v>
      </c>
      <c r="AZ11" s="0" t="n">
        <f aca="false" t="array" ref="AZ11:AZ11">_xlfn.XLOOKUP(J11,{"Low","Medium","High"},{270,72,24})</f>
        <v>270</v>
      </c>
      <c r="BA11" s="0" t="str">
        <f aca="false">IF(AW11&gt;AZ11,"Not Met","Met")</f>
        <v>Met</v>
      </c>
      <c r="BB11" s="21" t="str">
        <f aca="false">IF(AS11="","",TEXT(AS11,"MMM")&amp;"'"&amp;TEXT(AS11,"yy"))</f>
        <v>Dec'25</v>
      </c>
      <c r="BC11" s="0" t="str">
        <f aca="false">IF(AU11="","",TEXT(AU11,"MMM")&amp;"'"&amp;TEXT(AU11,"yy"))</f>
        <v>Dec'25</v>
      </c>
    </row>
    <row r="12" customFormat="false" ht="15" hidden="false" customHeight="false" outlineLevel="0" collapsed="false">
      <c r="A12" s="23" t="s">
        <v>129</v>
      </c>
      <c r="B12" s="11" t="n">
        <v>45997</v>
      </c>
      <c r="C12" s="12" t="n">
        <v>0.147222222222222</v>
      </c>
      <c r="D12" s="13" t="str">
        <f aca="false">IF(B12="","",TEXT(B12,"MMM")&amp;"'"&amp;TEXT(B12,"yy"))</f>
        <v>Dec'25</v>
      </c>
      <c r="E12" s="1" t="s">
        <v>55</v>
      </c>
      <c r="F12" s="1" t="s">
        <v>39</v>
      </c>
      <c r="G12" s="1" t="str">
        <f aca="false">IF(F12="Closed","Closed","Pending")</f>
        <v>Closed</v>
      </c>
      <c r="H12" s="1" t="s">
        <v>72</v>
      </c>
      <c r="I12" s="1" t="s">
        <v>130</v>
      </c>
      <c r="J12" s="1" t="s">
        <v>74</v>
      </c>
      <c r="K12" s="1" t="s">
        <v>59</v>
      </c>
      <c r="L12" s="1" t="s">
        <v>131</v>
      </c>
      <c r="M12" s="1" t="s">
        <v>132</v>
      </c>
      <c r="N12" s="1" t="s">
        <v>62</v>
      </c>
      <c r="O12" s="1" t="s">
        <v>77</v>
      </c>
      <c r="P12" s="1" t="s">
        <v>133</v>
      </c>
      <c r="Q12" s="1" t="s">
        <v>86</v>
      </c>
      <c r="R12" s="1" t="s">
        <v>87</v>
      </c>
      <c r="U12" s="12" t="n">
        <v>0.154166666666667</v>
      </c>
      <c r="V12" s="11" t="n">
        <v>46002</v>
      </c>
      <c r="W12" s="12" t="n">
        <v>0.965972222222222</v>
      </c>
      <c r="X12" s="11" t="n">
        <v>46008</v>
      </c>
      <c r="Y12" s="12" t="n">
        <v>0.0972222222222222</v>
      </c>
      <c r="Z12" s="1" t="s">
        <v>67</v>
      </c>
      <c r="AA12" s="1" t="s">
        <v>68</v>
      </c>
      <c r="AB12" s="2" t="n">
        <f aca="false">U12-C12</f>
        <v>0.00694444444444444</v>
      </c>
      <c r="AC12" s="14" t="str">
        <f aca="false">TEXT(((V12+W12)-(B12+C12)),"hh:mm")</f>
        <v>19:39</v>
      </c>
      <c r="AD12" s="4" t="str">
        <f aca="false">INT((V12+W12)-(B12+C12)) &amp; ":" &amp;
TEXT(HOUR((V12+W12)-(B12+C12)), "00") &amp; ":" &amp;
TEXT(MINUTE((V12+W12)-(B12+C12)), "00")</f>
        <v>5:19:39</v>
      </c>
      <c r="AE12" s="1" t="n">
        <f aca="false">IFERROR(
LEFT(AD12,FIND(":",AD12)-1)
+ MID(AD12,FIND(":",AD12)+1,2)/24
+ RIGHT(AD12,2)/1440,
"")</f>
        <v>5.81875</v>
      </c>
      <c r="AF12" s="4" t="str">
        <f aca="false">INT((X12+Y12)-(B12+C12)) &amp; ":" &amp;
TEXT(HOUR((X12+Y12)-(B12+C12)), "00") &amp; ":" &amp;
TEXT(MINUTE((X12+Y12)-(B12+C12)), "00")</f>
        <v>10:22:48</v>
      </c>
      <c r="AG12" s="4" t="str">
        <f aca="false" t="array" ref="AG12:AG12">INT(_xlfn.XLOOKUP(J12,{"Low","Medium","High","Urgent"},{48,24,12,8})/24) &amp; ":" &amp;
TEXT(MOD(_xlfn.XLOOKUP(J12,{"Low","Medium","High","Urgent"},{48,24,12,8}),24)/24,"hh:mm")</f>
        <v>2:00:00</v>
      </c>
      <c r="AH12" s="4" t="str">
        <f aca="false">IF(AD12&gt;AG12,"Not Met","Met")</f>
        <v>Not Met</v>
      </c>
      <c r="AI12" s="4" t="str">
        <f aca="false">IF(AB12&lt;TIME(0,30,0),"Met","Not Met")</f>
        <v>Met</v>
      </c>
      <c r="AN12" s="1" t="str">
        <f aca="false">TEXT(B12,"dd")</f>
        <v>06</v>
      </c>
      <c r="AO12" s="1" t="str">
        <f aca="false">TEXT(X12,"dd")</f>
        <v>17</v>
      </c>
      <c r="AP12" s="16" t="str">
        <f aca="false">INT(
  NETWORKDAYS(B12,V12)-1
  + IF(WEEKDAY(V12,2)&lt;6,MOD(V12+W12,1),0)
  - IF(WEEKDAY(B12,2)&lt;6,MOD(B12+C12,1),0)
)
&amp; ":" &amp;
TEXT(HOUR(
  NETWORKDAYS(B12,V12)-1
  + IF(WEEKDAY(V12,2)&lt;6,MOD(V12+W12,1),0)
  - IF(WEEKDAY(B12,2)&lt;6,MOD(B12+C12,1),0)
),"00")
&amp; ":" &amp;
TEXT(MINUTE(
  NETWORKDAYS(B12,V12)-1
  + IF(WEEKDAY(V12,2)&lt;6,MOD(V12+W12,1),0)
  - IF(WEEKDAY(B12,2)&lt;6,MOD(B12+C12,1),0)
),"00")</f>
        <v>3:23:10</v>
      </c>
      <c r="AQ12" s="0" t="n">
        <f aca="false">IFERROR(
LEFT(AP12,FIND(":",AP12)-1)
+ MID(AP12,FIND(":",AP12)+1,2)/24
+ RIGHT(AP12,2)/1440,
"")</f>
        <v>3.96527777777778</v>
      </c>
      <c r="AR12" s="0" t="n">
        <f aca="false">WEEKNUM(B12,1)</f>
        <v>49</v>
      </c>
      <c r="AS12" s="17" t="n">
        <f aca="false">IF(B12&gt;0, (B12+C12)-TIME(13,30,0), "")</f>
        <v>45996.5847222222</v>
      </c>
      <c r="AT12" s="18" t="n">
        <f aca="false">IF(B12&gt;0, (B12+C12)-TIME(13,30,0), "")</f>
        <v>45996.5847222222</v>
      </c>
      <c r="AU12" s="17" t="n">
        <f aca="false">IF(V12&gt;0, (V12+W12)-TIME(13,30,0), "")</f>
        <v>46002.4034722222</v>
      </c>
      <c r="AV12" s="18" t="n">
        <f aca="false">IF(V12&gt;0, (V12+W12)-TIME(13,30,0), "")</f>
        <v>46002.4034722222</v>
      </c>
      <c r="AW12" s="19" t="n">
        <f aca="false">24*(
MAX(0,
IF(NETWORKDAYS(AS12,AU12)=1,
MIN(MOD(AV12,1),TIME(17,30,0)) - MAX(MOD(AT12,1),TIME(8,30,0)),
(TIME(17,30,0)-MAX(MOD(AT12,1),TIME(8,30,0)))
+ (MIN(MOD(AV12,1),TIME(17,30,0))-TIME(8,30,0))
+ (NETWORKDAYS(AS12,AU12)-2)*9/24
)
)
)</f>
        <v>31.65</v>
      </c>
      <c r="AX12" s="19" t="n">
        <f aca="false">24*(
MAX(0,
IF(NETWORKDAYS(AS12,AU12)=1,
MIN(MOD(AV12,1),TIME(17,30,0)) - MAX(MOD(AT12,1),TIME(8,30,0)),
(TIME(17,30,0)-MAX(MOD(AT12,1),TIME(8,30,0)))
+ (MIN(MOD(AV12,1),TIME(17,30,0))-TIME(8,30,0))
+ (NETWORKDAYS(AS12,AU12)-2)* (TIME(17,30,0)-TIME(8,30,0))
)
)
)</f>
        <v>31.65</v>
      </c>
      <c r="AY12" s="20" t="n">
        <f aca="false">ROUND(
IF(AS12=AU12,
MAX(0,
(MIN(MOD(AV12,1),TIME(17,30,0))-
MAX(MOD(AT12,1),TIME(8,30,0)))*24
),
(
(MAX(0,TIME(17,30,0)-MAX(MOD(AT12,1),TIME(8,30,0)))*24)
+
(MAX(0,MIN(MOD(AV12,1),TIME(17,30,0))-TIME(8,30,0))*24)
+
(MAX(0,NETWORKDAYS(AS12+1,AU12-1))*9)
)
),
2)</f>
        <v>31.65</v>
      </c>
      <c r="AZ12" s="0" t="n">
        <f aca="false" t="array" ref="AZ12:AZ12">_xlfn.XLOOKUP(J12,{"Low","Medium","High"},{270,72,24})</f>
        <v>270</v>
      </c>
      <c r="BA12" s="0" t="str">
        <f aca="false">IF(AW12&gt;AZ12,"Not Met","Met")</f>
        <v>Met</v>
      </c>
      <c r="BB12" s="21" t="str">
        <f aca="false">IF(AS12="","",TEXT(AS12,"MMM")&amp;"'"&amp;TEXT(AS12,"yy"))</f>
        <v>Dec'25</v>
      </c>
      <c r="BC12" s="0" t="str">
        <f aca="false">IF(AU12="","",TEXT(AU12,"MMM")&amp;"'"&amp;TEXT(AU12,"yy"))</f>
        <v>Dec'25</v>
      </c>
    </row>
    <row r="13" customFormat="false" ht="15" hidden="false" customHeight="false" outlineLevel="0" collapsed="false">
      <c r="A13" s="23" t="s">
        <v>134</v>
      </c>
      <c r="B13" s="11" t="n">
        <v>45997</v>
      </c>
      <c r="C13" s="12" t="n">
        <v>0.183333333333333</v>
      </c>
      <c r="D13" s="13" t="str">
        <f aca="false">IF(B13="","",TEXT(B13,"MMM")&amp;"'"&amp;TEXT(B13,"yy"))</f>
        <v>Dec'25</v>
      </c>
      <c r="E13" s="1" t="s">
        <v>55</v>
      </c>
      <c r="F13" s="1" t="s">
        <v>39</v>
      </c>
      <c r="G13" s="1" t="str">
        <f aca="false">IF(F13="Closed","Closed","Pending")</f>
        <v>Closed</v>
      </c>
      <c r="H13" s="1" t="s">
        <v>72</v>
      </c>
      <c r="I13" s="1" t="s">
        <v>135</v>
      </c>
      <c r="J13" s="1" t="s">
        <v>74</v>
      </c>
      <c r="K13" s="1" t="s">
        <v>59</v>
      </c>
      <c r="L13" s="1" t="s">
        <v>136</v>
      </c>
      <c r="M13" s="1" t="s">
        <v>137</v>
      </c>
      <c r="N13" s="1" t="s">
        <v>65</v>
      </c>
      <c r="O13" s="1" t="s">
        <v>77</v>
      </c>
      <c r="P13" s="1" t="s">
        <v>138</v>
      </c>
      <c r="Q13" s="1" t="s">
        <v>86</v>
      </c>
      <c r="R13" s="1" t="s">
        <v>66</v>
      </c>
      <c r="U13" s="12" t="n">
        <v>0.188194444444444</v>
      </c>
      <c r="V13" s="11" t="n">
        <v>45999</v>
      </c>
      <c r="W13" s="12" t="n">
        <v>0.9875</v>
      </c>
      <c r="X13" s="11" t="n">
        <v>46001</v>
      </c>
      <c r="Y13" s="12" t="n">
        <v>0.101388888888889</v>
      </c>
      <c r="Z13" s="1" t="s">
        <v>108</v>
      </c>
      <c r="AA13" s="1" t="s">
        <v>68</v>
      </c>
      <c r="AB13" s="2" t="n">
        <f aca="false">U13-C13</f>
        <v>0.00486111111111111</v>
      </c>
      <c r="AC13" s="14" t="str">
        <f aca="false">TEXT(((V13+W13)-(B13+C13)),"hh:mm")</f>
        <v>19:18</v>
      </c>
      <c r="AD13" s="4" t="str">
        <f aca="false">INT((V13+W13)-(B13+C13)) &amp; ":" &amp;
TEXT(HOUR((V13+W13)-(B13+C13)), "00") &amp; ":" &amp;
TEXT(MINUTE((V13+W13)-(B13+C13)), "00")</f>
        <v>2:19:18</v>
      </c>
      <c r="AE13" s="1" t="n">
        <f aca="false">IFERROR(
LEFT(AD13,FIND(":",AD13)-1)
+ MID(AD13,FIND(":",AD13)+1,2)/24
+ RIGHT(AD13,2)/1440,
"")</f>
        <v>2.80416666666667</v>
      </c>
      <c r="AF13" s="4" t="str">
        <f aca="false">INT((X13+Y13)-(B13+C13)) &amp; ":" &amp;
TEXT(HOUR((X13+Y13)-(B13+C13)), "00") &amp; ":" &amp;
TEXT(MINUTE((X13+Y13)-(B13+C13)), "00")</f>
        <v>3:22:02</v>
      </c>
      <c r="AG13" s="4" t="str">
        <f aca="false" t="array" ref="AG13:AG13">INT(_xlfn.XLOOKUP(J13,{"Low","Medium","High","Urgent"},{48,24,12,8})/24) &amp; ":" &amp;
TEXT(MOD(_xlfn.XLOOKUP(J13,{"Low","Medium","High","Urgent"},{48,24,12,8}),24)/24,"hh:mm")</f>
        <v>2:00:00</v>
      </c>
      <c r="AH13" s="4" t="str">
        <f aca="false">IF(AD13&gt;AG13,"Not Met","Met")</f>
        <v>Not Met</v>
      </c>
      <c r="AI13" s="4" t="str">
        <f aca="false">IF(AB13&lt;TIME(0,30,0),"Met","Not Met")</f>
        <v>Met</v>
      </c>
      <c r="AN13" s="1" t="str">
        <f aca="false">TEXT(B13,"dd")</f>
        <v>06</v>
      </c>
      <c r="AO13" s="1" t="str">
        <f aca="false">TEXT(X13,"dd")</f>
        <v>10</v>
      </c>
      <c r="AP13" s="16" t="str">
        <f aca="false">INT(
  NETWORKDAYS(B13,V13)-1
  + IF(WEEKDAY(V13,2)&lt;6,MOD(V13+W13,1),0)
  - IF(WEEKDAY(B13,2)&lt;6,MOD(B13+C13,1),0)
)
&amp; ":" &amp;
TEXT(HOUR(
  NETWORKDAYS(B13,V13)-1
  + IF(WEEKDAY(V13,2)&lt;6,MOD(V13+W13,1),0)
  - IF(WEEKDAY(B13,2)&lt;6,MOD(B13+C13,1),0)
),"00")
&amp; ":" &amp;
TEXT(MINUTE(
  NETWORKDAYS(B13,V13)-1
  + IF(WEEKDAY(V13,2)&lt;6,MOD(V13+W13,1),0)
  - IF(WEEKDAY(B13,2)&lt;6,MOD(B13+C13,1),0)
),"00")</f>
        <v>0:23:42</v>
      </c>
      <c r="AQ13" s="0" t="n">
        <f aca="false">IFERROR(
LEFT(AP13,FIND(":",AP13)-1)
+ MID(AP13,FIND(":",AP13)+1,2)/24
+ RIGHT(AP13,2)/1440,
"")</f>
        <v>0.9875</v>
      </c>
      <c r="AR13" s="0" t="n">
        <f aca="false">WEEKNUM(B13,1)</f>
        <v>49</v>
      </c>
      <c r="AS13" s="17" t="n">
        <f aca="false">IF(B13&gt;0, (B13+C13)-TIME(13,30,0), "")</f>
        <v>45996.6208333333</v>
      </c>
      <c r="AT13" s="18" t="n">
        <f aca="false">IF(B13&gt;0, (B13+C13)-TIME(13,30,0), "")</f>
        <v>45996.6208333333</v>
      </c>
      <c r="AU13" s="17" t="n">
        <f aca="false">IF(V13&gt;0, (V13+W13)-TIME(13,30,0), "")</f>
        <v>45999.425</v>
      </c>
      <c r="AV13" s="18" t="n">
        <f aca="false">IF(V13&gt;0, (V13+W13)-TIME(13,30,0), "")</f>
        <v>45999.425</v>
      </c>
      <c r="AW13" s="19" t="n">
        <f aca="false">24*(
MAX(0,
IF(NETWORKDAYS(AS13,AU13)=1,
MIN(MOD(AV13,1),TIME(17,30,0)) - MAX(MOD(AT13,1),TIME(8,30,0)),
(TIME(17,30,0)-MAX(MOD(AT13,1),TIME(8,30,0)))
+ (MIN(MOD(AV13,1),TIME(17,30,0))-TIME(8,30,0))
+ (NETWORKDAYS(AS13,AU13)-2)*9/24
)
)
)</f>
        <v>4.3</v>
      </c>
      <c r="AX13" s="19" t="n">
        <f aca="false">24*(
MAX(0,
IF(NETWORKDAYS(AS13,AU13)=1,
MIN(MOD(AV13,1),TIME(17,30,0)) - MAX(MOD(AT13,1),TIME(8,30,0)),
(TIME(17,30,0)-MAX(MOD(AT13,1),TIME(8,30,0)))
+ (MIN(MOD(AV13,1),TIME(17,30,0))-TIME(8,30,0))
+ (NETWORKDAYS(AS13,AU13)-2)* (TIME(17,30,0)-TIME(8,30,0))
)
)
)</f>
        <v>4.3</v>
      </c>
      <c r="AY13" s="20" t="n">
        <f aca="false">ROUND(
IF(AS13=AU13,
MAX(0,
(MIN(MOD(AV13,1),TIME(17,30,0))-
MAX(MOD(AT13,1),TIME(8,30,0)))*24
),
(
(MAX(0,TIME(17,30,0)-MAX(MOD(AT13,1),TIME(8,30,0)))*24)
+
(MAX(0,MIN(MOD(AV13,1),TIME(17,30,0))-TIME(8,30,0))*24)
+
(MAX(0,NETWORKDAYS(AS13+1,AU13-1))*9)
)
),
2)</f>
        <v>4.3</v>
      </c>
      <c r="AZ13" s="0" t="n">
        <f aca="false" t="array" ref="AZ13:AZ13">_xlfn.XLOOKUP(J13,{"Low","Medium","High"},{270,72,24})</f>
        <v>270</v>
      </c>
      <c r="BA13" s="0" t="str">
        <f aca="false">IF(AW13&gt;AZ13,"Not Met","Met")</f>
        <v>Met</v>
      </c>
      <c r="BB13" s="21" t="str">
        <f aca="false">IF(AS13="","",TEXT(AS13,"MMM")&amp;"'"&amp;TEXT(AS13,"yy"))</f>
        <v>Dec'25</v>
      </c>
      <c r="BC13" s="0" t="str">
        <f aca="false">IF(AU13="","",TEXT(AU13,"MMM")&amp;"'"&amp;TEXT(AU13,"yy"))</f>
        <v>Dec'25</v>
      </c>
    </row>
    <row r="14" customFormat="false" ht="15" hidden="false" customHeight="false" outlineLevel="0" collapsed="false">
      <c r="A14" s="23" t="s">
        <v>139</v>
      </c>
      <c r="B14" s="24" t="n">
        <v>45999</v>
      </c>
      <c r="C14" s="12" t="n">
        <v>0.863888888888889</v>
      </c>
      <c r="D14" s="13" t="str">
        <f aca="false">IF(B14="","",TEXT(B14,"MMM")&amp;"'"&amp;TEXT(B14,"yy"))</f>
        <v>Dec'25</v>
      </c>
      <c r="E14" s="1" t="s">
        <v>55</v>
      </c>
      <c r="F14" s="23" t="s">
        <v>140</v>
      </c>
      <c r="G14" s="1" t="str">
        <f aca="false">IF(F14="Closed","Closed","Pending")</f>
        <v>Pending</v>
      </c>
      <c r="H14" s="23" t="s">
        <v>72</v>
      </c>
      <c r="I14" s="1" t="s">
        <v>73</v>
      </c>
      <c r="J14" s="1" t="s">
        <v>74</v>
      </c>
      <c r="K14" s="1" t="s">
        <v>59</v>
      </c>
      <c r="L14" s="23" t="s">
        <v>141</v>
      </c>
      <c r="M14" s="23" t="s">
        <v>142</v>
      </c>
      <c r="N14" s="1" t="s">
        <v>65</v>
      </c>
      <c r="O14" s="1" t="s">
        <v>143</v>
      </c>
      <c r="Q14" s="1" t="s">
        <v>143</v>
      </c>
      <c r="R14" s="23" t="s">
        <v>66</v>
      </c>
      <c r="U14" s="12" t="n">
        <v>0.990277777777778</v>
      </c>
      <c r="Z14" s="1" t="s">
        <v>108</v>
      </c>
      <c r="AB14" s="2" t="n">
        <f aca="false">U14-C14</f>
        <v>0.126388888888889</v>
      </c>
      <c r="AC14" s="14" t="str">
        <f aca="false">TEXT(((V14+W14)-(B14+C14)),"hh:mm")</f>
        <v>03:16</v>
      </c>
      <c r="AD14" s="4" t="str">
        <f aca="false">INT((V14+W14)-(B14+C14)) &amp; ":" &amp;
TEXT(HOUR((V14+W14)-(B14+C14)), "00") &amp; ":" &amp;
TEXT(MINUTE((V14+W14)-(B14+C14)), "00")</f>
        <v>-46000:03:16</v>
      </c>
      <c r="AE14" s="1" t="n">
        <f aca="false">IFERROR(
LEFT(AD14,FIND(":",AD14)-1)
+ MID(AD14,FIND(":",AD14)+1,2)/24
+ RIGHT(AD14,2)/1440,
"")</f>
        <v>-45999.8638888889</v>
      </c>
      <c r="AF14" s="4" t="str">
        <f aca="false">INT((X14+Y14)-(B14+C14)) &amp; ":" &amp;
TEXT(HOUR((X14+Y14)-(B14+C14)), "00") &amp; ":" &amp;
TEXT(MINUTE((X14+Y14)-(B14+C14)), "00")</f>
        <v>-46000:03:16</v>
      </c>
      <c r="AG14" s="4" t="str">
        <f aca="false" t="array" ref="AG14:AG14">INT(_xlfn.XLOOKUP(J14,{"Low","Medium","High","Urgent"},{48,24,12,8})/24) &amp; ":" &amp;
TEXT(MOD(_xlfn.XLOOKUP(J14,{"Low","Medium","High","Urgent"},{48,24,12,8}),24)/24,"hh:mm")</f>
        <v>2:00:00</v>
      </c>
      <c r="AH14" s="4" t="str">
        <f aca="false">IF(AD14&gt;AG14,"Not Met","Met")</f>
        <v>Met</v>
      </c>
      <c r="AI14" s="4" t="str">
        <f aca="false">IF(AB14&lt;TIME(0,30,0),"Met","Not Met")</f>
        <v>Not Met</v>
      </c>
      <c r="AN14" s="1" t="str">
        <f aca="false">TEXT(B14,"dd")</f>
        <v>08</v>
      </c>
      <c r="AO14" s="1" t="str">
        <f aca="false">TEXT(X14,"dd")</f>
        <v>30</v>
      </c>
      <c r="AP14" s="16" t="str">
        <f aca="false">INT(
  NETWORKDAYS(B14,V14)-1
  + IF(WEEKDAY(V14,2)&lt;6,MOD(V14+W14,1),0)
  - IF(WEEKDAY(B14,2)&lt;6,MOD(B14+C14,1),0)
)
&amp; ":" &amp;
TEXT(HOUR(
  NETWORKDAYS(B14,V14)-1
  + IF(WEEKDAY(V14,2)&lt;6,MOD(V14+W14,1),0)
  - IF(WEEKDAY(B14,2)&lt;6,MOD(B14+C14,1),0)
),"00")
&amp; ":" &amp;
TEXT(MINUTE(
  NETWORKDAYS(B14,V14)-1
  + IF(WEEKDAY(V14,2)&lt;6,MOD(V14+W14,1),0)
  - IF(WEEKDAY(B14,2)&lt;6,MOD(B14+C14,1),0)
),"00")</f>
        <v>-32858:03:16</v>
      </c>
      <c r="AQ14" s="0" t="n">
        <f aca="false">IFERROR(
LEFT(AP14,FIND(":",AP14)-1)
+ MID(AP14,FIND(":",AP14)+1,2)/24
+ RIGHT(AP14,2)/1440,
"")</f>
        <v>-32857.8638888889</v>
      </c>
      <c r="AR14" s="0" t="n">
        <f aca="false">WEEKNUM(B14,1)</f>
        <v>50</v>
      </c>
      <c r="AS14" s="17" t="n">
        <f aca="false">IF(B14&gt;0, (B14+C14)-TIME(13,30,0), "")</f>
        <v>45999.3013888889</v>
      </c>
      <c r="AT14" s="18" t="n">
        <f aca="false">IF(B14&gt;0, (B14+C14)-TIME(13,30,0), "")</f>
        <v>45999.3013888889</v>
      </c>
      <c r="AU14" s="17" t="str">
        <f aca="false">IF(V14&gt;0, (V14+W14)-TIME(13,30,0), "")</f>
        <v/>
      </c>
      <c r="AV14" s="18" t="str">
        <f aca="false">IF(V14&gt;0, (V14+W14)-TIME(13,30,0), "")</f>
        <v/>
      </c>
      <c r="AW14" s="19" t="e">
        <f aca="false">24*(
MAX(0,
IF(NETWORKDAYS(AS14,AU14)=1,
MIN(MOD(AV14,1),TIME(17,30,0)) - MAX(MOD(AT14,1),TIME(8,30,0)),
(TIME(17,30,0)-MAX(MOD(AT14,1),TIME(8,30,0)))
+ (MIN(MOD(AV14,1),TIME(17,30,0))-TIME(8,30,0))
+ (NETWORKDAYS(AS14,AU14)-2)*9/24
)
)
)</f>
        <v>#VALUE!</v>
      </c>
      <c r="AX14" s="19" t="e">
        <f aca="false">24*(
MAX(0,
IF(NETWORKDAYS(AS14,AU14)=1,
MIN(MOD(AV14,1),TIME(17,30,0)) - MAX(MOD(AT14,1),TIME(8,30,0)),
(TIME(17,30,0)-MAX(MOD(AT14,1),TIME(8,30,0)))
+ (MIN(MOD(AV14,1),TIME(17,30,0))-TIME(8,30,0))
+ (NETWORKDAYS(AS14,AU14)-2)* (TIME(17,30,0)-TIME(8,30,0))
)
)
)</f>
        <v>#VALUE!</v>
      </c>
      <c r="AY14" s="20" t="e">
        <f aca="false">ROUND(
IF(AS14=AU14,
MAX(0,
(MIN(MOD(AV14,1),TIME(17,30,0))-
MAX(MOD(AT14,1),TIME(8,30,0)))*24
),
(
(MAX(0,TIME(17,30,0)-MAX(MOD(AT14,1),TIME(8,30,0)))*24)
+
(MAX(0,MIN(MOD(AV14,1),TIME(17,30,0))-TIME(8,30,0))*24)
+
(MAX(0,NETWORKDAYS(AS14+1,AU14-1))*9)
)
),
2)</f>
        <v>#VALUE!</v>
      </c>
      <c r="AZ14" s="0" t="n">
        <f aca="false" t="array" ref="AZ14:AZ14">_xlfn.XLOOKUP(J14,{"Low","Medium","High"},{270,72,24})</f>
        <v>270</v>
      </c>
      <c r="BA14" s="0" t="e">
        <f aca="false">IF(AW14&gt;AZ14,"Not Met","Met")</f>
        <v>#VALUE!</v>
      </c>
      <c r="BB14" s="21" t="str">
        <f aca="false">IF(AS14="","",TEXT(AS14,"MMM")&amp;"'"&amp;TEXT(AS14,"yy"))</f>
        <v>Dec'25</v>
      </c>
      <c r="BC14" s="0" t="str">
        <f aca="false">IF(AU14="","",TEXT(AU14,"MMM")&amp;"'"&amp;TEXT(AU14,"yy"))</f>
        <v/>
      </c>
      <c r="BE14" s="0" t="s">
        <v>144</v>
      </c>
    </row>
    <row r="15" customFormat="false" ht="15" hidden="false" customHeight="false" outlineLevel="0" collapsed="false">
      <c r="A15" s="23" t="s">
        <v>145</v>
      </c>
      <c r="B15" s="24" t="n">
        <v>45999</v>
      </c>
      <c r="C15" s="12" t="n">
        <v>0.997222222222222</v>
      </c>
      <c r="D15" s="13" t="str">
        <f aca="false">IF(B15="","",TEXT(B15,"MMM")&amp;"'"&amp;TEXT(B15,"yy"))</f>
        <v>Dec'25</v>
      </c>
      <c r="E15" s="1" t="s">
        <v>55</v>
      </c>
      <c r="F15" s="23" t="s">
        <v>39</v>
      </c>
      <c r="G15" s="1" t="str">
        <f aca="false">IF(F15="Closed","Closed","Pending")</f>
        <v>Closed</v>
      </c>
      <c r="H15" s="23" t="s">
        <v>120</v>
      </c>
      <c r="I15" s="1" t="s">
        <v>146</v>
      </c>
      <c r="J15" s="1" t="s">
        <v>74</v>
      </c>
      <c r="K15" s="1" t="s">
        <v>59</v>
      </c>
      <c r="L15" s="23" t="s">
        <v>147</v>
      </c>
      <c r="M15" s="23" t="s">
        <v>148</v>
      </c>
      <c r="N15" s="1" t="s">
        <v>62</v>
      </c>
      <c r="O15" s="1" t="s">
        <v>77</v>
      </c>
      <c r="Q15" s="1" t="s">
        <v>86</v>
      </c>
      <c r="R15" s="23" t="s">
        <v>87</v>
      </c>
      <c r="U15" s="25" t="n">
        <v>46000.0055555556</v>
      </c>
      <c r="V15" s="11" t="n">
        <v>46013</v>
      </c>
      <c r="W15" s="12" t="n">
        <v>0.977777777777778</v>
      </c>
      <c r="X15" s="11" t="n">
        <v>46021</v>
      </c>
      <c r="Y15" s="12" t="n">
        <v>0.146527777777778</v>
      </c>
      <c r="Z15" s="1" t="s">
        <v>67</v>
      </c>
      <c r="AA15" s="1" t="s">
        <v>68</v>
      </c>
      <c r="AB15" s="2" t="n">
        <v>0.00833333333333333</v>
      </c>
      <c r="AC15" s="14" t="str">
        <f aca="false">TEXT(((V15+W15)-(B15+C15)),"hh:mm")</f>
        <v>23:32</v>
      </c>
      <c r="AD15" s="4" t="str">
        <f aca="false">INT((V15+W15)-(B15+C15)) &amp; ":" &amp;
TEXT(HOUR((V15+W15)-(B15+C15)), "00") &amp; ":" &amp;
TEXT(MINUTE((V15+W15)-(B15+C15)), "00")</f>
        <v>13:23:32</v>
      </c>
      <c r="AE15" s="1" t="n">
        <f aca="false">IFERROR(
LEFT(AD15,FIND(":",AD15)-1)
+ MID(AD15,FIND(":",AD15)+1,2)/24
+ RIGHT(AD15,2)/1440,
"")</f>
        <v>13.9805555555556</v>
      </c>
      <c r="AF15" s="4" t="str">
        <f aca="false">INT((X15+Y15)-(B15+C15)) &amp; ":" &amp;
TEXT(HOUR((X15+Y15)-(B15+C15)), "00") &amp; ":" &amp;
TEXT(MINUTE((X15+Y15)-(B15+C15)), "00")</f>
        <v>21:03:35</v>
      </c>
      <c r="AG15" s="4" t="str">
        <f aca="false" t="array" ref="AG15:AG15">INT(_xlfn.XLOOKUP(J15,{"Low","Medium","High","Urgent"},{48,24,12,8})/24) &amp; ":" &amp;
TEXT(MOD(_xlfn.XLOOKUP(J15,{"Low","Medium","High","Urgent"},{48,24,12,8}),24)/24,"hh:mm")</f>
        <v>2:00:00</v>
      </c>
      <c r="AH15" s="4" t="str">
        <f aca="false">IF(AD15&gt;AG15,"Not Met","Met")</f>
        <v>Met</v>
      </c>
      <c r="AI15" s="4" t="str">
        <f aca="false">IF(AB15&lt;TIME(0,30,0),"Met","Not Met")</f>
        <v>Met</v>
      </c>
      <c r="AN15" s="1" t="str">
        <f aca="false">TEXT(B15,"dd")</f>
        <v>08</v>
      </c>
      <c r="AO15" s="1" t="str">
        <f aca="false">TEXT(X15,"dd")</f>
        <v>30</v>
      </c>
      <c r="AP15" s="16" t="str">
        <f aca="false">INT(
  NETWORKDAYS(B15,V15)-1
  + IF(WEEKDAY(V15,2)&lt;6,MOD(V15+W15,1),0)
  - IF(WEEKDAY(B15,2)&lt;6,MOD(B15+C15,1),0)
)
&amp; ":" &amp;
TEXT(HOUR(
  NETWORKDAYS(B15,V15)-1
  + IF(WEEKDAY(V15,2)&lt;6,MOD(V15+W15,1),0)
  - IF(WEEKDAY(B15,2)&lt;6,MOD(B15+C15,1),0)
),"00")
&amp; ":" &amp;
TEXT(MINUTE(
  NETWORKDAYS(B15,V15)-1
  + IF(WEEKDAY(V15,2)&lt;6,MOD(V15+W15,1),0)
  - IF(WEEKDAY(B15,2)&lt;6,MOD(B15+C15,1),0)
),"00")</f>
        <v>9:23:32</v>
      </c>
      <c r="AQ15" s="0" t="n">
        <f aca="false">IFERROR(
LEFT(AP15,FIND(":",AP15)-1)
+ MID(AP15,FIND(":",AP15)+1,2)/24
+ RIGHT(AP15,2)/1440,
"")</f>
        <v>9.98055555555556</v>
      </c>
      <c r="AR15" s="0" t="n">
        <f aca="false">WEEKNUM(B15,1)</f>
        <v>50</v>
      </c>
      <c r="AS15" s="17" t="n">
        <f aca="false">IF(B15&gt;0, (B15+C15)-TIME(13,30,0), "")</f>
        <v>45999.4347222222</v>
      </c>
      <c r="AT15" s="18" t="n">
        <f aca="false">IF(B15&gt;0, (B15+C15)-TIME(13,30,0), "")</f>
        <v>45999.4347222222</v>
      </c>
      <c r="AU15" s="17" t="n">
        <f aca="false">IF(V15&gt;0, (V15+W15)-TIME(13,30,0), "")</f>
        <v>46013.4152777778</v>
      </c>
      <c r="AV15" s="18" t="n">
        <f aca="false">IF(V15&gt;0, (V15+W15)-TIME(13,30,0), "")</f>
        <v>46013.4152777778</v>
      </c>
      <c r="AW15" s="19" t="n">
        <f aca="false">24*(
MAX(0,
IF(NETWORKDAYS(AS15,AU15)=1,
MIN(MOD(AV15,1),TIME(17,30,0)) - MAX(MOD(AT15,1),TIME(8,30,0)),
(TIME(17,30,0)-MAX(MOD(AT15,1),TIME(8,30,0)))
+ (MIN(MOD(AV15,1),TIME(17,30,0))-TIME(8,30,0))
+ (NETWORKDAYS(AS15,AU15)-2)*9/24
)
)
)</f>
        <v>89.5333333333333</v>
      </c>
      <c r="AX15" s="19" t="n">
        <f aca="false">24*(
MAX(0,
IF(NETWORKDAYS(AS15,AU15)=1,
MIN(MOD(AV15,1),TIME(17,30,0)) - MAX(MOD(AT15,1),TIME(8,30,0)),
(TIME(17,30,0)-MAX(MOD(AT15,1),TIME(8,30,0)))
+ (MIN(MOD(AV15,1),TIME(17,30,0))-TIME(8,30,0))
+ (NETWORKDAYS(AS15,AU15)-2)* (TIME(17,30,0)-TIME(8,30,0))
)
)
)</f>
        <v>89.5333333333333</v>
      </c>
      <c r="AY15" s="20" t="n">
        <f aca="false">ROUND(
IF(AS15=AU15,
MAX(0,
(MIN(MOD(AV15,1),TIME(17,30,0))-
MAX(MOD(AT15,1),TIME(8,30,0)))*24
),
(
(MAX(0,TIME(17,30,0)-MAX(MOD(AT15,1),TIME(8,30,0)))*24)
+
(MAX(0,MIN(MOD(AV15,1),TIME(17,30,0))-TIME(8,30,0))*24)
+
(MAX(0,NETWORKDAYS(AS15+1,AU15-1))*9)
)
),
2)</f>
        <v>89.53</v>
      </c>
      <c r="AZ15" s="0" t="n">
        <f aca="false" t="array" ref="AZ15:AZ15">_xlfn.XLOOKUP(J15,{"Low","Medium","High"},{270,72,24})</f>
        <v>270</v>
      </c>
      <c r="BA15" s="0" t="str">
        <f aca="false">IF(AW15&gt;AZ15,"Not Met","Met")</f>
        <v>Met</v>
      </c>
      <c r="BB15" s="21" t="str">
        <f aca="false">IF(AS15="","",TEXT(AS15,"MMM")&amp;"'"&amp;TEXT(AS15,"yy"))</f>
        <v>Dec'25</v>
      </c>
      <c r="BC15" s="0" t="str">
        <f aca="false">IF(AU15="","",TEXT(AU15,"MMM")&amp;"'"&amp;TEXT(AU15,"yy"))</f>
        <v>Dec'25</v>
      </c>
    </row>
    <row r="16" customFormat="false" ht="15" hidden="false" customHeight="false" outlineLevel="0" collapsed="false">
      <c r="A16" s="23" t="s">
        <v>149</v>
      </c>
      <c r="B16" s="24" t="n">
        <v>45999</v>
      </c>
      <c r="C16" s="12" t="n">
        <v>0.997222222222222</v>
      </c>
      <c r="D16" s="13" t="str">
        <f aca="false">IF(B16="","",TEXT(B16,"MMM")&amp;"'"&amp;TEXT(B16,"yy"))</f>
        <v>Dec'25</v>
      </c>
      <c r="E16" s="1" t="s">
        <v>55</v>
      </c>
      <c r="F16" s="23" t="s">
        <v>39</v>
      </c>
      <c r="G16" s="1" t="str">
        <f aca="false">IF(F16="Closed","Closed","Pending")</f>
        <v>Closed</v>
      </c>
      <c r="H16" s="23" t="s">
        <v>56</v>
      </c>
      <c r="I16" s="1" t="s">
        <v>82</v>
      </c>
      <c r="J16" s="1" t="s">
        <v>74</v>
      </c>
      <c r="K16" s="1" t="s">
        <v>59</v>
      </c>
      <c r="L16" s="23" t="s">
        <v>150</v>
      </c>
      <c r="M16" s="23" t="s">
        <v>151</v>
      </c>
      <c r="N16" s="1" t="s">
        <v>65</v>
      </c>
      <c r="O16" s="1" t="s">
        <v>106</v>
      </c>
      <c r="R16" s="23" t="s">
        <v>66</v>
      </c>
      <c r="U16" s="25" t="n">
        <v>46000.0041666667</v>
      </c>
      <c r="V16" s="11" t="n">
        <v>46001</v>
      </c>
      <c r="W16" s="12" t="n">
        <v>0.00972222222222222</v>
      </c>
      <c r="X16" s="11" t="n">
        <v>46001</v>
      </c>
      <c r="Y16" s="12" t="n">
        <v>0.08125</v>
      </c>
      <c r="Z16" s="1" t="s">
        <v>108</v>
      </c>
      <c r="AA16" s="1" t="s">
        <v>68</v>
      </c>
      <c r="AB16" s="2" t="n">
        <v>0.00694444444444444</v>
      </c>
      <c r="AC16" s="14" t="str">
        <f aca="false">TEXT(((V16+W16)-(B16+C16)),"hh:mm")</f>
        <v>00:18</v>
      </c>
      <c r="AD16" s="4" t="str">
        <f aca="false">INT((V16+W16)-(B16+C16)) &amp; ":" &amp;
TEXT(HOUR((V16+W16)-(B16+C16)), "00") &amp; ":" &amp;
TEXT(MINUTE((V16+W16)-(B16+C16)), "00")</f>
        <v>1:00:18</v>
      </c>
      <c r="AE16" s="1" t="n">
        <f aca="false">IFERROR(
LEFT(AD16,FIND(":",AD16)-1)
+ MID(AD16,FIND(":",AD16)+1,2)/24
+ RIGHT(AD16,2)/1440,
"")</f>
        <v>1.0125</v>
      </c>
      <c r="AF16" s="4" t="str">
        <f aca="false">INT((X16+Y16)-(B16+C16)) &amp; ":" &amp;
TEXT(HOUR((X16+Y16)-(B16+C16)), "00") &amp; ":" &amp;
TEXT(MINUTE((X16+Y16)-(B16+C16)), "00")</f>
        <v>1:02:01</v>
      </c>
      <c r="AG16" s="4" t="str">
        <f aca="false" t="array" ref="AG16:AG16">INT(_xlfn.XLOOKUP(J16,{"Low","Medium","High","Urgent"},{48,24,12,8})/24) &amp; ":" &amp;
TEXT(MOD(_xlfn.XLOOKUP(J16,{"Low","Medium","High","Urgent"},{48,24,12,8}),24)/24,"hh:mm")</f>
        <v>2:00:00</v>
      </c>
      <c r="AH16" s="4" t="str">
        <f aca="false">IF(AD16&gt;AG16,"Not Met","Met")</f>
        <v>Met</v>
      </c>
      <c r="AI16" s="4" t="str">
        <f aca="false">IF(AB16&lt;TIME(0,30,0),"Met","Not Met")</f>
        <v>Met</v>
      </c>
      <c r="AN16" s="1" t="str">
        <f aca="false">TEXT(B16,"dd")</f>
        <v>08</v>
      </c>
      <c r="AO16" s="1" t="str">
        <f aca="false">TEXT(X16,"dd")</f>
        <v>10</v>
      </c>
      <c r="AP16" s="16" t="str">
        <f aca="false">INT(
  NETWORKDAYS(B16,V16)-1
  + IF(WEEKDAY(V16,2)&lt;6,MOD(V16+W16,1),0)
  - IF(WEEKDAY(B16,2)&lt;6,MOD(B16+C16,1),0)
)
&amp; ":" &amp;
TEXT(HOUR(
  NETWORKDAYS(B16,V16)-1
  + IF(WEEKDAY(V16,2)&lt;6,MOD(V16+W16,1),0)
  - IF(WEEKDAY(B16,2)&lt;6,MOD(B16+C16,1),0)
),"00")
&amp; ":" &amp;
TEXT(MINUTE(
  NETWORKDAYS(B16,V16)-1
  + IF(WEEKDAY(V16,2)&lt;6,MOD(V16+W16,1),0)
  - IF(WEEKDAY(B16,2)&lt;6,MOD(B16+C16,1),0)
),"00")</f>
        <v>1:00:18</v>
      </c>
      <c r="AQ16" s="0" t="n">
        <f aca="false">IFERROR(
LEFT(AP16,FIND(":",AP16)-1)
+ MID(AP16,FIND(":",AP16)+1,2)/24
+ RIGHT(AP16,2)/1440,
"")</f>
        <v>1.0125</v>
      </c>
      <c r="AR16" s="0" t="n">
        <f aca="false">WEEKNUM(B16,1)</f>
        <v>50</v>
      </c>
      <c r="AS16" s="17" t="n">
        <f aca="false">IF(B16&gt;0, (B16+C16)-TIME(13,30,0), "")</f>
        <v>45999.4347222222</v>
      </c>
      <c r="AT16" s="18" t="n">
        <f aca="false">IF(B16&gt;0, (B16+C16)-TIME(13,30,0), "")</f>
        <v>45999.4347222222</v>
      </c>
      <c r="AU16" s="17" t="n">
        <f aca="false">IF(V16&gt;0, (V16+W16)-TIME(13,30,0), "")</f>
        <v>46000.4472222222</v>
      </c>
      <c r="AV16" s="18" t="n">
        <f aca="false">IF(V16&gt;0, (V16+W16)-TIME(13,30,0), "")</f>
        <v>46000.4472222222</v>
      </c>
      <c r="AW16" s="19" t="n">
        <f aca="false">24*(
MAX(0,
IF(NETWORKDAYS(AS16,AU16)=1,
MIN(MOD(AV16,1),TIME(17,30,0)) - MAX(MOD(AT16,1),TIME(8,30,0)),
(TIME(17,30,0)-MAX(MOD(AT16,1),TIME(8,30,0)))
+ (MIN(MOD(AV16,1),TIME(17,30,0))-TIME(8,30,0))
+ (NETWORKDAYS(AS16,AU16)-2)*9/24
)
)
)</f>
        <v>9.3</v>
      </c>
      <c r="AX16" s="19" t="n">
        <f aca="false">24*(
MAX(0,
IF(NETWORKDAYS(AS16,AU16)=1,
MIN(MOD(AV16,1),TIME(17,30,0)) - MAX(MOD(AT16,1),TIME(8,30,0)),
(TIME(17,30,0)-MAX(MOD(AT16,1),TIME(8,30,0)))
+ (MIN(MOD(AV16,1),TIME(17,30,0))-TIME(8,30,0))
+ (NETWORKDAYS(AS16,AU16)-2)* (TIME(17,30,0)-TIME(8,30,0))
)
)
)</f>
        <v>9.3</v>
      </c>
      <c r="AY16" s="20" t="n">
        <f aca="false">ROUND(
IF(AS16=AU16,
MAX(0,
(MIN(MOD(AV16,1),TIME(17,30,0))-
MAX(MOD(AT16,1),TIME(8,30,0)))*24
),
(
(MAX(0,TIME(17,30,0)-MAX(MOD(AT16,1),TIME(8,30,0)))*24)
+
(MAX(0,MIN(MOD(AV16,1),TIME(17,30,0))-TIME(8,30,0))*24)
+
(MAX(0,NETWORKDAYS(AS16+1,AU16-1))*9)
)
),
2)</f>
        <v>9.3</v>
      </c>
      <c r="AZ16" s="0" t="n">
        <f aca="false" t="array" ref="AZ16:AZ16">_xlfn.XLOOKUP(J16,{"Low","Medium","High"},{270,72,24})</f>
        <v>270</v>
      </c>
      <c r="BA16" s="0" t="str">
        <f aca="false">IF(AW16&gt;AZ16,"Not Met","Met")</f>
        <v>Met</v>
      </c>
      <c r="BB16" s="21" t="str">
        <f aca="false">IF(AS16="","",TEXT(AS16,"MMM")&amp;"'"&amp;TEXT(AS16,"yy"))</f>
        <v>Dec'25</v>
      </c>
      <c r="BC16" s="0" t="str">
        <f aca="false">IF(AU16="","",TEXT(AU16,"MMM")&amp;"'"&amp;TEXT(AU16,"yy"))</f>
        <v>Dec'25</v>
      </c>
    </row>
    <row r="17" customFormat="false" ht="15" hidden="false" customHeight="false" outlineLevel="0" collapsed="false">
      <c r="A17" s="23" t="s">
        <v>152</v>
      </c>
      <c r="B17" s="24" t="n">
        <v>46000</v>
      </c>
      <c r="C17" s="12" t="n">
        <v>0.0451388888888889</v>
      </c>
      <c r="D17" s="13" t="str">
        <f aca="false">IF(B17="","",TEXT(B17,"MMM")&amp;"'"&amp;TEXT(B17,"yy"))</f>
        <v>Dec'25</v>
      </c>
      <c r="E17" s="1" t="s">
        <v>55</v>
      </c>
      <c r="F17" s="23" t="s">
        <v>39</v>
      </c>
      <c r="G17" s="1" t="str">
        <f aca="false">IF(F17="Closed","Closed","Pending")</f>
        <v>Closed</v>
      </c>
      <c r="H17" s="23" t="s">
        <v>72</v>
      </c>
      <c r="I17" s="1" t="s">
        <v>153</v>
      </c>
      <c r="J17" s="1" t="s">
        <v>74</v>
      </c>
      <c r="K17" s="1" t="s">
        <v>59</v>
      </c>
      <c r="L17" s="23" t="s">
        <v>154</v>
      </c>
      <c r="M17" s="23" t="s">
        <v>155</v>
      </c>
      <c r="N17" s="1" t="s">
        <v>62</v>
      </c>
      <c r="O17" s="1" t="s">
        <v>77</v>
      </c>
      <c r="P17" s="1" t="s">
        <v>138</v>
      </c>
      <c r="Q17" s="1" t="s">
        <v>86</v>
      </c>
      <c r="R17" s="23" t="s">
        <v>87</v>
      </c>
      <c r="U17" s="12" t="n">
        <v>0.0875</v>
      </c>
      <c r="V17" s="11" t="n">
        <v>46042</v>
      </c>
      <c r="W17" s="12" t="n">
        <v>0.959027777777778</v>
      </c>
      <c r="X17" s="11" t="n">
        <v>46049</v>
      </c>
      <c r="Y17" s="12" t="n">
        <v>0.981944444444444</v>
      </c>
      <c r="Z17" s="1" t="s">
        <v>108</v>
      </c>
      <c r="AA17" s="1" t="s">
        <v>68</v>
      </c>
      <c r="AB17" s="2" t="n">
        <f aca="false">U17-C17</f>
        <v>0.0423611111111111</v>
      </c>
      <c r="AC17" s="14" t="str">
        <f aca="false">TEXT(((V17+W17)-(B17+C17)),"hh:mm")</f>
        <v>21:56</v>
      </c>
      <c r="AD17" s="4" t="str">
        <f aca="false">INT((V17+W17)-(B17+C17)) &amp; ":" &amp;
TEXT(HOUR((V17+W17)-(B17+C17)), "00") &amp; ":" &amp;
TEXT(MINUTE((V17+W17)-(B17+C17)), "00")</f>
        <v>42:21:56</v>
      </c>
      <c r="AE17" s="1" t="n">
        <f aca="false">IFERROR(
LEFT(AD17,FIND(":",AD17)-1)
+ MID(AD17,FIND(":",AD17)+1,2)/24
+ RIGHT(AD17,2)/1440,
"")</f>
        <v>42.9138888888889</v>
      </c>
      <c r="AF17" s="4" t="str">
        <f aca="false">INT((X17+Y17)-(B17+C17)) &amp; ":" &amp;
TEXT(HOUR((X17+Y17)-(B17+C17)), "00") &amp; ":" &amp;
TEXT(MINUTE((X17+Y17)-(B17+C17)), "00")</f>
        <v>49:22:29</v>
      </c>
      <c r="AG17" s="4" t="str">
        <f aca="false" t="array" ref="AG17:AG17">INT(_xlfn.XLOOKUP(J17,{"Low","Medium","High","Urgent"},{48,24,12,8})/24) &amp; ":" &amp;
TEXT(MOD(_xlfn.XLOOKUP(J17,{"Low","Medium","High","Urgent"},{48,24,12,8}),24)/24,"hh:mm")</f>
        <v>2:00:00</v>
      </c>
      <c r="AH17" s="4" t="str">
        <f aca="false">IF(AD17&gt;AG17,"Not Met","Met")</f>
        <v>Not Met</v>
      </c>
      <c r="AI17" s="4" t="str">
        <f aca="false">IF(AB17&lt;TIME(0,30,0),"Met","Not Met")</f>
        <v>Not Met</v>
      </c>
      <c r="AN17" s="1" t="str">
        <f aca="false">TEXT(B17,"dd")</f>
        <v>09</v>
      </c>
      <c r="AO17" s="1" t="str">
        <f aca="false">TEXT(X17,"dd")</f>
        <v>27</v>
      </c>
      <c r="AP17" s="16" t="str">
        <f aca="false">INT(
  NETWORKDAYS(B17,V17)-1
  + IF(WEEKDAY(V17,2)&lt;6,MOD(V17+W17,1),0)
  - IF(WEEKDAY(B17,2)&lt;6,MOD(B17+C17,1),0)
)
&amp; ":" &amp;
TEXT(HOUR(
  NETWORKDAYS(B17,V17)-1
  + IF(WEEKDAY(V17,2)&lt;6,MOD(V17+W17,1),0)
  - IF(WEEKDAY(B17,2)&lt;6,MOD(B17+C17,1),0)
),"00")
&amp; ":" &amp;
TEXT(MINUTE(
  NETWORKDAYS(B17,V17)-1
  + IF(WEEKDAY(V17,2)&lt;6,MOD(V17+W17,1),0)
  - IF(WEEKDAY(B17,2)&lt;6,MOD(B17+C17,1),0)
),"00")</f>
        <v>30:21:55</v>
      </c>
      <c r="AQ17" s="0" t="n">
        <f aca="false">IFERROR(
LEFT(AP17,FIND(":",AP17)-1)
+ MID(AP17,FIND(":",AP17)+1,2)/24
+ RIGHT(AP17,2)/1440,
"")</f>
        <v>30.9131944444444</v>
      </c>
      <c r="AR17" s="0" t="n">
        <f aca="false">WEEKNUM(B17,1)</f>
        <v>50</v>
      </c>
      <c r="AS17" s="17" t="n">
        <f aca="false">IF(B17&gt;0, (B17+C17)-TIME(13,30,0), "")</f>
        <v>45999.4826388889</v>
      </c>
      <c r="AT17" s="18" t="n">
        <f aca="false">IF(B17&gt;0, (B17+C17)-TIME(13,30,0), "")</f>
        <v>45999.4826388889</v>
      </c>
      <c r="AU17" s="17" t="n">
        <f aca="false">IF(V17&gt;0, (V17+W17)-TIME(13,30,0), "")</f>
        <v>46042.3965277778</v>
      </c>
      <c r="AV17" s="18" t="n">
        <f aca="false">IF(V17&gt;0, (V17+W17)-TIME(13,30,0), "")</f>
        <v>46042.3965277778</v>
      </c>
      <c r="AW17" s="19" t="n">
        <f aca="false">24*(
MAX(0,
IF(NETWORKDAYS(AS17,AU17)=1,
MIN(MOD(AV17,1),TIME(17,30,0)) - MAX(MOD(AT17,1),TIME(8,30,0)),
(TIME(17,30,0)-MAX(MOD(AT17,1),TIME(8,30,0)))
+ (MIN(MOD(AV17,1),TIME(17,30,0))-TIME(8,30,0))
+ (NETWORKDAYS(AS17,AU17)-2)*9/24
)
)
)</f>
        <v>276.933333333333</v>
      </c>
      <c r="AX17" s="19" t="n">
        <f aca="false">24*(
MAX(0,
IF(NETWORKDAYS(AS17,AU17)=1,
MIN(MOD(AV17,1),TIME(17,30,0)) - MAX(MOD(AT17,1),TIME(8,30,0)),
(TIME(17,30,0)-MAX(MOD(AT17,1),TIME(8,30,0)))
+ (MIN(MOD(AV17,1),TIME(17,30,0))-TIME(8,30,0))
+ (NETWORKDAYS(AS17,AU17)-2)* (TIME(17,30,0)-TIME(8,30,0))
)
)
)</f>
        <v>276.933333333333</v>
      </c>
      <c r="AY17" s="20" t="n">
        <f aca="false">ROUND(
IF(AS17=AU17,
MAX(0,
(MIN(MOD(AV17,1),TIME(17,30,0))-
MAX(MOD(AT17,1),TIME(8,30,0)))*24
),
(
(MAX(0,TIME(17,30,0)-MAX(MOD(AT17,1),TIME(8,30,0)))*24)
+
(MAX(0,MIN(MOD(AV17,1),TIME(17,30,0))-TIME(8,30,0))*24)
+
(MAX(0,NETWORKDAYS(AS17+1,AU17-1))*9)
)
),
2)</f>
        <v>276.93</v>
      </c>
      <c r="AZ17" s="0" t="n">
        <f aca="false" t="array" ref="AZ17:AZ17">_xlfn.XLOOKUP(J17,{"Low","Medium","High"},{270,72,24})</f>
        <v>270</v>
      </c>
      <c r="BA17" s="0" t="str">
        <f aca="false">IF(AW17&gt;AZ17,"Not Met","Met")</f>
        <v>Not Met</v>
      </c>
      <c r="BB17" s="21" t="str">
        <f aca="false">IF(AS17="","",TEXT(AS17,"MMM")&amp;"'"&amp;TEXT(AS17,"yy"))</f>
        <v>Dec'25</v>
      </c>
      <c r="BC17" s="0" t="str">
        <f aca="false">IF(AU17="","",TEXT(AU17,"MMM")&amp;"'"&amp;TEXT(AU17,"yy"))</f>
        <v>Jan'26</v>
      </c>
    </row>
    <row r="18" customFormat="false" ht="15" hidden="false" customHeight="false" outlineLevel="0" collapsed="false">
      <c r="A18" s="23" t="s">
        <v>156</v>
      </c>
      <c r="B18" s="24" t="n">
        <v>46000</v>
      </c>
      <c r="C18" s="12" t="n">
        <v>0.924305555555556</v>
      </c>
      <c r="D18" s="13" t="str">
        <f aca="false">IF(B18="","",TEXT(B18,"MMM")&amp;"'"&amp;TEXT(B18,"yy"))</f>
        <v>Dec'25</v>
      </c>
      <c r="E18" s="1" t="s">
        <v>55</v>
      </c>
      <c r="F18" s="1" t="s">
        <v>39</v>
      </c>
      <c r="G18" s="1" t="str">
        <f aca="false">IF(F18="Closed","Closed","Pending")</f>
        <v>Closed</v>
      </c>
      <c r="H18" s="1" t="s">
        <v>157</v>
      </c>
      <c r="I18" s="1" t="s">
        <v>158</v>
      </c>
      <c r="J18" s="1" t="s">
        <v>74</v>
      </c>
      <c r="K18" s="1" t="s">
        <v>59</v>
      </c>
      <c r="L18" s="1" t="s">
        <v>159</v>
      </c>
      <c r="M18" s="1" t="s">
        <v>160</v>
      </c>
      <c r="N18" s="1" t="s">
        <v>65</v>
      </c>
      <c r="O18" s="1" t="s">
        <v>106</v>
      </c>
      <c r="Q18" s="1" t="s">
        <v>86</v>
      </c>
      <c r="R18" s="1" t="s">
        <v>66</v>
      </c>
      <c r="U18" s="12" t="n">
        <v>0.976388888888889</v>
      </c>
      <c r="V18" s="11" t="n">
        <v>46001</v>
      </c>
      <c r="W18" s="12" t="n">
        <v>0.929861111111111</v>
      </c>
      <c r="X18" s="11" t="n">
        <v>46002</v>
      </c>
      <c r="Y18" s="12" t="n">
        <v>0.177083333333333</v>
      </c>
      <c r="Z18" s="1" t="s">
        <v>108</v>
      </c>
      <c r="AA18" s="1" t="s">
        <v>68</v>
      </c>
      <c r="AB18" s="2" t="n">
        <f aca="false">U18-C18</f>
        <v>0.0520833333333333</v>
      </c>
      <c r="AC18" s="14" t="str">
        <f aca="false">TEXT(((V18+W18)-(B18+C18)),"hh:mm")</f>
        <v>00:08</v>
      </c>
      <c r="AD18" s="4" t="str">
        <f aca="false">INT((V18+W18)-(B18+C18)) &amp; ":" &amp;
TEXT(HOUR((V18+W18)-(B18+C18)), "00") &amp; ":" &amp;
TEXT(MINUTE((V18+W18)-(B18+C18)), "00")</f>
        <v>1:00:08</v>
      </c>
      <c r="AE18" s="1" t="n">
        <f aca="false">IFERROR(
LEFT(AD18,FIND(":",AD18)-1)
+ MID(AD18,FIND(":",AD18)+1,2)/24
+ RIGHT(AD18,2)/1440,
"")</f>
        <v>1.00555555555556</v>
      </c>
      <c r="AF18" s="4" t="str">
        <f aca="false">INT((X18+Y18)-(B18+C18)) &amp; ":" &amp;
TEXT(HOUR((X18+Y18)-(B18+C18)), "00") &amp; ":" &amp;
TEXT(MINUTE((X18+Y18)-(B18+C18)), "00")</f>
        <v>1:06:04</v>
      </c>
      <c r="AG18" s="4" t="str">
        <f aca="false" t="array" ref="AG18:AG18">INT(_xlfn.XLOOKUP(J18,{"Low","Medium","High","Urgent"},{48,24,12,8})/24) &amp; ":" &amp;
TEXT(MOD(_xlfn.XLOOKUP(J18,{"Low","Medium","High","Urgent"},{48,24,12,8}),24)/24,"hh:mm")</f>
        <v>2:00:00</v>
      </c>
      <c r="AH18" s="4" t="str">
        <f aca="false">IF(AD18&gt;AG18,"Not Met","Met")</f>
        <v>Met</v>
      </c>
      <c r="AI18" s="4" t="str">
        <f aca="false">IF(AB18&lt;TIME(0,30,0),"Met","Not Met")</f>
        <v>Not Met</v>
      </c>
      <c r="AN18" s="1" t="str">
        <f aca="false">TEXT(B18,"dd")</f>
        <v>09</v>
      </c>
      <c r="AO18" s="1" t="str">
        <f aca="false">TEXT(X18,"dd")</f>
        <v>11</v>
      </c>
      <c r="AP18" s="16" t="str">
        <f aca="false">INT(
  NETWORKDAYS(B18,V18)-1
  + IF(WEEKDAY(V18,2)&lt;6,MOD(V18+W18,1),0)
  - IF(WEEKDAY(B18,2)&lt;6,MOD(B18+C18,1),0)
)
&amp; ":" &amp;
TEXT(HOUR(
  NETWORKDAYS(B18,V18)-1
  + IF(WEEKDAY(V18,2)&lt;6,MOD(V18+W18,1),0)
  - IF(WEEKDAY(B18,2)&lt;6,MOD(B18+C18,1),0)
),"00")
&amp; ":" &amp;
TEXT(MINUTE(
  NETWORKDAYS(B18,V18)-1
  + IF(WEEKDAY(V18,2)&lt;6,MOD(V18+W18,1),0)
  - IF(WEEKDAY(B18,2)&lt;6,MOD(B18+C18,1),0)
),"00")</f>
        <v>1:00:07</v>
      </c>
      <c r="AQ18" s="0" t="n">
        <f aca="false">IFERROR(
LEFT(AP18,FIND(":",AP18)-1)
+ MID(AP18,FIND(":",AP18)+1,2)/24
+ RIGHT(AP18,2)/1440,
"")</f>
        <v>1.00486111111111</v>
      </c>
      <c r="AR18" s="0" t="n">
        <f aca="false">WEEKNUM(B18,1)</f>
        <v>50</v>
      </c>
      <c r="AS18" s="17" t="n">
        <f aca="false">IF(B18&gt;0, (B18+C18)-TIME(13,30,0), "")</f>
        <v>46000.3618055556</v>
      </c>
      <c r="AT18" s="18" t="n">
        <f aca="false">IF(B18&gt;0, (B18+C18)-TIME(13,30,0), "")</f>
        <v>46000.3618055556</v>
      </c>
      <c r="AU18" s="17" t="n">
        <f aca="false">IF(V18&gt;0, (V18+W18)-TIME(13,30,0), "")</f>
        <v>46001.3673611111</v>
      </c>
      <c r="AV18" s="18" t="n">
        <f aca="false">IF(V18&gt;0, (V18+W18)-TIME(13,30,0), "")</f>
        <v>46001.3673611111</v>
      </c>
      <c r="AW18" s="19" t="n">
        <f aca="false">24*(
MAX(0,
IF(NETWORKDAYS(AS18,AU18)=1,
MIN(MOD(AV18,1),TIME(17,30,0)) - MAX(MOD(AT18,1),TIME(8,30,0)),
(TIME(17,30,0)-MAX(MOD(AT18,1),TIME(8,30,0)))
+ (MIN(MOD(AV18,1),TIME(17,30,0))-TIME(8,30,0))
+ (NETWORKDAYS(AS18,AU18)-2)*9/24
)
)
)</f>
        <v>9.13333333333333</v>
      </c>
      <c r="AX18" s="19" t="n">
        <f aca="false">24*(
MAX(0,
IF(NETWORKDAYS(AS18,AU18)=1,
MIN(MOD(AV18,1),TIME(17,30,0)) - MAX(MOD(AT18,1),TIME(8,30,0)),
(TIME(17,30,0)-MAX(MOD(AT18,1),TIME(8,30,0)))
+ (MIN(MOD(AV18,1),TIME(17,30,0))-TIME(8,30,0))
+ (NETWORKDAYS(AS18,AU18)-2)* (TIME(17,30,0)-TIME(8,30,0))
)
)
)</f>
        <v>9.13333333333333</v>
      </c>
      <c r="AY18" s="20" t="n">
        <f aca="false">ROUND(
IF(AS18=AU18,
MAX(0,
(MIN(MOD(AV18,1),TIME(17,30,0))-
MAX(MOD(AT18,1),TIME(8,30,0)))*24
),
(
(MAX(0,TIME(17,30,0)-MAX(MOD(AT18,1),TIME(8,30,0)))*24)
+
(MAX(0,MIN(MOD(AV18,1),TIME(17,30,0))-TIME(8,30,0))*24)
+
(MAX(0,NETWORKDAYS(AS18+1,AU18-1))*9)
)
),
2)</f>
        <v>9.13</v>
      </c>
      <c r="AZ18" s="0" t="n">
        <f aca="false" t="array" ref="AZ18:AZ18">_xlfn.XLOOKUP(J18,{"Low","Medium","High"},{270,72,24})</f>
        <v>270</v>
      </c>
      <c r="BA18" s="0" t="str">
        <f aca="false">IF(AW18&gt;AZ18,"Not Met","Met")</f>
        <v>Met</v>
      </c>
      <c r="BB18" s="21" t="str">
        <f aca="false">IF(AS18="","",TEXT(AS18,"MMM")&amp;"'"&amp;TEXT(AS18,"yy"))</f>
        <v>Dec'25</v>
      </c>
      <c r="BC18" s="0" t="str">
        <f aca="false">IF(AU18="","",TEXT(AU18,"MMM")&amp;"'"&amp;TEXT(AU18,"yy"))</f>
        <v>Dec'25</v>
      </c>
    </row>
    <row r="19" customFormat="false" ht="15" hidden="false" customHeight="false" outlineLevel="0" collapsed="false">
      <c r="A19" s="23" t="s">
        <v>161</v>
      </c>
      <c r="B19" s="24" t="n">
        <v>46000</v>
      </c>
      <c r="C19" s="12" t="n">
        <v>0.961805555555556</v>
      </c>
      <c r="D19" s="13" t="str">
        <f aca="false">IF(B19="","",TEXT(B19,"MMM")&amp;"'"&amp;TEXT(B19,"yy"))</f>
        <v>Dec'25</v>
      </c>
      <c r="E19" s="1" t="s">
        <v>55</v>
      </c>
      <c r="F19" s="1" t="s">
        <v>39</v>
      </c>
      <c r="G19" s="1" t="str">
        <f aca="false">IF(F19="Closed","Closed","Pending")</f>
        <v>Closed</v>
      </c>
      <c r="H19" s="1" t="s">
        <v>120</v>
      </c>
      <c r="I19" s="1" t="s">
        <v>121</v>
      </c>
      <c r="J19" s="1" t="s">
        <v>74</v>
      </c>
      <c r="K19" s="1" t="s">
        <v>59</v>
      </c>
      <c r="L19" s="1" t="s">
        <v>162</v>
      </c>
      <c r="M19" s="1" t="s">
        <v>123</v>
      </c>
      <c r="N19" s="1" t="s">
        <v>65</v>
      </c>
      <c r="O19" s="1" t="s">
        <v>106</v>
      </c>
      <c r="P19" s="1" t="s">
        <v>124</v>
      </c>
      <c r="Q19" s="1" t="s">
        <v>86</v>
      </c>
      <c r="R19" s="1" t="s">
        <v>66</v>
      </c>
      <c r="U19" s="12" t="n">
        <v>0.975</v>
      </c>
      <c r="V19" s="11" t="n">
        <v>46001</v>
      </c>
      <c r="W19" s="12" t="n">
        <v>0.931944444444445</v>
      </c>
      <c r="X19" s="11" t="n">
        <v>46002</v>
      </c>
      <c r="Y19" s="12" t="n">
        <v>0.0395833333333333</v>
      </c>
      <c r="Z19" s="1" t="s">
        <v>108</v>
      </c>
      <c r="AA19" s="1" t="s">
        <v>68</v>
      </c>
      <c r="AB19" s="2" t="n">
        <f aca="false">U19-C19</f>
        <v>0.0131944444444444</v>
      </c>
      <c r="AC19" s="14" t="str">
        <f aca="false">TEXT(((V19+W19)-(B19+C19)),"hh:mm")</f>
        <v>23:17</v>
      </c>
      <c r="AD19" s="4" t="str">
        <f aca="false">INT((V19+W19)-(B19+C19)) &amp; ":" &amp;
TEXT(HOUR((V19+W19)-(B19+C19)), "00") &amp; ":" &amp;
TEXT(MINUTE((V19+W19)-(B19+C19)), "00")</f>
        <v>0:23:17</v>
      </c>
      <c r="AE19" s="1" t="n">
        <f aca="false">IFERROR(
LEFT(AD19,FIND(":",AD19)-1)
+ MID(AD19,FIND(":",AD19)+1,2)/24
+ RIGHT(AD19,2)/1440,
"")</f>
        <v>0.970138888888889</v>
      </c>
      <c r="AF19" s="4" t="str">
        <f aca="false">INT((X19+Y19)-(B19+C19)) &amp; ":" &amp;
TEXT(HOUR((X19+Y19)-(B19+C19)), "00") &amp; ":" &amp;
TEXT(MINUTE((X19+Y19)-(B19+C19)), "00")</f>
        <v>1:01:52</v>
      </c>
      <c r="AG19" s="4" t="str">
        <f aca="false" t="array" ref="AG19:AG19">INT(_xlfn.XLOOKUP(J19,{"Low","Medium","High","Urgent"},{48,24,12,8})/24) &amp; ":" &amp;
TEXT(MOD(_xlfn.XLOOKUP(J19,{"Low","Medium","High","Urgent"},{48,24,12,8}),24)/24,"hh:mm")</f>
        <v>2:00:00</v>
      </c>
      <c r="AH19" s="4" t="str">
        <f aca="false">IF(AD19&gt;AG19,"Not Met","Met")</f>
        <v>Met</v>
      </c>
      <c r="AI19" s="4" t="str">
        <f aca="false">IF(AB19&lt;TIME(0,30,0),"Met","Not Met")</f>
        <v>Met</v>
      </c>
      <c r="AN19" s="1" t="str">
        <f aca="false">TEXT(B19,"dd")</f>
        <v>09</v>
      </c>
      <c r="AO19" s="1" t="str">
        <f aca="false">TEXT(X19,"dd")</f>
        <v>11</v>
      </c>
      <c r="AP19" s="16" t="str">
        <f aca="false">INT(
  NETWORKDAYS(B19,V19)-1
  + IF(WEEKDAY(V19,2)&lt;6,MOD(V19+W19,1),0)
  - IF(WEEKDAY(B19,2)&lt;6,MOD(B19+C19,1),0)
)
&amp; ":" &amp;
TEXT(HOUR(
  NETWORKDAYS(B19,V19)-1
  + IF(WEEKDAY(V19,2)&lt;6,MOD(V19+W19,1),0)
  - IF(WEEKDAY(B19,2)&lt;6,MOD(B19+C19,1),0)
),"00")
&amp; ":" &amp;
TEXT(MINUTE(
  NETWORKDAYS(B19,V19)-1
  + IF(WEEKDAY(V19,2)&lt;6,MOD(V19+W19,1),0)
  - IF(WEEKDAY(B19,2)&lt;6,MOD(B19+C19,1),0)
),"00")</f>
        <v>0:23:16</v>
      </c>
      <c r="AQ19" s="0" t="n">
        <f aca="false">IFERROR(
LEFT(AP19,FIND(":",AP19)-1)
+ MID(AP19,FIND(":",AP19)+1,2)/24
+ RIGHT(AP19,2)/1440,
"")</f>
        <v>0.969444444444444</v>
      </c>
      <c r="AR19" s="0" t="n">
        <f aca="false">WEEKNUM(B19,1)</f>
        <v>50</v>
      </c>
      <c r="AS19" s="17" t="n">
        <f aca="false">IF(B19&gt;0, (B19+C19)-TIME(13,30,0), "")</f>
        <v>46000.3993055556</v>
      </c>
      <c r="AT19" s="18" t="n">
        <f aca="false">IF(B19&gt;0, (B19+C19)-TIME(13,30,0), "")</f>
        <v>46000.3993055556</v>
      </c>
      <c r="AU19" s="17" t="n">
        <f aca="false">IF(V19&gt;0, (V19+W19)-TIME(13,30,0), "")</f>
        <v>46001.3694444444</v>
      </c>
      <c r="AV19" s="18" t="n">
        <f aca="false">IF(V19&gt;0, (V19+W19)-TIME(13,30,0), "")</f>
        <v>46001.3694444444</v>
      </c>
      <c r="AW19" s="19" t="n">
        <f aca="false">24*(
MAX(0,
IF(NETWORKDAYS(AS19,AU19)=1,
MIN(MOD(AV19,1),TIME(17,30,0)) - MAX(MOD(AT19,1),TIME(8,30,0)),
(TIME(17,30,0)-MAX(MOD(AT19,1),TIME(8,30,0)))
+ (MIN(MOD(AV19,1),TIME(17,30,0))-TIME(8,30,0))
+ (NETWORKDAYS(AS19,AU19)-2)*9/24
)
)
)</f>
        <v>8.28333333324778</v>
      </c>
      <c r="AX19" s="19" t="n">
        <f aca="false">24*(
MAX(0,
IF(NETWORKDAYS(AS19,AU19)=1,
MIN(MOD(AV19,1),TIME(17,30,0)) - MAX(MOD(AT19,1),TIME(8,30,0)),
(TIME(17,30,0)-MAX(MOD(AT19,1),TIME(8,30,0)))
+ (MIN(MOD(AV19,1),TIME(17,30,0))-TIME(8,30,0))
+ (NETWORKDAYS(AS19,AU19)-2)* (TIME(17,30,0)-TIME(8,30,0))
)
)
)</f>
        <v>8.28333333324778</v>
      </c>
      <c r="AY19" s="20" t="n">
        <f aca="false">ROUND(
IF(AS19=AU19,
MAX(0,
(MIN(MOD(AV19,1),TIME(17,30,0))-
MAX(MOD(AT19,1),TIME(8,30,0)))*24
),
(
(MAX(0,TIME(17,30,0)-MAX(MOD(AT19,1),TIME(8,30,0)))*24)
+
(MAX(0,MIN(MOD(AV19,1),TIME(17,30,0))-TIME(8,30,0))*24)
+
(MAX(0,NETWORKDAYS(AS19+1,AU19-1))*9)
)
),
2)</f>
        <v>8.28</v>
      </c>
      <c r="AZ19" s="0" t="n">
        <f aca="false" t="array" ref="AZ19:AZ19">_xlfn.XLOOKUP(J19,{"Low","Medium","High"},{270,72,24})</f>
        <v>270</v>
      </c>
      <c r="BA19" s="0" t="str">
        <f aca="false">IF(AW19&gt;AZ19,"Not Met","Met")</f>
        <v>Met</v>
      </c>
      <c r="BB19" s="21" t="str">
        <f aca="false">IF(AS19="","",TEXT(AS19,"MMM")&amp;"'"&amp;TEXT(AS19,"yy"))</f>
        <v>Dec'25</v>
      </c>
      <c r="BC19" s="0" t="str">
        <f aca="false">IF(AU19="","",TEXT(AU19,"MMM")&amp;"'"&amp;TEXT(AU19,"yy"))</f>
        <v>Dec'25</v>
      </c>
    </row>
    <row r="20" customFormat="false" ht="15" hidden="false" customHeight="false" outlineLevel="0" collapsed="false">
      <c r="A20" s="23" t="s">
        <v>163</v>
      </c>
      <c r="B20" s="24" t="n">
        <v>46001</v>
      </c>
      <c r="C20" s="12" t="n">
        <v>0.147222222222222</v>
      </c>
      <c r="D20" s="13" t="str">
        <f aca="false">IF(B20="","",TEXT(B20,"MMM")&amp;"'"&amp;TEXT(B20,"yy"))</f>
        <v>Dec'25</v>
      </c>
      <c r="E20" s="1" t="s">
        <v>55</v>
      </c>
      <c r="F20" s="1" t="s">
        <v>39</v>
      </c>
      <c r="G20" s="1" t="str">
        <f aca="false">IF(F20="Closed","Closed","Pending")</f>
        <v>Closed</v>
      </c>
      <c r="H20" s="1" t="s">
        <v>72</v>
      </c>
      <c r="I20" s="1" t="s">
        <v>164</v>
      </c>
      <c r="J20" s="1" t="s">
        <v>74</v>
      </c>
      <c r="K20" s="1" t="s">
        <v>59</v>
      </c>
      <c r="L20" s="1" t="s">
        <v>165</v>
      </c>
      <c r="M20" s="1" t="s">
        <v>166</v>
      </c>
      <c r="N20" s="1" t="s">
        <v>62</v>
      </c>
      <c r="O20" s="1" t="s">
        <v>77</v>
      </c>
      <c r="Q20" s="1" t="s">
        <v>86</v>
      </c>
      <c r="R20" s="1" t="s">
        <v>66</v>
      </c>
      <c r="U20" s="12" t="n">
        <v>0.277777777777778</v>
      </c>
      <c r="V20" s="11" t="n">
        <v>46002</v>
      </c>
      <c r="W20" s="12" t="n">
        <v>0.984722222222222</v>
      </c>
      <c r="X20" s="11" t="n">
        <v>46003</v>
      </c>
      <c r="Y20" s="12" t="n">
        <v>0.977777777777778</v>
      </c>
      <c r="Z20" s="1" t="s">
        <v>67</v>
      </c>
      <c r="AA20" s="1" t="s">
        <v>68</v>
      </c>
      <c r="AB20" s="2" t="n">
        <f aca="false">U20-C20</f>
        <v>0.130555555555556</v>
      </c>
      <c r="AC20" s="14" t="str">
        <f aca="false">TEXT(((V20+W20)-(B20+C20)),"hh:mm")</f>
        <v>20:06</v>
      </c>
      <c r="AD20" s="4" t="str">
        <f aca="false">INT((V20+W20)-(B20+C20)) &amp; ":" &amp;
TEXT(HOUR((V20+W20)-(B20+C20)), "00") &amp; ":" &amp;
TEXT(MINUTE((V20+W20)-(B20+C20)), "00")</f>
        <v>1:20:06</v>
      </c>
      <c r="AE20" s="1" t="n">
        <f aca="false">IFERROR(
LEFT(AD20,FIND(":",AD20)-1)
+ MID(AD20,FIND(":",AD20)+1,2)/24
+ RIGHT(AD20,2)/1440,
"")</f>
        <v>1.8375</v>
      </c>
      <c r="AF20" s="4" t="str">
        <f aca="false">INT((X20+Y20)-(B20+C20)) &amp; ":" &amp;
TEXT(HOUR((X20+Y20)-(B20+C20)), "00") &amp; ":" &amp;
TEXT(MINUTE((X20+Y20)-(B20+C20)), "00")</f>
        <v>2:19:56</v>
      </c>
      <c r="AG20" s="4" t="str">
        <f aca="false" t="array" ref="AG20:AG20">INT(_xlfn.XLOOKUP(J20,{"Low","Medium","High","Urgent"},{48,24,12,8})/24) &amp; ":" &amp;
TEXT(MOD(_xlfn.XLOOKUP(J20,{"Low","Medium","High","Urgent"},{48,24,12,8}),24)/24,"hh:mm")</f>
        <v>2:00:00</v>
      </c>
      <c r="AH20" s="4" t="str">
        <f aca="false">IF(AD20&gt;AG20,"Not Met","Met")</f>
        <v>Met</v>
      </c>
      <c r="AI20" s="4" t="str">
        <f aca="false">IF(AB20&lt;TIME(0,30,0),"Met","Not Met")</f>
        <v>Not Met</v>
      </c>
      <c r="AN20" s="1" t="str">
        <f aca="false">TEXT(B20,"dd")</f>
        <v>10</v>
      </c>
      <c r="AO20" s="1" t="str">
        <f aca="false">TEXT(X20,"dd")</f>
        <v>12</v>
      </c>
      <c r="AP20" s="16" t="str">
        <f aca="false">INT(
  NETWORKDAYS(B20,V20)-1
  + IF(WEEKDAY(V20,2)&lt;6,MOD(V20+W20,1),0)
  - IF(WEEKDAY(B20,2)&lt;6,MOD(B20+C20,1),0)
)
&amp; ":" &amp;
TEXT(HOUR(
  NETWORKDAYS(B20,V20)-1
  + IF(WEEKDAY(V20,2)&lt;6,MOD(V20+W20,1),0)
  - IF(WEEKDAY(B20,2)&lt;6,MOD(B20+C20,1),0)
),"00")
&amp; ":" &amp;
TEXT(MINUTE(
  NETWORKDAYS(B20,V20)-1
  + IF(WEEKDAY(V20,2)&lt;6,MOD(V20+W20,1),0)
  - IF(WEEKDAY(B20,2)&lt;6,MOD(B20+C20,1),0)
),"00")</f>
        <v>1:20:06</v>
      </c>
      <c r="AQ20" s="0" t="n">
        <f aca="false">IFERROR(
LEFT(AP20,FIND(":",AP20)-1)
+ MID(AP20,FIND(":",AP20)+1,2)/24
+ RIGHT(AP20,2)/1440,
"")</f>
        <v>1.8375</v>
      </c>
      <c r="AR20" s="0" t="n">
        <f aca="false">WEEKNUM(B20,1)</f>
        <v>50</v>
      </c>
      <c r="AS20" s="17" t="n">
        <f aca="false">IF(B20&gt;0, (B20+C20)-TIME(13,30,0), "")</f>
        <v>46000.5847222222</v>
      </c>
      <c r="AT20" s="18" t="n">
        <f aca="false">IF(B20&gt;0, (B20+C20)-TIME(13,30,0), "")</f>
        <v>46000.5847222222</v>
      </c>
      <c r="AU20" s="17" t="n">
        <f aca="false">IF(V20&gt;0, (V20+W20)-TIME(13,30,0), "")</f>
        <v>46002.4222222222</v>
      </c>
      <c r="AV20" s="18" t="n">
        <f aca="false">IF(V20&gt;0, (V20+W20)-TIME(13,30,0), "")</f>
        <v>46002.4222222222</v>
      </c>
      <c r="AW20" s="19" t="n">
        <f aca="false">24*(
MAX(0,
IF(NETWORKDAYS(AS20,AU20)=1,
MIN(MOD(AV20,1),TIME(17,30,0)) - MAX(MOD(AT20,1),TIME(8,30,0)),
(TIME(17,30,0)-MAX(MOD(AT20,1),TIME(8,30,0)))
+ (MIN(MOD(AV20,1),TIME(17,30,0))-TIME(8,30,0))
+ (NETWORKDAYS(AS20,AU20)-2)*9/24
)
)
)</f>
        <v>14.1</v>
      </c>
      <c r="AX20" s="19" t="n">
        <f aca="false">24*(
MAX(0,
IF(NETWORKDAYS(AS20,AU20)=1,
MIN(MOD(AV20,1),TIME(17,30,0)) - MAX(MOD(AT20,1),TIME(8,30,0)),
(TIME(17,30,0)-MAX(MOD(AT20,1),TIME(8,30,0)))
+ (MIN(MOD(AV20,1),TIME(17,30,0))-TIME(8,30,0))
+ (NETWORKDAYS(AS20,AU20)-2)* (TIME(17,30,0)-TIME(8,30,0))
)
)
)</f>
        <v>14.1</v>
      </c>
      <c r="AY20" s="20" t="n">
        <f aca="false">ROUND(
IF(AS20=AU20,
MAX(0,
(MIN(MOD(AV20,1),TIME(17,30,0))-
MAX(MOD(AT20,1),TIME(8,30,0)))*24
),
(
(MAX(0,TIME(17,30,0)-MAX(MOD(AT20,1),TIME(8,30,0)))*24)
+
(MAX(0,MIN(MOD(AV20,1),TIME(17,30,0))-TIME(8,30,0))*24)
+
(MAX(0,NETWORKDAYS(AS20+1,AU20-1))*9)
)
),
2)</f>
        <v>14.1</v>
      </c>
      <c r="AZ20" s="0" t="n">
        <f aca="false" t="array" ref="AZ20:AZ20">_xlfn.XLOOKUP(J20,{"Low","Medium","High"},{270,72,24})</f>
        <v>270</v>
      </c>
      <c r="BA20" s="0" t="str">
        <f aca="false">IF(AW20&gt;AZ20,"Not Met","Met")</f>
        <v>Met</v>
      </c>
      <c r="BB20" s="21" t="str">
        <f aca="false">IF(AS20="","",TEXT(AS20,"MMM")&amp;"'"&amp;TEXT(AS20,"yy"))</f>
        <v>Dec'25</v>
      </c>
      <c r="BC20" s="0" t="str">
        <f aca="false">IF(AU20="","",TEXT(AU20,"MMM")&amp;"'"&amp;TEXT(AU20,"yy"))</f>
        <v>Dec'25</v>
      </c>
    </row>
    <row r="21" customFormat="false" ht="15" hidden="false" customHeight="false" outlineLevel="0" collapsed="false">
      <c r="A21" s="23" t="s">
        <v>167</v>
      </c>
      <c r="B21" s="24" t="n">
        <v>46001</v>
      </c>
      <c r="C21" s="12" t="n">
        <v>0.950694444444444</v>
      </c>
      <c r="D21" s="13" t="str">
        <f aca="false">IF(B21="","",TEXT(B21,"MMM")&amp;"'"&amp;TEXT(B21,"yy"))</f>
        <v>Dec'25</v>
      </c>
      <c r="E21" s="1" t="s">
        <v>55</v>
      </c>
      <c r="F21" s="1" t="s">
        <v>39</v>
      </c>
      <c r="G21" s="1" t="str">
        <f aca="false">IF(F21="Closed","Closed","Pending")</f>
        <v>Closed</v>
      </c>
      <c r="H21" s="1" t="s">
        <v>72</v>
      </c>
      <c r="I21" s="1" t="s">
        <v>168</v>
      </c>
      <c r="J21" s="1" t="s">
        <v>74</v>
      </c>
      <c r="K21" s="1" t="s">
        <v>59</v>
      </c>
      <c r="L21" s="1" t="s">
        <v>169</v>
      </c>
      <c r="M21" s="1" t="s">
        <v>170</v>
      </c>
      <c r="N21" s="1" t="s">
        <v>62</v>
      </c>
      <c r="O21" s="1" t="s">
        <v>106</v>
      </c>
      <c r="Q21" s="1" t="s">
        <v>65</v>
      </c>
      <c r="R21" s="1" t="s">
        <v>79</v>
      </c>
      <c r="U21" s="12" t="n">
        <v>0.955555555555556</v>
      </c>
      <c r="V21" s="11" t="n">
        <v>46008</v>
      </c>
      <c r="W21" s="12" t="n">
        <v>0.963194444444445</v>
      </c>
      <c r="X21" s="11" t="n">
        <v>46009</v>
      </c>
      <c r="Y21" s="12" t="n">
        <v>0.202083333333333</v>
      </c>
      <c r="Z21" s="1" t="s">
        <v>108</v>
      </c>
      <c r="AA21" s="1" t="s">
        <v>68</v>
      </c>
      <c r="AB21" s="2" t="n">
        <f aca="false">U21-C21</f>
        <v>0.00486111111111111</v>
      </c>
      <c r="AC21" s="14" t="str">
        <f aca="false">TEXT(((V21+W21)-(B21+C21)),"hh:mm")</f>
        <v>00:18</v>
      </c>
      <c r="AD21" s="4" t="str">
        <f aca="false">INT((V21+W21)-(B21+C21)) &amp; ":" &amp;
TEXT(HOUR((V21+W21)-(B21+C21)), "00") &amp; ":" &amp;
TEXT(MINUTE((V21+W21)-(B21+C21)), "00")</f>
        <v>7:00:18</v>
      </c>
      <c r="AE21" s="1" t="n">
        <f aca="false">IFERROR(
LEFT(AD21,FIND(":",AD21)-1)
+ MID(AD21,FIND(":",AD21)+1,2)/24
+ RIGHT(AD21,2)/1440,
"")</f>
        <v>7.0125</v>
      </c>
      <c r="AF21" s="4" t="str">
        <f aca="false">INT((X21+Y21)-(B21+C21)) &amp; ":" &amp;
TEXT(HOUR((X21+Y21)-(B21+C21)), "00") &amp; ":" &amp;
TEXT(MINUTE((X21+Y21)-(B21+C21)), "00")</f>
        <v>7:06:02</v>
      </c>
      <c r="AG21" s="4" t="str">
        <f aca="false" t="array" ref="AG21:AG21">INT(_xlfn.XLOOKUP(J21,{"Low","Medium","High","Urgent"},{48,24,12,8})/24) &amp; ":" &amp;
TEXT(MOD(_xlfn.XLOOKUP(J21,{"Low","Medium","High","Urgent"},{48,24,12,8}),24)/24,"hh:mm")</f>
        <v>2:00:00</v>
      </c>
      <c r="AH21" s="4" t="str">
        <f aca="false">IF(AD21&gt;AG21,"Not Met","Met")</f>
        <v>Not Met</v>
      </c>
      <c r="AI21" s="4" t="str">
        <f aca="false">IF(AB21&lt;TIME(0,30,0),"Met","Not Met")</f>
        <v>Met</v>
      </c>
      <c r="AN21" s="1" t="str">
        <f aca="false">TEXT(B21,"dd")</f>
        <v>10</v>
      </c>
      <c r="AO21" s="1" t="str">
        <f aca="false">TEXT(X21,"dd")</f>
        <v>18</v>
      </c>
      <c r="AP21" s="16" t="str">
        <f aca="false">INT(
  NETWORKDAYS(B21,V21)-1
  + IF(WEEKDAY(V21,2)&lt;6,MOD(V21+W21,1),0)
  - IF(WEEKDAY(B21,2)&lt;6,MOD(B21+C21,1),0)
)
&amp; ":" &amp;
TEXT(HOUR(
  NETWORKDAYS(B21,V21)-1
  + IF(WEEKDAY(V21,2)&lt;6,MOD(V21+W21,1),0)
  - IF(WEEKDAY(B21,2)&lt;6,MOD(B21+C21,1),0)
),"00")
&amp; ":" &amp;
TEXT(MINUTE(
  NETWORKDAYS(B21,V21)-1
  + IF(WEEKDAY(V21,2)&lt;6,MOD(V21+W21,1),0)
  - IF(WEEKDAY(B21,2)&lt;6,MOD(B21+C21,1),0)
),"00")</f>
        <v>5:00:17</v>
      </c>
      <c r="AQ21" s="0" t="n">
        <f aca="false">IFERROR(
LEFT(AP21,FIND(":",AP21)-1)
+ MID(AP21,FIND(":",AP21)+1,2)/24
+ RIGHT(AP21,2)/1440,
"")</f>
        <v>5.01180555555556</v>
      </c>
      <c r="AR21" s="0" t="n">
        <f aca="false">WEEKNUM(B21,1)</f>
        <v>50</v>
      </c>
      <c r="AS21" s="17" t="n">
        <f aca="false">IF(B21&gt;0, (B21+C21)-TIME(13,30,0), "")</f>
        <v>46001.3881944444</v>
      </c>
      <c r="AT21" s="18" t="n">
        <f aca="false">IF(B21&gt;0, (B21+C21)-TIME(13,30,0), "")</f>
        <v>46001.3881944444</v>
      </c>
      <c r="AU21" s="17" t="n">
        <f aca="false">IF(V21&gt;0, (V21+W21)-TIME(13,30,0), "")</f>
        <v>46008.4006944444</v>
      </c>
      <c r="AV21" s="18" t="n">
        <f aca="false">IF(V21&gt;0, (V21+W21)-TIME(13,30,0), "")</f>
        <v>46008.4006944444</v>
      </c>
      <c r="AW21" s="19" t="n">
        <f aca="false">24*(
MAX(0,
IF(NETWORKDAYS(AS21,AU21)=1,
MIN(MOD(AV21,1),TIME(17,30,0)) - MAX(MOD(AT21,1),TIME(8,30,0)),
(TIME(17,30,0)-MAX(MOD(AT21,1),TIME(8,30,0)))
+ (MIN(MOD(AV21,1),TIME(17,30,0))-TIME(8,30,0))
+ (NETWORKDAYS(AS21,AU21)-2)*9/24
)
)
)</f>
        <v>45.3</v>
      </c>
      <c r="AX21" s="19" t="n">
        <f aca="false">24*(
MAX(0,
IF(NETWORKDAYS(AS21,AU21)=1,
MIN(MOD(AV21,1),TIME(17,30,0)) - MAX(MOD(AT21,1),TIME(8,30,0)),
(TIME(17,30,0)-MAX(MOD(AT21,1),TIME(8,30,0)))
+ (MIN(MOD(AV21,1),TIME(17,30,0))-TIME(8,30,0))
+ (NETWORKDAYS(AS21,AU21)-2)* (TIME(17,30,0)-TIME(8,30,0))
)
)
)</f>
        <v>45.3</v>
      </c>
      <c r="AY21" s="20" t="n">
        <f aca="false">ROUND(
IF(AS21=AU21,
MAX(0,
(MIN(MOD(AV21,1),TIME(17,30,0))-
MAX(MOD(AT21,1),TIME(8,30,0)))*24
),
(
(MAX(0,TIME(17,30,0)-MAX(MOD(AT21,1),TIME(8,30,0)))*24)
+
(MAX(0,MIN(MOD(AV21,1),TIME(17,30,0))-TIME(8,30,0))*24)
+
(MAX(0,NETWORKDAYS(AS21+1,AU21-1))*9)
)
),
2)</f>
        <v>45.3</v>
      </c>
      <c r="AZ21" s="0" t="n">
        <f aca="false" t="array" ref="AZ21:AZ21">_xlfn.XLOOKUP(J21,{"Low","Medium","High"},{270,72,24})</f>
        <v>270</v>
      </c>
      <c r="BA21" s="0" t="str">
        <f aca="false">IF(AW21&gt;AZ21,"Not Met","Met")</f>
        <v>Met</v>
      </c>
      <c r="BB21" s="21" t="str">
        <f aca="false">IF(AS21="","",TEXT(AS21,"MMM")&amp;"'"&amp;TEXT(AS21,"yy"))</f>
        <v>Dec'25</v>
      </c>
      <c r="BC21" s="0" t="str">
        <f aca="false">IF(AU21="","",TEXT(AU21,"MMM")&amp;"'"&amp;TEXT(AU21,"yy"))</f>
        <v>Dec'25</v>
      </c>
    </row>
    <row r="22" customFormat="false" ht="15" hidden="false" customHeight="false" outlineLevel="0" collapsed="false">
      <c r="A22" s="23" t="s">
        <v>171</v>
      </c>
      <c r="B22" s="24" t="n">
        <v>46001</v>
      </c>
      <c r="C22" s="12" t="n">
        <v>0.950694444444444</v>
      </c>
      <c r="D22" s="13" t="str">
        <f aca="false">IF(B22="","",TEXT(B22,"MMM")&amp;"'"&amp;TEXT(B22,"yy"))</f>
        <v>Dec'25</v>
      </c>
      <c r="E22" s="1" t="s">
        <v>55</v>
      </c>
      <c r="F22" s="1" t="s">
        <v>39</v>
      </c>
      <c r="G22" s="1" t="str">
        <f aca="false">IF(F22="Closed","Closed","Pending")</f>
        <v>Closed</v>
      </c>
      <c r="H22" s="1" t="s">
        <v>56</v>
      </c>
      <c r="I22" s="1" t="s">
        <v>172</v>
      </c>
      <c r="J22" s="1" t="s">
        <v>74</v>
      </c>
      <c r="K22" s="1" t="s">
        <v>59</v>
      </c>
      <c r="L22" s="1" t="s">
        <v>173</v>
      </c>
      <c r="M22" s="1" t="s">
        <v>174</v>
      </c>
      <c r="N22" s="1" t="s">
        <v>62</v>
      </c>
      <c r="O22" s="1" t="s">
        <v>77</v>
      </c>
      <c r="P22" s="1" t="s">
        <v>175</v>
      </c>
      <c r="Q22" s="1" t="s">
        <v>176</v>
      </c>
      <c r="R22" s="1" t="s">
        <v>87</v>
      </c>
      <c r="U22" s="12" t="n">
        <v>0.95625</v>
      </c>
      <c r="V22" s="11" t="n">
        <v>46002</v>
      </c>
      <c r="W22" s="12" t="n">
        <v>0.986805555555556</v>
      </c>
      <c r="X22" s="11" t="n">
        <v>46007</v>
      </c>
      <c r="Y22" s="12" t="n">
        <v>0.99375</v>
      </c>
      <c r="Z22" s="1" t="s">
        <v>67</v>
      </c>
      <c r="AA22" s="1" t="s">
        <v>68</v>
      </c>
      <c r="AB22" s="2" t="n">
        <f aca="false">U22-C22</f>
        <v>0.00555555555555556</v>
      </c>
      <c r="AC22" s="14" t="str">
        <f aca="false">TEXT(((V22+W22)-(B22+C22)),"hh:mm")</f>
        <v>00:52</v>
      </c>
      <c r="AD22" s="4" t="str">
        <f aca="false">INT((V22+W22)-(B22+C22)) &amp; ":" &amp;
TEXT(HOUR((V22+W22)-(B22+C22)), "00") &amp; ":" &amp;
TEXT(MINUTE((V22+W22)-(B22+C22)), "00")</f>
        <v>1:00:52</v>
      </c>
      <c r="AE22" s="1" t="n">
        <f aca="false">IFERROR(
LEFT(AD22,FIND(":",AD22)-1)
+ MID(AD22,FIND(":",AD22)+1,2)/24
+ RIGHT(AD22,2)/1440,
"")</f>
        <v>1.03611111111111</v>
      </c>
      <c r="AF22" s="4" t="str">
        <f aca="false">INT((X22+Y22)-(B22+C22)) &amp; ":" &amp;
TEXT(HOUR((X22+Y22)-(B22+C22)), "00") &amp; ":" &amp;
TEXT(MINUTE((X22+Y22)-(B22+C22)), "00")</f>
        <v>6:01:02</v>
      </c>
      <c r="AG22" s="4" t="str">
        <f aca="false" t="array" ref="AG22:AG22">INT(_xlfn.XLOOKUP(J22,{"Low","Medium","High","Urgent"},{48,24,12,8})/24) &amp; ":" &amp;
TEXT(MOD(_xlfn.XLOOKUP(J22,{"Low","Medium","High","Urgent"},{48,24,12,8}),24)/24,"hh:mm")</f>
        <v>2:00:00</v>
      </c>
      <c r="AH22" s="4" t="str">
        <f aca="false">IF(AD22&gt;AG22,"Not Met","Met")</f>
        <v>Met</v>
      </c>
      <c r="AI22" s="4" t="str">
        <f aca="false">IF(AB22&lt;TIME(0,30,0),"Met","Not Met")</f>
        <v>Met</v>
      </c>
      <c r="AN22" s="1" t="str">
        <f aca="false">TEXT(B22,"dd")</f>
        <v>10</v>
      </c>
      <c r="AO22" s="1" t="str">
        <f aca="false">TEXT(X22,"dd")</f>
        <v>16</v>
      </c>
      <c r="AP22" s="16" t="str">
        <f aca="false">INT(
  NETWORKDAYS(B22,V22)-1
  + IF(WEEKDAY(V22,2)&lt;6,MOD(V22+W22,1),0)
  - IF(WEEKDAY(B22,2)&lt;6,MOD(B22+C22,1),0)
)
&amp; ":" &amp;
TEXT(HOUR(
  NETWORKDAYS(B22,V22)-1
  + IF(WEEKDAY(V22,2)&lt;6,MOD(V22+W22,1),0)
  - IF(WEEKDAY(B22,2)&lt;6,MOD(B22+C22,1),0)
),"00")
&amp; ":" &amp;
TEXT(MINUTE(
  NETWORKDAYS(B22,V22)-1
  + IF(WEEKDAY(V22,2)&lt;6,MOD(V22+W22,1),0)
  - IF(WEEKDAY(B22,2)&lt;6,MOD(B22+C22,1),0)
),"00")</f>
        <v>1:00:52</v>
      </c>
      <c r="AQ22" s="0" t="n">
        <f aca="false">IFERROR(
LEFT(AP22,FIND(":",AP22)-1)
+ MID(AP22,FIND(":",AP22)+1,2)/24
+ RIGHT(AP22,2)/1440,
"")</f>
        <v>1.03611111111111</v>
      </c>
      <c r="AR22" s="0" t="n">
        <f aca="false">WEEKNUM(B22,1)</f>
        <v>50</v>
      </c>
      <c r="AS22" s="17" t="n">
        <f aca="false">IF(B22&gt;0, (B22+C22)-TIME(13,30,0), "")</f>
        <v>46001.3881944444</v>
      </c>
      <c r="AT22" s="18" t="n">
        <f aca="false">IF(B22&gt;0, (B22+C22)-TIME(13,30,0), "")</f>
        <v>46001.3881944444</v>
      </c>
      <c r="AU22" s="17" t="n">
        <f aca="false">IF(V22&gt;0, (V22+W22)-TIME(13,30,0), "")</f>
        <v>46002.4243055556</v>
      </c>
      <c r="AV22" s="18" t="n">
        <f aca="false">IF(V22&gt;0, (V22+W22)-TIME(13,30,0), "")</f>
        <v>46002.4243055556</v>
      </c>
      <c r="AW22" s="19" t="n">
        <f aca="false">24*(
MAX(0,
IF(NETWORKDAYS(AS22,AU22)=1,
MIN(MOD(AV22,1),TIME(17,30,0)) - MAX(MOD(AT22,1),TIME(8,30,0)),
(TIME(17,30,0)-MAX(MOD(AT22,1),TIME(8,30,0)))
+ (MIN(MOD(AV22,1),TIME(17,30,0))-TIME(8,30,0))
+ (NETWORKDAYS(AS22,AU22)-2)*9/24
)
)
)</f>
        <v>9.86666666666667</v>
      </c>
      <c r="AX22" s="19" t="n">
        <f aca="false">24*(
MAX(0,
IF(NETWORKDAYS(AS22,AU22)=1,
MIN(MOD(AV22,1),TIME(17,30,0)) - MAX(MOD(AT22,1),TIME(8,30,0)),
(TIME(17,30,0)-MAX(MOD(AT22,1),TIME(8,30,0)))
+ (MIN(MOD(AV22,1),TIME(17,30,0))-TIME(8,30,0))
+ (NETWORKDAYS(AS22,AU22)-2)* (TIME(17,30,0)-TIME(8,30,0))
)
)
)</f>
        <v>9.86666666666667</v>
      </c>
      <c r="AY22" s="20" t="n">
        <f aca="false">ROUND(
IF(AS22=AU22,
MAX(0,
(MIN(MOD(AV22,1),TIME(17,30,0))-
MAX(MOD(AT22,1),TIME(8,30,0)))*24
),
(
(MAX(0,TIME(17,30,0)-MAX(MOD(AT22,1),TIME(8,30,0)))*24)
+
(MAX(0,MIN(MOD(AV22,1),TIME(17,30,0))-TIME(8,30,0))*24)
+
(MAX(0,NETWORKDAYS(AS22+1,AU22-1))*9)
)
),
2)</f>
        <v>9.87</v>
      </c>
      <c r="AZ22" s="0" t="n">
        <f aca="false" t="array" ref="AZ22:AZ22">_xlfn.XLOOKUP(J22,{"Low","Medium","High"},{270,72,24})</f>
        <v>270</v>
      </c>
      <c r="BA22" s="0" t="str">
        <f aca="false">IF(AW22&gt;AZ22,"Not Met","Met")</f>
        <v>Met</v>
      </c>
      <c r="BB22" s="21" t="str">
        <f aca="false">IF(AS22="","",TEXT(AS22,"MMM")&amp;"'"&amp;TEXT(AS22,"yy"))</f>
        <v>Dec'25</v>
      </c>
      <c r="BC22" s="0" t="str">
        <f aca="false">IF(AU22="","",TEXT(AU22,"MMM")&amp;"'"&amp;TEXT(AU22,"yy"))</f>
        <v>Dec'25</v>
      </c>
    </row>
    <row r="23" customFormat="false" ht="15" hidden="false" customHeight="false" outlineLevel="0" collapsed="false">
      <c r="A23" s="23" t="s">
        <v>177</v>
      </c>
      <c r="B23" s="24" t="n">
        <v>46001</v>
      </c>
      <c r="C23" s="12" t="n">
        <v>0.9625</v>
      </c>
      <c r="D23" s="13" t="str">
        <f aca="false">IF(B23="","",TEXT(B23,"MMM")&amp;"'"&amp;TEXT(B23,"yy"))</f>
        <v>Dec'25</v>
      </c>
      <c r="E23" s="1" t="s">
        <v>55</v>
      </c>
      <c r="F23" s="1" t="s">
        <v>39</v>
      </c>
      <c r="G23" s="1" t="str">
        <f aca="false">IF(F23="Closed","Closed","Pending")</f>
        <v>Closed</v>
      </c>
      <c r="H23" s="1" t="s">
        <v>72</v>
      </c>
      <c r="I23" s="1" t="s">
        <v>168</v>
      </c>
      <c r="J23" s="1" t="s">
        <v>74</v>
      </c>
      <c r="K23" s="1" t="s">
        <v>59</v>
      </c>
      <c r="L23" s="1" t="s">
        <v>178</v>
      </c>
      <c r="M23" s="1" t="s">
        <v>179</v>
      </c>
      <c r="N23" s="1" t="s">
        <v>143</v>
      </c>
      <c r="O23" s="1" t="s">
        <v>143</v>
      </c>
      <c r="Q23" s="1" t="s">
        <v>143</v>
      </c>
      <c r="R23" s="1" t="s">
        <v>79</v>
      </c>
      <c r="U23" s="12" t="n">
        <v>0.970833333333333</v>
      </c>
      <c r="V23" s="11" t="n">
        <v>46035</v>
      </c>
      <c r="W23" s="12" t="n">
        <v>0.04375</v>
      </c>
      <c r="X23" s="11" t="n">
        <v>46039</v>
      </c>
      <c r="Y23" s="12" t="n">
        <v>0.0861111111111111</v>
      </c>
      <c r="Z23" s="1" t="s">
        <v>108</v>
      </c>
      <c r="AA23" s="1" t="s">
        <v>68</v>
      </c>
      <c r="AB23" s="2" t="n">
        <f aca="false">U23-C23</f>
        <v>0.00833333333333333</v>
      </c>
      <c r="AC23" s="14" t="str">
        <f aca="false">TEXT(((V23+W23)-(B23+C23)),"hh:mm")</f>
        <v>01:57</v>
      </c>
      <c r="AD23" s="4" t="str">
        <f aca="false">INT((V23+W23)-(B23+C23)) &amp; ":" &amp;
TEXT(HOUR((V23+W23)-(B23+C23)), "00") &amp; ":" &amp;
TEXT(MINUTE((V23+W23)-(B23+C23)), "00")</f>
        <v>33:01:57</v>
      </c>
      <c r="AE23" s="1" t="n">
        <f aca="false">IFERROR(
LEFT(AD23,FIND(":",AD23)-1)
+ MID(AD23,FIND(":",AD23)+1,2)/24
+ RIGHT(AD23,2)/1440,
"")</f>
        <v>33.08125</v>
      </c>
      <c r="AF23" s="4" t="str">
        <f aca="false">INT((X23+Y23)-(B23+C23)) &amp; ":" &amp;
TEXT(HOUR((X23+Y23)-(B23+C23)), "00") &amp; ":" &amp;
TEXT(MINUTE((X23+Y23)-(B23+C23)), "00")</f>
        <v>37:02:58</v>
      </c>
      <c r="AG23" s="4" t="str">
        <f aca="false" t="array" ref="AG23:AG23">INT(_xlfn.XLOOKUP(J23,{"Low","Medium","High","Urgent"},{48,24,12,8})/24) &amp; ":" &amp;
TEXT(MOD(_xlfn.XLOOKUP(J23,{"Low","Medium","High","Urgent"},{48,24,12,8}),24)/24,"hh:mm")</f>
        <v>2:00:00</v>
      </c>
      <c r="AH23" s="4" t="str">
        <f aca="false">IF(AD23&gt;AG23,"Not Met","Met")</f>
        <v>Not Met</v>
      </c>
      <c r="AI23" s="4" t="str">
        <f aca="false">IF(AB23&lt;TIME(0,30,0),"Met","Not Met")</f>
        <v>Met</v>
      </c>
      <c r="AN23" s="1" t="str">
        <f aca="false">TEXT(B23,"dd")</f>
        <v>10</v>
      </c>
      <c r="AO23" s="1" t="str">
        <f aca="false">TEXT(X23,"dd")</f>
        <v>17</v>
      </c>
      <c r="AP23" s="16" t="str">
        <f aca="false">INT(
  NETWORKDAYS(B23,V23)-1
  + IF(WEEKDAY(V23,2)&lt;6,MOD(V23+W23,1),0)
  - IF(WEEKDAY(B23,2)&lt;6,MOD(B23+C23,1),0)
)
&amp; ":" &amp;
TEXT(HOUR(
  NETWORKDAYS(B23,V23)-1
  + IF(WEEKDAY(V23,2)&lt;6,MOD(V23+W23,1),0)
  - IF(WEEKDAY(B23,2)&lt;6,MOD(B23+C23,1),0)
),"00")
&amp; ":" &amp;
TEXT(MINUTE(
  NETWORKDAYS(B23,V23)-1
  + IF(WEEKDAY(V23,2)&lt;6,MOD(V23+W23,1),0)
  - IF(WEEKDAY(B23,2)&lt;6,MOD(B23+C23,1),0)
),"00")</f>
        <v>23:01:56</v>
      </c>
      <c r="AQ23" s="0" t="n">
        <f aca="false">IFERROR(
LEFT(AP23,FIND(":",AP23)-1)
+ MID(AP23,FIND(":",AP23)+1,2)/24
+ RIGHT(AP23,2)/1440,
"")</f>
        <v>23.0805555555556</v>
      </c>
      <c r="AR23" s="0" t="n">
        <f aca="false">WEEKNUM(B23,1)</f>
        <v>50</v>
      </c>
      <c r="AS23" s="17" t="n">
        <f aca="false">IF(B23&gt;0, (B23+C23)-TIME(13,30,0), "")</f>
        <v>46001.4</v>
      </c>
      <c r="AT23" s="18" t="n">
        <f aca="false">IF(B23&gt;0, (B23+C23)-TIME(13,30,0), "")</f>
        <v>46001.4</v>
      </c>
      <c r="AU23" s="17" t="n">
        <f aca="false">IF(V23&gt;0, (V23+W23)-TIME(13,30,0), "")</f>
        <v>46034.48125</v>
      </c>
      <c r="AV23" s="18" t="n">
        <f aca="false">IF(V23&gt;0, (V23+W23)-TIME(13,30,0), "")</f>
        <v>46034.48125</v>
      </c>
      <c r="AW23" s="19" t="n">
        <f aca="false">24*(
MAX(0,
IF(NETWORKDAYS(AS23,AU23)=1,
MIN(MOD(AV23,1),TIME(17,30,0)) - MAX(MOD(AT23,1),TIME(8,30,0)),
(TIME(17,30,0)-MAX(MOD(AT23,1),TIME(8,30,0)))
+ (MIN(MOD(AV23,1),TIME(17,30,0))-TIME(8,30,0))
+ (NETWORKDAYS(AS23,AU23)-2)*9/24
)
)
)</f>
        <v>208.95</v>
      </c>
      <c r="AX23" s="19" t="n">
        <f aca="false">24*(
MAX(0,
IF(NETWORKDAYS(AS23,AU23)=1,
MIN(MOD(AV23,1),TIME(17,30,0)) - MAX(MOD(AT23,1),TIME(8,30,0)),
(TIME(17,30,0)-MAX(MOD(AT23,1),TIME(8,30,0)))
+ (MIN(MOD(AV23,1),TIME(17,30,0))-TIME(8,30,0))
+ (NETWORKDAYS(AS23,AU23)-2)* (TIME(17,30,0)-TIME(8,30,0))
)
)
)</f>
        <v>208.95</v>
      </c>
      <c r="AY23" s="20" t="n">
        <f aca="false">ROUND(
IF(AS23=AU23,
MAX(0,
(MIN(MOD(AV23,1),TIME(17,30,0))-
MAX(MOD(AT23,1),TIME(8,30,0)))*24
),
(
(MAX(0,TIME(17,30,0)-MAX(MOD(AT23,1),TIME(8,30,0)))*24)
+
(MAX(0,MIN(MOD(AV23,1),TIME(17,30,0))-TIME(8,30,0))*24)
+
(MAX(0,NETWORKDAYS(AS23+1,AU23-1))*9)
)
),
2)</f>
        <v>208.95</v>
      </c>
      <c r="AZ23" s="0" t="n">
        <f aca="false" t="array" ref="AZ23:AZ23">_xlfn.XLOOKUP(J23,{"Low","Medium","High"},{270,72,24})</f>
        <v>270</v>
      </c>
      <c r="BA23" s="0" t="str">
        <f aca="false">IF(AW23&gt;AZ23,"Not Met","Met")</f>
        <v>Met</v>
      </c>
      <c r="BB23" s="21" t="str">
        <f aca="false">IF(AS23="","",TEXT(AS23,"MMM")&amp;"'"&amp;TEXT(AS23,"yy"))</f>
        <v>Dec'25</v>
      </c>
      <c r="BC23" s="0" t="str">
        <f aca="false">IF(AU23="","",TEXT(AU23,"MMM")&amp;"'"&amp;TEXT(AU23,"yy"))</f>
        <v>Jan'26</v>
      </c>
    </row>
    <row r="24" customFormat="false" ht="15" hidden="false" customHeight="false" outlineLevel="0" collapsed="false">
      <c r="A24" s="23" t="s">
        <v>180</v>
      </c>
      <c r="B24" s="24" t="n">
        <v>46002</v>
      </c>
      <c r="C24" s="12" t="n">
        <v>0.972222222222222</v>
      </c>
      <c r="D24" s="13" t="str">
        <f aca="false">IF(B24="","",TEXT(B24,"MMM")&amp;"'"&amp;TEXT(B24,"yy"))</f>
        <v>Dec'25</v>
      </c>
      <c r="E24" s="1" t="s">
        <v>55</v>
      </c>
      <c r="F24" s="1" t="s">
        <v>39</v>
      </c>
      <c r="G24" s="1" t="str">
        <f aca="false">IF(F24="Closed","Closed","Pending")</f>
        <v>Closed</v>
      </c>
      <c r="H24" s="23" t="s">
        <v>72</v>
      </c>
      <c r="I24" s="1" t="s">
        <v>168</v>
      </c>
      <c r="J24" s="1" t="s">
        <v>74</v>
      </c>
      <c r="K24" s="1" t="s">
        <v>59</v>
      </c>
      <c r="L24" s="23" t="s">
        <v>181</v>
      </c>
      <c r="M24" s="23" t="s">
        <v>182</v>
      </c>
      <c r="N24" s="1" t="s">
        <v>65</v>
      </c>
      <c r="O24" s="1" t="s">
        <v>77</v>
      </c>
      <c r="P24" s="1" t="s">
        <v>183</v>
      </c>
      <c r="Q24" s="1" t="s">
        <v>65</v>
      </c>
      <c r="R24" s="1" t="s">
        <v>66</v>
      </c>
      <c r="U24" s="12" t="n">
        <v>0.990972222222222</v>
      </c>
      <c r="V24" s="11" t="n">
        <v>46003</v>
      </c>
      <c r="W24" s="12" t="n">
        <v>0.920138888888889</v>
      </c>
      <c r="X24" s="11" t="n">
        <v>46007</v>
      </c>
      <c r="Y24" s="12" t="n">
        <v>0.993055555555556</v>
      </c>
      <c r="Z24" s="1" t="s">
        <v>108</v>
      </c>
      <c r="AA24" s="1" t="s">
        <v>68</v>
      </c>
      <c r="AB24" s="2" t="n">
        <f aca="false">U24-C24</f>
        <v>0.01875</v>
      </c>
      <c r="AC24" s="14" t="str">
        <f aca="false">TEXT(((V24+W24)-(B24+C24)),"hh:mm")</f>
        <v>22:45</v>
      </c>
      <c r="AD24" s="4" t="str">
        <f aca="false">INT((V24+W24)-(B24+C24)) &amp; ":" &amp;
TEXT(HOUR((V24+W24)-(B24+C24)), "00") &amp; ":" &amp;
TEXT(MINUTE((V24+W24)-(B24+C24)), "00")</f>
        <v>0:22:45</v>
      </c>
      <c r="AE24" s="1" t="n">
        <f aca="false">IFERROR(
LEFT(AD24,FIND(":",AD24)-1)
+ MID(AD24,FIND(":",AD24)+1,2)/24
+ RIGHT(AD24,2)/1440,
"")</f>
        <v>0.947916666666667</v>
      </c>
      <c r="AF24" s="4" t="str">
        <f aca="false">INT((X24+Y24)-(B24+C24)) &amp; ":" &amp;
TEXT(HOUR((X24+Y24)-(B24+C24)), "00") &amp; ":" &amp;
TEXT(MINUTE((X24+Y24)-(B24+C24)), "00")</f>
        <v>5:00:30</v>
      </c>
      <c r="AG24" s="4" t="str">
        <f aca="false" t="array" ref="AG24:AG24">INT(_xlfn.XLOOKUP(J24,{"Low","Medium","High","Urgent"},{48,24,12,8})/24) &amp; ":" &amp;
TEXT(MOD(_xlfn.XLOOKUP(J24,{"Low","Medium","High","Urgent"},{48,24,12,8}),24)/24,"hh:mm")</f>
        <v>2:00:00</v>
      </c>
      <c r="AH24" s="4" t="str">
        <f aca="false">IF(AD24&gt;AG24,"Not Met","Met")</f>
        <v>Met</v>
      </c>
      <c r="AI24" s="4" t="str">
        <f aca="false">IF(AB24&lt;TIME(0,30,0),"Met","Not Met")</f>
        <v>Met</v>
      </c>
      <c r="AN24" s="1" t="str">
        <f aca="false">TEXT(B24,"dd")</f>
        <v>11</v>
      </c>
      <c r="AO24" s="1" t="str">
        <f aca="false">TEXT(X24,"dd")</f>
        <v>16</v>
      </c>
      <c r="AP24" s="16" t="str">
        <f aca="false">INT(
  NETWORKDAYS(B24,V24)-1
  + IF(WEEKDAY(V24,2)&lt;6,MOD(V24+W24,1),0)
  - IF(WEEKDAY(B24,2)&lt;6,MOD(B24+C24,1),0)
)
&amp; ":" &amp;
TEXT(HOUR(
  NETWORKDAYS(B24,V24)-1
  + IF(WEEKDAY(V24,2)&lt;6,MOD(V24+W24,1),0)
  - IF(WEEKDAY(B24,2)&lt;6,MOD(B24+C24,1),0)
),"00")
&amp; ":" &amp;
TEXT(MINUTE(
  NETWORKDAYS(B24,V24)-1
  + IF(WEEKDAY(V24,2)&lt;6,MOD(V24+W24,1),0)
  - IF(WEEKDAY(B24,2)&lt;6,MOD(B24+C24,1),0)
),"00")</f>
        <v>0:22:45</v>
      </c>
      <c r="AQ24" s="0" t="n">
        <f aca="false">IFERROR(
LEFT(AP24,FIND(":",AP24)-1)
+ MID(AP24,FIND(":",AP24)+1,2)/24
+ RIGHT(AP24,2)/1440,
"")</f>
        <v>0.947916666666667</v>
      </c>
      <c r="AR24" s="0" t="n">
        <f aca="false">WEEKNUM(B24,1)</f>
        <v>50</v>
      </c>
      <c r="AS24" s="17" t="n">
        <f aca="false">IF(B24&gt;0, (B24+C24)-TIME(13,30,0), "")</f>
        <v>46002.4097222222</v>
      </c>
      <c r="AT24" s="18" t="n">
        <f aca="false">IF(B24&gt;0, (B24+C24)-TIME(13,30,0), "")</f>
        <v>46002.4097222222</v>
      </c>
      <c r="AU24" s="17" t="n">
        <f aca="false">IF(V24&gt;0, (V24+W24)-TIME(13,30,0), "")</f>
        <v>46003.3576388889</v>
      </c>
      <c r="AV24" s="18" t="n">
        <f aca="false">IF(V24&gt;0, (V24+W24)-TIME(13,30,0), "")</f>
        <v>46003.3576388889</v>
      </c>
      <c r="AW24" s="19" t="n">
        <f aca="false">24*(
MAX(0,
IF(NETWORKDAYS(AS24,AU24)=1,
MIN(MOD(AV24,1),TIME(17,30,0)) - MAX(MOD(AT24,1),TIME(8,30,0)),
(TIME(17,30,0)-MAX(MOD(AT24,1),TIME(8,30,0)))
+ (MIN(MOD(AV24,1),TIME(17,30,0))-TIME(8,30,0))
+ (NETWORKDAYS(AS24,AU24)-2)*9/24
)
)
)</f>
        <v>7.75</v>
      </c>
      <c r="AX24" s="19" t="n">
        <f aca="false">24*(
MAX(0,
IF(NETWORKDAYS(AS24,AU24)=1,
MIN(MOD(AV24,1),TIME(17,30,0)) - MAX(MOD(AT24,1),TIME(8,30,0)),
(TIME(17,30,0)-MAX(MOD(AT24,1),TIME(8,30,0)))
+ (MIN(MOD(AV24,1),TIME(17,30,0))-TIME(8,30,0))
+ (NETWORKDAYS(AS24,AU24)-2)* (TIME(17,30,0)-TIME(8,30,0))
)
)
)</f>
        <v>7.75</v>
      </c>
      <c r="AY24" s="20" t="n">
        <f aca="false">ROUND(
IF(AS24=AU24,
MAX(0,
(MIN(MOD(AV24,1),TIME(17,30,0))-
MAX(MOD(AT24,1),TIME(8,30,0)))*24
),
(
(MAX(0,TIME(17,30,0)-MAX(MOD(AT24,1),TIME(8,30,0)))*24)
+
(MAX(0,MIN(MOD(AV24,1),TIME(17,30,0))-TIME(8,30,0))*24)
+
(MAX(0,NETWORKDAYS(AS24+1,AU24-1))*9)
)
),
2)</f>
        <v>7.75</v>
      </c>
      <c r="AZ24" s="0" t="n">
        <f aca="false" t="array" ref="AZ24:AZ24">_xlfn.XLOOKUP(J24,{"Low","Medium","High"},{270,72,24})</f>
        <v>270</v>
      </c>
      <c r="BA24" s="0" t="str">
        <f aca="false">IF(AW24&gt;AZ24,"Not Met","Met")</f>
        <v>Met</v>
      </c>
      <c r="BB24" s="21" t="str">
        <f aca="false">IF(AS24="","",TEXT(AS24,"MMM")&amp;"'"&amp;TEXT(AS24,"yy"))</f>
        <v>Dec'25</v>
      </c>
      <c r="BC24" s="0" t="str">
        <f aca="false">IF(AU24="","",TEXT(AU24,"MMM")&amp;"'"&amp;TEXT(AU24,"yy"))</f>
        <v>Dec'25</v>
      </c>
    </row>
    <row r="25" customFormat="false" ht="15" hidden="false" customHeight="false" outlineLevel="0" collapsed="false">
      <c r="A25" s="23" t="s">
        <v>184</v>
      </c>
      <c r="B25" s="24" t="n">
        <v>46002</v>
      </c>
      <c r="C25" s="12" t="n">
        <v>0.994444444444445</v>
      </c>
      <c r="D25" s="13" t="str">
        <f aca="false">IF(B25="","",TEXT(B25,"MMM")&amp;"'"&amp;TEXT(B25,"yy"))</f>
        <v>Dec'25</v>
      </c>
      <c r="E25" s="1" t="s">
        <v>55</v>
      </c>
      <c r="F25" s="1" t="s">
        <v>39</v>
      </c>
      <c r="G25" s="1" t="str">
        <f aca="false">IF(F25="Closed","Closed","Pending")</f>
        <v>Closed</v>
      </c>
      <c r="H25" s="23" t="s">
        <v>185</v>
      </c>
      <c r="I25" s="1" t="s">
        <v>186</v>
      </c>
      <c r="J25" s="1" t="s">
        <v>74</v>
      </c>
      <c r="K25" s="1" t="s">
        <v>59</v>
      </c>
      <c r="L25" s="23" t="s">
        <v>187</v>
      </c>
      <c r="M25" s="23" t="s">
        <v>188</v>
      </c>
      <c r="N25" s="1" t="s">
        <v>62</v>
      </c>
      <c r="O25" s="1" t="s">
        <v>63</v>
      </c>
      <c r="P25" s="1" t="s">
        <v>138</v>
      </c>
      <c r="R25" s="1" t="s">
        <v>66</v>
      </c>
      <c r="U25" s="12" t="n">
        <v>0.997916666666667</v>
      </c>
      <c r="V25" s="11" t="n">
        <v>46013</v>
      </c>
      <c r="W25" s="12" t="n">
        <v>0.973611111111111</v>
      </c>
      <c r="X25" s="11" t="n">
        <v>46014</v>
      </c>
      <c r="Y25" s="12" t="n">
        <v>0.0416666666666667</v>
      </c>
      <c r="Z25" s="1" t="s">
        <v>108</v>
      </c>
      <c r="AA25" s="1" t="s">
        <v>68</v>
      </c>
      <c r="AB25" s="2" t="n">
        <f aca="false">U25-C25</f>
        <v>0.00347222222222222</v>
      </c>
      <c r="AC25" s="14" t="str">
        <f aca="false">TEXT(((V25+W25)-(B25+C25)),"hh:mm")</f>
        <v>23:30</v>
      </c>
      <c r="AD25" s="4" t="str">
        <f aca="false">INT((V25+W25)-(B25+C25)) &amp; ":" &amp;
TEXT(HOUR((V25+W25)-(B25+C25)), "00") &amp; ":" &amp;
TEXT(MINUTE((V25+W25)-(B25+C25)), "00")</f>
        <v>10:23:30</v>
      </c>
      <c r="AE25" s="1" t="n">
        <f aca="false">IFERROR(
LEFT(AD25,FIND(":",AD25)-1)
+ MID(AD25,FIND(":",AD25)+1,2)/24
+ RIGHT(AD25,2)/1440,
"")</f>
        <v>10.9791666666667</v>
      </c>
      <c r="AF25" s="4" t="str">
        <f aca="false">INT((X25+Y25)-(B25+C25)) &amp; ":" &amp;
TEXT(HOUR((X25+Y25)-(B25+C25)), "00") &amp; ":" &amp;
TEXT(MINUTE((X25+Y25)-(B25+C25)), "00")</f>
        <v>11:01:08</v>
      </c>
      <c r="AG25" s="4" t="str">
        <f aca="false" t="array" ref="AG25:AG25">INT(_xlfn.XLOOKUP(J25,{"Low","Medium","High","Urgent"},{48,24,12,8})/24) &amp; ":" &amp;
TEXT(MOD(_xlfn.XLOOKUP(J25,{"Low","Medium","High","Urgent"},{48,24,12,8}),24)/24,"hh:mm")</f>
        <v>2:00:00</v>
      </c>
      <c r="AH25" s="4" t="str">
        <f aca="false">IF(AD25&gt;AG25,"Not Met","Met")</f>
        <v>Met</v>
      </c>
      <c r="AI25" s="4" t="str">
        <f aca="false">IF(AB25&lt;TIME(0,30,0),"Met","Not Met")</f>
        <v>Met</v>
      </c>
      <c r="AN25" s="1" t="str">
        <f aca="false">TEXT(B25,"dd")</f>
        <v>11</v>
      </c>
      <c r="AO25" s="1" t="str">
        <f aca="false">TEXT(X25,"dd")</f>
        <v>23</v>
      </c>
      <c r="AP25" s="16" t="str">
        <f aca="false">INT(
  NETWORKDAYS(B25,V25)-1
  + IF(WEEKDAY(V25,2)&lt;6,MOD(V25+W25,1),0)
  - IF(WEEKDAY(B25,2)&lt;6,MOD(B25+C25,1),0)
)
&amp; ":" &amp;
TEXT(HOUR(
  NETWORKDAYS(B25,V25)-1
  + IF(WEEKDAY(V25,2)&lt;6,MOD(V25+W25,1),0)
  - IF(WEEKDAY(B25,2)&lt;6,MOD(B25+C25,1),0)
),"00")
&amp; ":" &amp;
TEXT(MINUTE(
  NETWORKDAYS(B25,V25)-1
  + IF(WEEKDAY(V25,2)&lt;6,MOD(V25+W25,1),0)
  - IF(WEEKDAY(B25,2)&lt;6,MOD(B25+C25,1),0)
),"00")</f>
        <v>6:23:30</v>
      </c>
      <c r="AQ25" s="0" t="n">
        <f aca="false">IFERROR(
LEFT(AP25,FIND(":",AP25)-1)
+ MID(AP25,FIND(":",AP25)+1,2)/24
+ RIGHT(AP25,2)/1440,
"")</f>
        <v>6.97916666666667</v>
      </c>
      <c r="AR25" s="0" t="n">
        <f aca="false">WEEKNUM(B25,1)</f>
        <v>50</v>
      </c>
      <c r="AS25" s="17" t="n">
        <f aca="false">IF(B25&gt;0, (B25+C25)-TIME(13,30,0), "")</f>
        <v>46002.4319444444</v>
      </c>
      <c r="AT25" s="18" t="n">
        <f aca="false">IF(B25&gt;0, (B25+C25)-TIME(13,30,0), "")</f>
        <v>46002.4319444444</v>
      </c>
      <c r="AU25" s="17" t="n">
        <f aca="false">IF(V25&gt;0, (V25+W25)-TIME(13,30,0), "")</f>
        <v>46013.4111111111</v>
      </c>
      <c r="AV25" s="18" t="n">
        <f aca="false">IF(V25&gt;0, (V25+W25)-TIME(13,30,0), "")</f>
        <v>46013.4111111111</v>
      </c>
      <c r="AW25" s="19" t="n">
        <f aca="false">24*(
MAX(0,
IF(NETWORKDAYS(AS25,AU25)=1,
MIN(MOD(AV25,1),TIME(17,30,0)) - MAX(MOD(AT25,1),TIME(8,30,0)),
(TIME(17,30,0)-MAX(MOD(AT25,1),TIME(8,30,0)))
+ (MIN(MOD(AV25,1),TIME(17,30,0))-TIME(8,30,0))
+ (NETWORKDAYS(AS25,AU25)-2)*9/24
)
)
)</f>
        <v>62.5</v>
      </c>
      <c r="AX25" s="19" t="n">
        <f aca="false">24*(
MAX(0,
IF(NETWORKDAYS(AS25,AU25)=1,
MIN(MOD(AV25,1),TIME(17,30,0)) - MAX(MOD(AT25,1),TIME(8,30,0)),
(TIME(17,30,0)-MAX(MOD(AT25,1),TIME(8,30,0)))
+ (MIN(MOD(AV25,1),TIME(17,30,0))-TIME(8,30,0))
+ (NETWORKDAYS(AS25,AU25)-2)* (TIME(17,30,0)-TIME(8,30,0))
)
)
)</f>
        <v>62.5</v>
      </c>
      <c r="AY25" s="20" t="n">
        <f aca="false">ROUND(
IF(AS25=AU25,
MAX(0,
(MIN(MOD(AV25,1),TIME(17,30,0))-
MAX(MOD(AT25,1),TIME(8,30,0)))*24
),
(
(MAX(0,TIME(17,30,0)-MAX(MOD(AT25,1),TIME(8,30,0)))*24)
+
(MAX(0,MIN(MOD(AV25,1),TIME(17,30,0))-TIME(8,30,0))*24)
+
(MAX(0,NETWORKDAYS(AS25+1,AU25-1))*9)
)
),
2)</f>
        <v>62.5</v>
      </c>
      <c r="AZ25" s="0" t="n">
        <f aca="false" t="array" ref="AZ25:AZ25">_xlfn.XLOOKUP(J25,{"Low","Medium","High"},{270,72,24})</f>
        <v>270</v>
      </c>
      <c r="BA25" s="0" t="str">
        <f aca="false">IF(AW25&gt;AZ25,"Not Met","Met")</f>
        <v>Met</v>
      </c>
      <c r="BB25" s="21" t="str">
        <f aca="false">IF(AS25="","",TEXT(AS25,"MMM")&amp;"'"&amp;TEXT(AS25,"yy"))</f>
        <v>Dec'25</v>
      </c>
      <c r="BC25" s="0" t="str">
        <f aca="false">IF(AU25="","",TEXT(AU25,"MMM")&amp;"'"&amp;TEXT(AU25,"yy"))</f>
        <v>Dec'25</v>
      </c>
    </row>
    <row r="26" customFormat="false" ht="15" hidden="false" customHeight="false" outlineLevel="0" collapsed="false">
      <c r="A26" s="23" t="s">
        <v>189</v>
      </c>
      <c r="B26" s="24" t="n">
        <v>46003</v>
      </c>
      <c r="C26" s="12" t="n">
        <v>0.154861111111111</v>
      </c>
      <c r="D26" s="13" t="str">
        <f aca="false">IF(B26="","",TEXT(B26,"MMM")&amp;"'"&amp;TEXT(B26,"yy"))</f>
        <v>Dec'25</v>
      </c>
      <c r="E26" s="1" t="s">
        <v>55</v>
      </c>
      <c r="F26" s="1" t="s">
        <v>39</v>
      </c>
      <c r="G26" s="1" t="str">
        <f aca="false">IF(F26="Closed","Closed","Pending")</f>
        <v>Closed</v>
      </c>
      <c r="H26" s="23" t="s">
        <v>72</v>
      </c>
      <c r="I26" s="1" t="s">
        <v>190</v>
      </c>
      <c r="J26" s="1" t="s">
        <v>74</v>
      </c>
      <c r="K26" s="1" t="s">
        <v>59</v>
      </c>
      <c r="L26" s="1" t="s">
        <v>191</v>
      </c>
      <c r="M26" s="1" t="s">
        <v>192</v>
      </c>
      <c r="N26" s="1" t="s">
        <v>62</v>
      </c>
      <c r="O26" s="1" t="s">
        <v>63</v>
      </c>
      <c r="P26" s="1" t="s">
        <v>138</v>
      </c>
      <c r="R26" s="1" t="s">
        <v>66</v>
      </c>
      <c r="U26" s="12" t="n">
        <v>0.164583333333333</v>
      </c>
      <c r="V26" s="11" t="n">
        <v>46008</v>
      </c>
      <c r="W26" s="12" t="n">
        <v>0.964583333333333</v>
      </c>
      <c r="X26" s="11" t="n">
        <v>46008</v>
      </c>
      <c r="Y26" s="12" t="n">
        <v>0.964583333333333</v>
      </c>
      <c r="Z26" s="1" t="s">
        <v>108</v>
      </c>
      <c r="AA26" s="1" t="s">
        <v>68</v>
      </c>
      <c r="AB26" s="2" t="n">
        <f aca="false">U26-C26</f>
        <v>0.00972222222222222</v>
      </c>
      <c r="AC26" s="14" t="str">
        <f aca="false">TEXT(((V26+W26)-(B26+C26)),"hh:mm")</f>
        <v>19:26</v>
      </c>
      <c r="AD26" s="4" t="str">
        <f aca="false">INT((V26+W26)-(B26+C26)) &amp; ":" &amp;
TEXT(HOUR((V26+W26)-(B26+C26)), "00") &amp; ":" &amp;
TEXT(MINUTE((V26+W26)-(B26+C26)), "00")</f>
        <v>5:19:26</v>
      </c>
      <c r="AE26" s="1" t="n">
        <f aca="false">IFERROR(
LEFT(AD26,FIND(":",AD26)-1)
+ MID(AD26,FIND(":",AD26)+1,2)/24
+ RIGHT(AD26,2)/1440,
"")</f>
        <v>5.80972222222222</v>
      </c>
      <c r="AF26" s="4" t="str">
        <f aca="false">INT((X26+Y26)-(B26+C26)) &amp; ":" &amp;
TEXT(HOUR((X26+Y26)-(B26+C26)), "00") &amp; ":" &amp;
TEXT(MINUTE((X26+Y26)-(B26+C26)), "00")</f>
        <v>5:19:26</v>
      </c>
      <c r="AG26" s="4" t="str">
        <f aca="false" t="array" ref="AG26:AG26">INT(_xlfn.XLOOKUP(J26,{"Low","Medium","High","Urgent"},{48,24,12,8})/24) &amp; ":" &amp;
TEXT(MOD(_xlfn.XLOOKUP(J26,{"Low","Medium","High","Urgent"},{48,24,12,8}),24)/24,"hh:mm")</f>
        <v>2:00:00</v>
      </c>
      <c r="AH26" s="4" t="str">
        <f aca="false">IF(AD26&gt;AG26,"Not Met","Met")</f>
        <v>Not Met</v>
      </c>
      <c r="AI26" s="4" t="str">
        <f aca="false">IF(AB26&lt;TIME(0,30,0),"Met","Not Met")</f>
        <v>Met</v>
      </c>
      <c r="AN26" s="1" t="str">
        <f aca="false">TEXT(B26,"dd")</f>
        <v>12</v>
      </c>
      <c r="AO26" s="1" t="str">
        <f aca="false">TEXT(X26,"dd")</f>
        <v>17</v>
      </c>
      <c r="AP26" s="16" t="str">
        <f aca="false">INT(
  NETWORKDAYS(B26,V26)-1
  + IF(WEEKDAY(V26,2)&lt;6,MOD(V26+W26,1),0)
  - IF(WEEKDAY(B26,2)&lt;6,MOD(B26+C26,1),0)
)
&amp; ":" &amp;
TEXT(HOUR(
  NETWORKDAYS(B26,V26)-1
  + IF(WEEKDAY(V26,2)&lt;6,MOD(V26+W26,1),0)
  - IF(WEEKDAY(B26,2)&lt;6,MOD(B26+C26,1),0)
),"00")
&amp; ":" &amp;
TEXT(MINUTE(
  NETWORKDAYS(B26,V26)-1
  + IF(WEEKDAY(V26,2)&lt;6,MOD(V26+W26,1),0)
  - IF(WEEKDAY(B26,2)&lt;6,MOD(B26+C26,1),0)
),"00")</f>
        <v>3:19:25</v>
      </c>
      <c r="AQ26" s="0" t="n">
        <f aca="false">IFERROR(
LEFT(AP26,FIND(":",AP26)-1)
+ MID(AP26,FIND(":",AP26)+1,2)/24
+ RIGHT(AP26,2)/1440,
"")</f>
        <v>3.80902777777778</v>
      </c>
      <c r="AR26" s="0" t="n">
        <f aca="false">WEEKNUM(B26,1)</f>
        <v>50</v>
      </c>
      <c r="AS26" s="17" t="n">
        <f aca="false">IF(B26&gt;0, (B26+C26)-TIME(13,30,0), "")</f>
        <v>46002.5923611111</v>
      </c>
      <c r="AT26" s="18" t="n">
        <f aca="false">IF(B26&gt;0, (B26+C26)-TIME(13,30,0), "")</f>
        <v>46002.5923611111</v>
      </c>
      <c r="AU26" s="17" t="n">
        <f aca="false">IF(V26&gt;0, (V26+W26)-TIME(13,30,0), "")</f>
        <v>46008.4020833333</v>
      </c>
      <c r="AV26" s="18" t="n">
        <f aca="false">IF(V26&gt;0, (V26+W26)-TIME(13,30,0), "")</f>
        <v>46008.4020833333</v>
      </c>
      <c r="AW26" s="19" t="n">
        <f aca="false">24*(
MAX(0,
IF(NETWORKDAYS(AS26,AU26)=1,
MIN(MOD(AV26,1),TIME(17,30,0)) - MAX(MOD(AT26,1),TIME(8,30,0)),
(TIME(17,30,0)-MAX(MOD(AT26,1),TIME(8,30,0)))
+ (MIN(MOD(AV26,1),TIME(17,30,0))-TIME(8,30,0))
+ (NETWORKDAYS(AS26,AU26)-2)*9/24
)
)
)</f>
        <v>31.4333333333333</v>
      </c>
      <c r="AX26" s="19" t="n">
        <f aca="false">24*(
MAX(0,
IF(NETWORKDAYS(AS26,AU26)=1,
MIN(MOD(AV26,1),TIME(17,30,0)) - MAX(MOD(AT26,1),TIME(8,30,0)),
(TIME(17,30,0)-MAX(MOD(AT26,1),TIME(8,30,0)))
+ (MIN(MOD(AV26,1),TIME(17,30,0))-TIME(8,30,0))
+ (NETWORKDAYS(AS26,AU26)-2)* (TIME(17,30,0)-TIME(8,30,0))
)
)
)</f>
        <v>31.4333333333333</v>
      </c>
      <c r="AY26" s="20" t="n">
        <f aca="false">ROUND(
IF(AS26=AU26,
MAX(0,
(MIN(MOD(AV26,1),TIME(17,30,0))-
MAX(MOD(AT26,1),TIME(8,30,0)))*24
),
(
(MAX(0,TIME(17,30,0)-MAX(MOD(AT26,1),TIME(8,30,0)))*24)
+
(MAX(0,MIN(MOD(AV26,1),TIME(17,30,0))-TIME(8,30,0))*24)
+
(MAX(0,NETWORKDAYS(AS26+1,AU26-1))*9)
)
),
2)</f>
        <v>31.43</v>
      </c>
      <c r="AZ26" s="0" t="n">
        <f aca="false" t="array" ref="AZ26:AZ26">_xlfn.XLOOKUP(J26,{"Low","Medium","High"},{270,72,24})</f>
        <v>270</v>
      </c>
      <c r="BA26" s="0" t="str">
        <f aca="false">IF(AW26&gt;AZ26,"Not Met","Met")</f>
        <v>Met</v>
      </c>
      <c r="BB26" s="21" t="str">
        <f aca="false">IF(AS26="","",TEXT(AS26,"MMM")&amp;"'"&amp;TEXT(AS26,"yy"))</f>
        <v>Dec'25</v>
      </c>
      <c r="BC26" s="0" t="str">
        <f aca="false">IF(AU26="","",TEXT(AU26,"MMM")&amp;"'"&amp;TEXT(AU26,"yy"))</f>
        <v>Dec'25</v>
      </c>
    </row>
    <row r="27" customFormat="false" ht="15" hidden="false" customHeight="false" outlineLevel="0" collapsed="false">
      <c r="A27" s="23" t="s">
        <v>193</v>
      </c>
      <c r="B27" s="24" t="n">
        <v>46003</v>
      </c>
      <c r="C27" s="12" t="n">
        <v>0.186805555555556</v>
      </c>
      <c r="D27" s="13" t="str">
        <f aca="false">IF(B27="","",TEXT(B27,"MMM")&amp;"'"&amp;TEXT(B27,"yy"))</f>
        <v>Dec'25</v>
      </c>
      <c r="E27" s="1" t="s">
        <v>55</v>
      </c>
      <c r="F27" s="1" t="s">
        <v>39</v>
      </c>
      <c r="G27" s="1" t="str">
        <f aca="false">IF(F27="Closed","Closed","Pending")</f>
        <v>Closed</v>
      </c>
      <c r="H27" s="23" t="s">
        <v>72</v>
      </c>
      <c r="I27" s="1" t="s">
        <v>194</v>
      </c>
      <c r="J27" s="1" t="s">
        <v>58</v>
      </c>
      <c r="K27" s="1" t="s">
        <v>59</v>
      </c>
      <c r="L27" s="1" t="s">
        <v>195</v>
      </c>
      <c r="M27" s="1" t="s">
        <v>196</v>
      </c>
      <c r="N27" s="1" t="s">
        <v>62</v>
      </c>
      <c r="O27" s="1" t="s">
        <v>77</v>
      </c>
      <c r="P27" s="1" t="s">
        <v>138</v>
      </c>
      <c r="Q27" s="1" t="s">
        <v>86</v>
      </c>
      <c r="R27" s="1" t="s">
        <v>66</v>
      </c>
      <c r="U27" s="12" t="n">
        <v>0.261805555555556</v>
      </c>
      <c r="V27" s="11" t="n">
        <v>46003</v>
      </c>
      <c r="W27" s="12" t="n">
        <v>0.923611111111111</v>
      </c>
      <c r="X27" s="11" t="n">
        <v>46009</v>
      </c>
      <c r="Y27" s="12" t="n">
        <v>0.463194444444444</v>
      </c>
      <c r="Z27" s="1" t="s">
        <v>67</v>
      </c>
      <c r="AA27" s="1" t="s">
        <v>68</v>
      </c>
      <c r="AB27" s="2" t="n">
        <f aca="false">U27-C27</f>
        <v>0.075</v>
      </c>
      <c r="AC27" s="14" t="str">
        <f aca="false">TEXT(((V27+W27)-(B27+C27)),"hh:mm")</f>
        <v>17:41</v>
      </c>
      <c r="AD27" s="4" t="str">
        <f aca="false">INT((V27+W27)-(B27+C27)) &amp; ":" &amp;
TEXT(HOUR((V27+W27)-(B27+C27)), "00") &amp; ":" &amp;
TEXT(MINUTE((V27+W27)-(B27+C27)), "00")</f>
        <v>0:17:41</v>
      </c>
      <c r="AE27" s="1" t="n">
        <f aca="false">IFERROR(
LEFT(AD27,FIND(":",AD27)-1)
+ MID(AD27,FIND(":",AD27)+1,2)/24
+ RIGHT(AD27,2)/1440,
"")</f>
        <v>0.736805555555556</v>
      </c>
      <c r="AF27" s="4" t="str">
        <f aca="false">INT((X27+Y27)-(B27+C27)) &amp; ":" &amp;
TEXT(HOUR((X27+Y27)-(B27+C27)), "00") &amp; ":" &amp;
TEXT(MINUTE((X27+Y27)-(B27+C27)), "00")</f>
        <v>6:06:38</v>
      </c>
      <c r="AG27" s="4" t="str">
        <f aca="false" t="array" ref="AG27:AG27">INT(_xlfn.XLOOKUP(J27,{"Low","Medium","High","Urgent"},{48,24,12,8})/24) &amp; ":" &amp;
TEXT(MOD(_xlfn.XLOOKUP(J27,{"Low","Medium","High","Urgent"},{48,24,12,8}),24)/24,"hh:mm")</f>
        <v>1:00:00</v>
      </c>
      <c r="AH27" s="4" t="str">
        <f aca="false">IF(AD27&gt;AG27,"Not Met","Met")</f>
        <v>Met</v>
      </c>
      <c r="AI27" s="4" t="str">
        <f aca="false">IF(AB27&lt;TIME(0,30,0),"Met","Not Met")</f>
        <v>Not Met</v>
      </c>
      <c r="AN27" s="1" t="str">
        <f aca="false">TEXT(B27,"dd")</f>
        <v>12</v>
      </c>
      <c r="AO27" s="1" t="str">
        <f aca="false">TEXT(X27,"dd")</f>
        <v>18</v>
      </c>
      <c r="AP27" s="16" t="str">
        <f aca="false">INT(
  NETWORKDAYS(B27,V27)-1
  + IF(WEEKDAY(V27,2)&lt;6,MOD(V27+W27,1),0)
  - IF(WEEKDAY(B27,2)&lt;6,MOD(B27+C27,1),0)
)
&amp; ":" &amp;
TEXT(HOUR(
  NETWORKDAYS(B27,V27)-1
  + IF(WEEKDAY(V27,2)&lt;6,MOD(V27+W27,1),0)
  - IF(WEEKDAY(B27,2)&lt;6,MOD(B27+C27,1),0)
),"00")
&amp; ":" &amp;
TEXT(MINUTE(
  NETWORKDAYS(B27,V27)-1
  + IF(WEEKDAY(V27,2)&lt;6,MOD(V27+W27,1),0)
  - IF(WEEKDAY(B27,2)&lt;6,MOD(B27+C27,1),0)
),"00")</f>
        <v>0:17:41</v>
      </c>
      <c r="AQ27" s="0" t="n">
        <f aca="false">IFERROR(
LEFT(AP27,FIND(":",AP27)-1)
+ MID(AP27,FIND(":",AP27)+1,2)/24
+ RIGHT(AP27,2)/1440,
"")</f>
        <v>0.736805555555556</v>
      </c>
      <c r="AR27" s="0" t="n">
        <f aca="false">WEEKNUM(B27,1)</f>
        <v>50</v>
      </c>
      <c r="AS27" s="17" t="n">
        <f aca="false">IF(B27&gt;0, (B27+C27)-TIME(13,30,0), "")</f>
        <v>46002.6243055556</v>
      </c>
      <c r="AT27" s="18" t="n">
        <f aca="false">IF(B27&gt;0, (B27+C27)-TIME(13,30,0), "")</f>
        <v>46002.6243055556</v>
      </c>
      <c r="AU27" s="17" t="n">
        <f aca="false">IF(V27&gt;0, (V27+W27)-TIME(13,30,0), "")</f>
        <v>46003.3611111111</v>
      </c>
      <c r="AV27" s="18" t="n">
        <f aca="false">IF(V27&gt;0, (V27+W27)-TIME(13,30,0), "")</f>
        <v>46003.3611111111</v>
      </c>
      <c r="AW27" s="19" t="n">
        <f aca="false">24*(
MAX(0,
IF(NETWORKDAYS(AS27,AU27)=1,
MIN(MOD(AV27,1),TIME(17,30,0)) - MAX(MOD(AT27,1),TIME(8,30,0)),
(TIME(17,30,0)-MAX(MOD(AT27,1),TIME(8,30,0)))
+ (MIN(MOD(AV27,1),TIME(17,30,0))-TIME(8,30,0))
+ (NETWORKDAYS(AS27,AU27)-2)*9/24
)
)
)</f>
        <v>2.68333333333333</v>
      </c>
      <c r="AX27" s="19" t="n">
        <f aca="false">24*(
MAX(0,
IF(NETWORKDAYS(AS27,AU27)=1,
MIN(MOD(AV27,1),TIME(17,30,0)) - MAX(MOD(AT27,1),TIME(8,30,0)),
(TIME(17,30,0)-MAX(MOD(AT27,1),TIME(8,30,0)))
+ (MIN(MOD(AV27,1),TIME(17,30,0))-TIME(8,30,0))
+ (NETWORKDAYS(AS27,AU27)-2)* (TIME(17,30,0)-TIME(8,30,0))
)
)
)</f>
        <v>2.68333333333333</v>
      </c>
      <c r="AY27" s="20" t="n">
        <f aca="false">ROUND(
IF(AS27=AU27,
MAX(0,
(MIN(MOD(AV27,1),TIME(17,30,0))-
MAX(MOD(AT27,1),TIME(8,30,0)))*24
),
(
(MAX(0,TIME(17,30,0)-MAX(MOD(AT27,1),TIME(8,30,0)))*24)
+
(MAX(0,MIN(MOD(AV27,1),TIME(17,30,0))-TIME(8,30,0))*24)
+
(MAX(0,NETWORKDAYS(AS27+1,AU27-1))*9)
)
),
2)</f>
        <v>2.68</v>
      </c>
      <c r="AZ27" s="0" t="n">
        <f aca="false" t="array" ref="AZ27:AZ27">_xlfn.XLOOKUP(J27,{"Low","Medium","High"},{270,72,24})</f>
        <v>72</v>
      </c>
      <c r="BA27" s="0" t="str">
        <f aca="false">IF(AW27&gt;AZ27,"Not Met","Met")</f>
        <v>Met</v>
      </c>
      <c r="BB27" s="21" t="str">
        <f aca="false">IF(AS27="","",TEXT(AS27,"MMM")&amp;"'"&amp;TEXT(AS27,"yy"))</f>
        <v>Dec'25</v>
      </c>
      <c r="BC27" s="0" t="str">
        <f aca="false">IF(AU27="","",TEXT(AU27,"MMM")&amp;"'"&amp;TEXT(AU27,"yy"))</f>
        <v>Dec'25</v>
      </c>
    </row>
    <row r="28" customFormat="false" ht="15" hidden="false" customHeight="false" outlineLevel="0" collapsed="false">
      <c r="A28" s="23" t="s">
        <v>197</v>
      </c>
      <c r="B28" s="24" t="n">
        <v>46003</v>
      </c>
      <c r="C28" s="12" t="n">
        <v>0.236805555555556</v>
      </c>
      <c r="D28" s="13" t="str">
        <f aca="false">IF(B28="","",TEXT(B28,"MMM")&amp;"'"&amp;TEXT(B28,"yy"))</f>
        <v>Dec'25</v>
      </c>
      <c r="E28" s="1" t="s">
        <v>55</v>
      </c>
      <c r="F28" s="1" t="s">
        <v>39</v>
      </c>
      <c r="G28" s="1" t="str">
        <f aca="false">IF(F28="Closed","Closed","Pending")</f>
        <v>Closed</v>
      </c>
      <c r="H28" s="23" t="s">
        <v>72</v>
      </c>
      <c r="I28" s="1" t="s">
        <v>198</v>
      </c>
      <c r="J28" s="1" t="s">
        <v>74</v>
      </c>
      <c r="K28" s="1" t="s">
        <v>59</v>
      </c>
      <c r="L28" s="1" t="s">
        <v>199</v>
      </c>
      <c r="M28" s="1" t="s">
        <v>200</v>
      </c>
      <c r="N28" s="1" t="s">
        <v>143</v>
      </c>
      <c r="O28" s="1" t="s">
        <v>143</v>
      </c>
      <c r="P28" s="1" t="s">
        <v>138</v>
      </c>
      <c r="Q28" s="1" t="s">
        <v>143</v>
      </c>
      <c r="R28" s="1" t="s">
        <v>87</v>
      </c>
      <c r="U28" s="12" t="n">
        <v>0.2625</v>
      </c>
      <c r="V28" s="11" t="n">
        <v>46196</v>
      </c>
      <c r="W28" s="12" t="n">
        <v>0.896527777777778</v>
      </c>
      <c r="X28" s="11" t="n">
        <v>46196</v>
      </c>
      <c r="Y28" s="12" t="n">
        <v>0.927777777777778</v>
      </c>
      <c r="Z28" s="1" t="s">
        <v>108</v>
      </c>
      <c r="AA28" s="1" t="s">
        <v>89</v>
      </c>
      <c r="AB28" s="2" t="n">
        <f aca="false">U28-C28</f>
        <v>0.0256944444444444</v>
      </c>
      <c r="AC28" s="14" t="str">
        <f aca="false">TEXT(((V28+W28)-(B28+C28)),"hh:mm")</f>
        <v>15:50</v>
      </c>
      <c r="AD28" s="4" t="str">
        <f aca="false">INT((V28+W28)-(B28+C28)) &amp; ":" &amp;
TEXT(HOUR((V28+W28)-(B28+C28)), "00") &amp; ":" &amp;
TEXT(MINUTE((V28+W28)-(B28+C28)), "00")</f>
        <v>193:15:50</v>
      </c>
      <c r="AE28" s="1" t="n">
        <f aca="false">IFERROR(
LEFT(AD28,FIND(":",AD28)-1)
+ MID(AD28,FIND(":",AD28)+1,2)/24
+ RIGHT(AD28,2)/1440,
"")</f>
        <v>193.659722222222</v>
      </c>
      <c r="AF28" s="4" t="str">
        <f aca="false">INT((X28+Y28)-(B28+C28)) &amp; ":" &amp;
TEXT(HOUR((X28+Y28)-(B28+C28)), "00") &amp; ":" &amp;
TEXT(MINUTE((X28+Y28)-(B28+C28)), "00")</f>
        <v>193:16:35</v>
      </c>
      <c r="AG28" s="4" t="str">
        <f aca="false" t="array" ref="AG28:AG28">INT(_xlfn.XLOOKUP(J28,{"Low","Medium","High","Urgent"},{48,24,12,8})/24) &amp; ":" &amp;
TEXT(MOD(_xlfn.XLOOKUP(J28,{"Low","Medium","High","Urgent"},{48,24,12,8}),24)/24,"hh:mm")</f>
        <v>2:00:00</v>
      </c>
      <c r="AH28" s="4" t="str">
        <f aca="false">IF(AD28&gt;AG28,"Not Met","Met")</f>
        <v>Met</v>
      </c>
      <c r="AI28" s="4" t="str">
        <f aca="false">IF(AB28&lt;TIME(0,30,0),"Met","Not Met")</f>
        <v>Not Met</v>
      </c>
      <c r="AJ28" s="25" t="n">
        <v>46064.1354166667</v>
      </c>
      <c r="AN28" s="1" t="str">
        <f aca="false">TEXT(B28,"dd")</f>
        <v>12</v>
      </c>
      <c r="AO28" s="1" t="str">
        <f aca="false">TEXT(X28,"dd")</f>
        <v>23</v>
      </c>
      <c r="AP28" s="16" t="str">
        <f aca="false">INT(
  NETWORKDAYS(B28,V28)-1
  + IF(WEEKDAY(V28,2)&lt;6,MOD(V28+W28,1),0)
  - IF(WEEKDAY(B28,2)&lt;6,MOD(B28+C28,1),0)
)
&amp; ":" &amp;
TEXT(HOUR(
  NETWORKDAYS(B28,V28)-1
  + IF(WEEKDAY(V28,2)&lt;6,MOD(V28+W28,1),0)
  - IF(WEEKDAY(B28,2)&lt;6,MOD(B28+C28,1),0)
),"00")
&amp; ":" &amp;
TEXT(MINUTE(
  NETWORKDAYS(B28,V28)-1
  + IF(WEEKDAY(V28,2)&lt;6,MOD(V28+W28,1),0)
  - IF(WEEKDAY(B28,2)&lt;6,MOD(B28+C28,1),0)
),"00")</f>
        <v>137:15:49</v>
      </c>
      <c r="AQ28" s="0" t="n">
        <f aca="false">IFERROR(
LEFT(AP28,FIND(":",AP28)-1)
+ MID(AP28,FIND(":",AP28)+1,2)/24
+ RIGHT(AP28,2)/1440,
"")</f>
        <v>137.659027777778</v>
      </c>
      <c r="AR28" s="0" t="n">
        <f aca="false">WEEKNUM(B28,1)</f>
        <v>50</v>
      </c>
      <c r="AS28" s="17" t="n">
        <f aca="false">IF(B28&gt;0, (B28+C28)-TIME(13,30,0), "")</f>
        <v>46002.6743055556</v>
      </c>
      <c r="AT28" s="18" t="n">
        <f aca="false">IF(B28&gt;0, (B28+C28)-TIME(13,30,0), "")</f>
        <v>46002.6743055556</v>
      </c>
      <c r="AU28" s="17" t="n">
        <f aca="false">IF(V28&gt;0, (V28+W28)-TIME(13,30,0), "")</f>
        <v>46196.3340277778</v>
      </c>
      <c r="AV28" s="18" t="n">
        <f aca="false">IF(V28&gt;0, (V28+W28)-TIME(13,30,0), "")</f>
        <v>46196.3340277778</v>
      </c>
      <c r="AW28" s="19" t="n">
        <f aca="false">24*(
MAX(0,
IF(NETWORKDAYS(AS28,AU28)=1,
MIN(MOD(AV28,1),TIME(17,30,0)) - MAX(MOD(AT28,1),TIME(8,30,0)),
(TIME(17,30,0)-MAX(MOD(AT28,1),TIME(8,30,0)))
+ (MIN(MOD(AV28,1),TIME(17,30,0))-TIME(8,30,0))
+ (NETWORKDAYS(AS28,AU28)-2)*9/24
)
)
)</f>
        <v>1233.83333333333</v>
      </c>
      <c r="AX28" s="19" t="n">
        <f aca="false">24*(
MAX(0,
IF(NETWORKDAYS(AS28,AU28)=1,
MIN(MOD(AV28,1),TIME(17,30,0)) - MAX(MOD(AT28,1),TIME(8,30,0)),
(TIME(17,30,0)-MAX(MOD(AT28,1),TIME(8,30,0)))
+ (MIN(MOD(AV28,1),TIME(17,30,0))-TIME(8,30,0))
+ (NETWORKDAYS(AS28,AU28)-2)* (TIME(17,30,0)-TIME(8,30,0))
)
)
)</f>
        <v>1233.83333333333</v>
      </c>
      <c r="AY28" s="20" t="n">
        <f aca="false">ROUND(
IF(AS28=AU28,
MAX(0,
(MIN(MOD(AV28,1),TIME(17,30,0))-
MAX(MOD(AT28,1),TIME(8,30,0)))*24
),
(
(MAX(0,TIME(17,30,0)-MAX(MOD(AT28,1),TIME(8,30,0)))*24)
+
(MAX(0,MIN(MOD(AV28,1),TIME(17,30,0))-TIME(8,30,0))*24)
+
(MAX(0,NETWORKDAYS(AS28+1,AU28-1))*9)
)
),
2)</f>
        <v>1234.32</v>
      </c>
      <c r="AZ28" s="0" t="n">
        <f aca="false" t="array" ref="AZ28:AZ28">_xlfn.XLOOKUP(J28,{"Low","Medium","High"},{270,72,24})</f>
        <v>270</v>
      </c>
      <c r="BA28" s="0" t="str">
        <f aca="false">IF(AW28&gt;AZ28,"Not Met","Met")</f>
        <v>Not Met</v>
      </c>
      <c r="BB28" s="21" t="str">
        <f aca="false">IF(AS28="","",TEXT(AS28,"MMM")&amp;"'"&amp;TEXT(AS28,"yy"))</f>
        <v>Dec'25</v>
      </c>
      <c r="BC28" s="0" t="str">
        <f aca="false">IF(AU28="","",TEXT(AU28,"MMM")&amp;"'"&amp;TEXT(AU28,"yy"))</f>
        <v>Jun'26</v>
      </c>
      <c r="BE28" s="0" t="s">
        <v>144</v>
      </c>
    </row>
    <row r="29" customFormat="false" ht="15" hidden="false" customHeight="false" outlineLevel="0" collapsed="false">
      <c r="A29" s="23" t="s">
        <v>201</v>
      </c>
      <c r="B29" s="24" t="n">
        <v>46003</v>
      </c>
      <c r="C29" s="12" t="n">
        <v>0.956944444444445</v>
      </c>
      <c r="D29" s="13" t="str">
        <f aca="false">IF(B29="","",TEXT(B29,"MMM")&amp;"'"&amp;TEXT(B29,"yy"))</f>
        <v>Dec'25</v>
      </c>
      <c r="E29" s="1" t="s">
        <v>55</v>
      </c>
      <c r="F29" s="1" t="s">
        <v>39</v>
      </c>
      <c r="G29" s="1" t="str">
        <f aca="false">IF(F29="Closed","Closed","Pending")</f>
        <v>Closed</v>
      </c>
      <c r="H29" s="1" t="s">
        <v>120</v>
      </c>
      <c r="I29" s="1" t="s">
        <v>202</v>
      </c>
      <c r="J29" s="1" t="s">
        <v>74</v>
      </c>
      <c r="K29" s="1" t="s">
        <v>59</v>
      </c>
      <c r="L29" s="1" t="s">
        <v>203</v>
      </c>
      <c r="M29" s="1" t="s">
        <v>204</v>
      </c>
      <c r="N29" s="1" t="s">
        <v>65</v>
      </c>
      <c r="O29" s="1" t="s">
        <v>106</v>
      </c>
      <c r="P29" s="1" t="s">
        <v>138</v>
      </c>
      <c r="R29" s="1" t="s">
        <v>66</v>
      </c>
      <c r="U29" s="12" t="n">
        <v>0.978472222222222</v>
      </c>
      <c r="V29" s="11" t="n">
        <v>46008</v>
      </c>
      <c r="W29" s="12" t="n">
        <v>0.0381944444444445</v>
      </c>
      <c r="X29" s="11" t="n">
        <v>46008</v>
      </c>
      <c r="Y29" s="12" t="n">
        <v>0.0993055555555556</v>
      </c>
      <c r="Z29" s="1" t="s">
        <v>108</v>
      </c>
      <c r="AA29" s="1" t="s">
        <v>68</v>
      </c>
      <c r="AB29" s="2" t="n">
        <f aca="false">U29-C29</f>
        <v>0.0215277777777778</v>
      </c>
      <c r="AC29" s="14" t="str">
        <f aca="false">TEXT(((V29+W29)-(B29+C29)),"hh:mm")</f>
        <v>01:57</v>
      </c>
      <c r="AD29" s="4" t="str">
        <f aca="false">INT((V29+W29)-(B29+C29)) &amp; ":" &amp;
TEXT(HOUR((V29+W29)-(B29+C29)), "00") &amp; ":" &amp;
TEXT(MINUTE((V29+W29)-(B29+C29)), "00")</f>
        <v>4:01:57</v>
      </c>
      <c r="AE29" s="1" t="n">
        <f aca="false">IFERROR(
LEFT(AD29,FIND(":",AD29)-1)
+ MID(AD29,FIND(":",AD29)+1,2)/24
+ RIGHT(AD29,2)/1440,
"")</f>
        <v>4.08125</v>
      </c>
      <c r="AF29" s="4" t="str">
        <f aca="false">INT((X29+Y29)-(B29+C29)) &amp; ":" &amp;
TEXT(HOUR((X29+Y29)-(B29+C29)), "00") &amp; ":" &amp;
TEXT(MINUTE((X29+Y29)-(B29+C29)), "00")</f>
        <v>4:03:25</v>
      </c>
      <c r="AG29" s="4" t="str">
        <f aca="false" t="array" ref="AG29:AG29">INT(_xlfn.XLOOKUP(J29,{"Low","Medium","High","Urgent"},{48,24,12,8})/24) &amp; ":" &amp;
TEXT(MOD(_xlfn.XLOOKUP(J29,{"Low","Medium","High","Urgent"},{48,24,12,8}),24)/24,"hh:mm")</f>
        <v>2:00:00</v>
      </c>
      <c r="AH29" s="4" t="str">
        <f aca="false">IF(AD29&gt;AG29,"Not Met","Met")</f>
        <v>Not Met</v>
      </c>
      <c r="AI29" s="4" t="str">
        <f aca="false">IF(AB29&lt;TIME(0,30,0),"Met","Not Met")</f>
        <v>Not Met</v>
      </c>
      <c r="AN29" s="1" t="str">
        <f aca="false">TEXT(B29,"dd")</f>
        <v>12</v>
      </c>
      <c r="AO29" s="1" t="str">
        <f aca="false">TEXT(X29,"dd")</f>
        <v>17</v>
      </c>
      <c r="AP29" s="16" t="str">
        <f aca="false">INT(
  NETWORKDAYS(B29,V29)-1
  + IF(WEEKDAY(V29,2)&lt;6,MOD(V29+W29,1),0)
  - IF(WEEKDAY(B29,2)&lt;6,MOD(B29+C29,1),0)
)
&amp; ":" &amp;
TEXT(HOUR(
  NETWORKDAYS(B29,V29)-1
  + IF(WEEKDAY(V29,2)&lt;6,MOD(V29+W29,1),0)
  - IF(WEEKDAY(B29,2)&lt;6,MOD(B29+C29,1),0)
),"00")
&amp; ":" &amp;
TEXT(MINUTE(
  NETWORKDAYS(B29,V29)-1
  + IF(WEEKDAY(V29,2)&lt;6,MOD(V29+W29,1),0)
  - IF(WEEKDAY(B29,2)&lt;6,MOD(B29+C29,1),0)
),"00")</f>
        <v>2:01:57</v>
      </c>
      <c r="AQ29" s="0" t="n">
        <f aca="false">IFERROR(
LEFT(AP29,FIND(":",AP29)-1)
+ MID(AP29,FIND(":",AP29)+1,2)/24
+ RIGHT(AP29,2)/1440,
"")</f>
        <v>2.08125</v>
      </c>
      <c r="AR29" s="0" t="n">
        <f aca="false">WEEKNUM(B29,1)</f>
        <v>50</v>
      </c>
      <c r="AS29" s="17" t="n">
        <f aca="false">IF(B29&gt;0, (B29+C29)-TIME(13,30,0), "")</f>
        <v>46003.3944444444</v>
      </c>
      <c r="AT29" s="18" t="n">
        <f aca="false">IF(B29&gt;0, (B29+C29)-TIME(13,30,0), "")</f>
        <v>46003.3944444444</v>
      </c>
      <c r="AU29" s="17" t="n">
        <f aca="false">IF(V29&gt;0, (V29+W29)-TIME(13,30,0), "")</f>
        <v>46007.4756944444</v>
      </c>
      <c r="AV29" s="18" t="n">
        <f aca="false">IF(V29&gt;0, (V29+W29)-TIME(13,30,0), "")</f>
        <v>46007.4756944444</v>
      </c>
      <c r="AW29" s="19" t="n">
        <f aca="false">24*(
MAX(0,
IF(NETWORKDAYS(AS29,AU29)=1,
MIN(MOD(AV29,1),TIME(17,30,0)) - MAX(MOD(AT29,1),TIME(8,30,0)),
(TIME(17,30,0)-MAX(MOD(AT29,1),TIME(8,30,0)))
+ (MIN(MOD(AV29,1),TIME(17,30,0))-TIME(8,30,0))
+ (NETWORKDAYS(AS29,AU29)-2)*9/24
)
)
)</f>
        <v>19.95</v>
      </c>
      <c r="AX29" s="19" t="n">
        <f aca="false">24*(
MAX(0,
IF(NETWORKDAYS(AS29,AU29)=1,
MIN(MOD(AV29,1),TIME(17,30,0)) - MAX(MOD(AT29,1),TIME(8,30,0)),
(TIME(17,30,0)-MAX(MOD(AT29,1),TIME(8,30,0)))
+ (MIN(MOD(AV29,1),TIME(17,30,0))-TIME(8,30,0))
+ (NETWORKDAYS(AS29,AU29)-2)* (TIME(17,30,0)-TIME(8,30,0))
)
)
)</f>
        <v>19.95</v>
      </c>
      <c r="AY29" s="20" t="n">
        <f aca="false">ROUND(
IF(AS29=AU29,
MAX(0,
(MIN(MOD(AV29,1),TIME(17,30,0))-
MAX(MOD(AT29,1),TIME(8,30,0)))*24
),
(
(MAX(0,TIME(17,30,0)-MAX(MOD(AT29,1),TIME(8,30,0)))*24)
+
(MAX(0,MIN(MOD(AV29,1),TIME(17,30,0))-TIME(8,30,0))*24)
+
(MAX(0,NETWORKDAYS(AS29+1,AU29-1))*9)
)
),
2)</f>
        <v>19.95</v>
      </c>
      <c r="AZ29" s="0" t="n">
        <f aca="false" t="array" ref="AZ29:AZ29">_xlfn.XLOOKUP(J29,{"Low","Medium","High"},{270,72,24})</f>
        <v>270</v>
      </c>
      <c r="BA29" s="0" t="str">
        <f aca="false">IF(AW29&gt;AZ29,"Not Met","Met")</f>
        <v>Met</v>
      </c>
      <c r="BB29" s="21" t="str">
        <f aca="false">IF(AS29="","",TEXT(AS29,"MMM")&amp;"'"&amp;TEXT(AS29,"yy"))</f>
        <v>Dec'25</v>
      </c>
      <c r="BC29" s="0" t="str">
        <f aca="false">IF(AU29="","",TEXT(AU29,"MMM")&amp;"'"&amp;TEXT(AU29,"yy"))</f>
        <v>Dec'25</v>
      </c>
    </row>
    <row r="30" customFormat="false" ht="15" hidden="false" customHeight="false" outlineLevel="0" collapsed="false">
      <c r="A30" s="23" t="s">
        <v>205</v>
      </c>
      <c r="B30" s="24" t="n">
        <v>46003</v>
      </c>
      <c r="C30" s="12" t="n">
        <v>0.967361111111111</v>
      </c>
      <c r="D30" s="13" t="str">
        <f aca="false">IF(B30="","",TEXT(B30,"MMM")&amp;"'"&amp;TEXT(B30,"yy"))</f>
        <v>Dec'25</v>
      </c>
      <c r="E30" s="1" t="s">
        <v>55</v>
      </c>
      <c r="F30" s="1" t="s">
        <v>39</v>
      </c>
      <c r="G30" s="1" t="str">
        <f aca="false">IF(F30="Closed","Closed","Pending")</f>
        <v>Closed</v>
      </c>
      <c r="H30" s="23" t="s">
        <v>72</v>
      </c>
      <c r="I30" s="1" t="s">
        <v>206</v>
      </c>
      <c r="J30" s="1" t="s">
        <v>74</v>
      </c>
      <c r="K30" s="1" t="s">
        <v>59</v>
      </c>
      <c r="L30" s="1" t="s">
        <v>207</v>
      </c>
      <c r="M30" s="1" t="s">
        <v>208</v>
      </c>
      <c r="N30" s="1" t="s">
        <v>65</v>
      </c>
      <c r="O30" s="1" t="s">
        <v>106</v>
      </c>
      <c r="R30" s="1" t="s">
        <v>66</v>
      </c>
      <c r="U30" s="12" t="n">
        <v>0.980555555555556</v>
      </c>
      <c r="V30" s="11" t="n">
        <v>46008</v>
      </c>
      <c r="W30" s="12" t="n">
        <v>0.0347222222222222</v>
      </c>
      <c r="X30" s="11" t="n">
        <v>46008</v>
      </c>
      <c r="Y30" s="12" t="n">
        <v>0.0965277777777778</v>
      </c>
      <c r="Z30" s="1" t="s">
        <v>67</v>
      </c>
      <c r="AA30" s="1" t="s">
        <v>68</v>
      </c>
      <c r="AB30" s="2" t="n">
        <f aca="false">U30-C30</f>
        <v>0.0131944444444444</v>
      </c>
      <c r="AC30" s="14" t="str">
        <f aca="false">TEXT(((V30+W30)-(B30+C30)),"hh:mm")</f>
        <v>01:37</v>
      </c>
      <c r="AD30" s="4" t="str">
        <f aca="false">INT((V30+W30)-(B30+C30)) &amp; ":" &amp;
TEXT(HOUR((V30+W30)-(B30+C30)), "00") &amp; ":" &amp;
TEXT(MINUTE((V30+W30)-(B30+C30)), "00")</f>
        <v>4:01:37</v>
      </c>
      <c r="AE30" s="1" t="n">
        <f aca="false">IFERROR(
LEFT(AD30,FIND(":",AD30)-1)
+ MID(AD30,FIND(":",AD30)+1,2)/24
+ RIGHT(AD30,2)/1440,
"")</f>
        <v>4.06736111111111</v>
      </c>
      <c r="AF30" s="4" t="str">
        <f aca="false">INT((X30+Y30)-(B30+C30)) &amp; ":" &amp;
TEXT(HOUR((X30+Y30)-(B30+C30)), "00") &amp; ":" &amp;
TEXT(MINUTE((X30+Y30)-(B30+C30)), "00")</f>
        <v>4:03:06</v>
      </c>
      <c r="AG30" s="4" t="str">
        <f aca="false" t="array" ref="AG30:AG30">INT(_xlfn.XLOOKUP(J30,{"Low","Medium","High","Urgent"},{48,24,12,8})/24) &amp; ":" &amp;
TEXT(MOD(_xlfn.XLOOKUP(J30,{"Low","Medium","High","Urgent"},{48,24,12,8}),24)/24,"hh:mm")</f>
        <v>2:00:00</v>
      </c>
      <c r="AH30" s="4" t="str">
        <f aca="false">IF(AD30&gt;AG30,"Not Met","Met")</f>
        <v>Not Met</v>
      </c>
      <c r="AI30" s="4" t="str">
        <f aca="false">IF(AB30&lt;TIME(0,30,0),"Met","Not Met")</f>
        <v>Met</v>
      </c>
      <c r="AN30" s="1" t="str">
        <f aca="false">TEXT(B30,"dd")</f>
        <v>12</v>
      </c>
      <c r="AO30" s="1" t="str">
        <f aca="false">TEXT(X30,"dd")</f>
        <v>17</v>
      </c>
      <c r="AP30" s="16" t="str">
        <f aca="false">INT(
  NETWORKDAYS(B30,V30)-1
  + IF(WEEKDAY(V30,2)&lt;6,MOD(V30+W30,1),0)
  - IF(WEEKDAY(B30,2)&lt;6,MOD(B30+C30,1),0)
)
&amp; ":" &amp;
TEXT(HOUR(
  NETWORKDAYS(B30,V30)-1
  + IF(WEEKDAY(V30,2)&lt;6,MOD(V30+W30,1),0)
  - IF(WEEKDAY(B30,2)&lt;6,MOD(B30+C30,1),0)
),"00")
&amp; ":" &amp;
TEXT(MINUTE(
  NETWORKDAYS(B30,V30)-1
  + IF(WEEKDAY(V30,2)&lt;6,MOD(V30+W30,1),0)
  - IF(WEEKDAY(B30,2)&lt;6,MOD(B30+C30,1),0)
),"00")</f>
        <v>2:01:36</v>
      </c>
      <c r="AQ30" s="0" t="n">
        <f aca="false">IFERROR(
LEFT(AP30,FIND(":",AP30)-1)
+ MID(AP30,FIND(":",AP30)+1,2)/24
+ RIGHT(AP30,2)/1440,
"")</f>
        <v>2.06666666666667</v>
      </c>
      <c r="AR30" s="0" t="n">
        <f aca="false">WEEKNUM(B30,1)</f>
        <v>50</v>
      </c>
      <c r="AS30" s="17" t="n">
        <f aca="false">IF(B30&gt;0, (B30+C30)-TIME(13,30,0), "")</f>
        <v>46003.4048611111</v>
      </c>
      <c r="AT30" s="18" t="n">
        <f aca="false">IF(B30&gt;0, (B30+C30)-TIME(13,30,0), "")</f>
        <v>46003.4048611111</v>
      </c>
      <c r="AU30" s="17" t="n">
        <f aca="false">IF(V30&gt;0, (V30+W30)-TIME(13,30,0), "")</f>
        <v>46007.4722222222</v>
      </c>
      <c r="AV30" s="18" t="n">
        <f aca="false">IF(V30&gt;0, (V30+W30)-TIME(13,30,0), "")</f>
        <v>46007.4722222222</v>
      </c>
      <c r="AW30" s="19" t="n">
        <f aca="false">24*(
MAX(0,
IF(NETWORKDAYS(AS30,AU30)=1,
MIN(MOD(AV30,1),TIME(17,30,0)) - MAX(MOD(AT30,1),TIME(8,30,0)),
(TIME(17,30,0)-MAX(MOD(AT30,1),TIME(8,30,0)))
+ (MIN(MOD(AV30,1),TIME(17,30,0))-TIME(8,30,0))
+ (NETWORKDAYS(AS30,AU30)-2)*9/24
)
)
)</f>
        <v>19.6166666666667</v>
      </c>
      <c r="AX30" s="19" t="n">
        <f aca="false">24*(
MAX(0,
IF(NETWORKDAYS(AS30,AU30)=1,
MIN(MOD(AV30,1),TIME(17,30,0)) - MAX(MOD(AT30,1),TIME(8,30,0)),
(TIME(17,30,0)-MAX(MOD(AT30,1),TIME(8,30,0)))
+ (MIN(MOD(AV30,1),TIME(17,30,0))-TIME(8,30,0))
+ (NETWORKDAYS(AS30,AU30)-2)* (TIME(17,30,0)-TIME(8,30,0))
)
)
)</f>
        <v>19.6166666666667</v>
      </c>
      <c r="AY30" s="20" t="n">
        <f aca="false">ROUND(
IF(AS30=AU30,
MAX(0,
(MIN(MOD(AV30,1),TIME(17,30,0))-
MAX(MOD(AT30,1),TIME(8,30,0)))*24
),
(
(MAX(0,TIME(17,30,0)-MAX(MOD(AT30,1),TIME(8,30,0)))*24)
+
(MAX(0,MIN(MOD(AV30,1),TIME(17,30,0))-TIME(8,30,0))*24)
+
(MAX(0,NETWORKDAYS(AS30+1,AU30-1))*9)
)
),
2)</f>
        <v>19.62</v>
      </c>
      <c r="AZ30" s="0" t="n">
        <f aca="false" t="array" ref="AZ30:AZ30">_xlfn.XLOOKUP(J30,{"Low","Medium","High"},{270,72,24})</f>
        <v>270</v>
      </c>
      <c r="BA30" s="0" t="str">
        <f aca="false">IF(AW30&gt;AZ30,"Not Met","Met")</f>
        <v>Met</v>
      </c>
      <c r="BB30" s="21" t="str">
        <f aca="false">IF(AS30="","",TEXT(AS30,"MMM")&amp;"'"&amp;TEXT(AS30,"yy"))</f>
        <v>Dec'25</v>
      </c>
      <c r="BC30" s="0" t="str">
        <f aca="false">IF(AU30="","",TEXT(AU30,"MMM")&amp;"'"&amp;TEXT(AU30,"yy"))</f>
        <v>Dec'25</v>
      </c>
    </row>
    <row r="31" customFormat="false" ht="15" hidden="false" customHeight="false" outlineLevel="0" collapsed="false">
      <c r="A31" s="23" t="s">
        <v>209</v>
      </c>
      <c r="B31" s="24" t="n">
        <v>46004</v>
      </c>
      <c r="C31" s="12" t="n">
        <v>0.00416666666666667</v>
      </c>
      <c r="D31" s="13" t="str">
        <f aca="false">IF(B31="","",TEXT(B31,"MMM")&amp;"'"&amp;TEXT(B31,"yy"))</f>
        <v>Dec'25</v>
      </c>
      <c r="E31" s="1" t="s">
        <v>55</v>
      </c>
      <c r="F31" s="1" t="s">
        <v>39</v>
      </c>
      <c r="G31" s="1" t="str">
        <f aca="false">IF(F31="Closed","Closed","Pending")</f>
        <v>Closed</v>
      </c>
      <c r="H31" s="1" t="s">
        <v>120</v>
      </c>
      <c r="I31" s="1" t="s">
        <v>210</v>
      </c>
      <c r="J31" s="1" t="s">
        <v>74</v>
      </c>
      <c r="K31" s="1" t="s">
        <v>59</v>
      </c>
      <c r="L31" s="1" t="s">
        <v>211</v>
      </c>
      <c r="M31" s="1" t="s">
        <v>212</v>
      </c>
      <c r="N31" s="1" t="s">
        <v>65</v>
      </c>
      <c r="O31" s="1" t="s">
        <v>106</v>
      </c>
      <c r="P31" s="1" t="s">
        <v>138</v>
      </c>
      <c r="R31" s="1" t="s">
        <v>87</v>
      </c>
      <c r="U31" s="12" t="n">
        <v>0.0111111111111111</v>
      </c>
      <c r="V31" s="11" t="n">
        <v>46008</v>
      </c>
      <c r="W31" s="12" t="n">
        <v>0.0756944444444444</v>
      </c>
      <c r="X31" s="11" t="n">
        <v>46009</v>
      </c>
      <c r="Y31" s="12" t="n">
        <v>0.00416666666666667</v>
      </c>
      <c r="Z31" s="23" t="s">
        <v>108</v>
      </c>
      <c r="AA31" s="1" t="s">
        <v>68</v>
      </c>
      <c r="AB31" s="2" t="n">
        <f aca="false">U31-C31</f>
        <v>0.00694444444444444</v>
      </c>
      <c r="AC31" s="14" t="str">
        <f aca="false">TEXT(((V31+W31)-(B31+C31)),"hh:mm")</f>
        <v>01:43</v>
      </c>
      <c r="AD31" s="4" t="str">
        <f aca="false">INT((V31+W31)-(B31+C31)) &amp; ":" &amp;
TEXT(HOUR((V31+W31)-(B31+C31)), "00") &amp; ":" &amp;
TEXT(MINUTE((V31+W31)-(B31+C31)), "00")</f>
        <v>4:01:43</v>
      </c>
      <c r="AE31" s="1" t="n">
        <f aca="false">IFERROR(
LEFT(AD31,FIND(":",AD31)-1)
+ MID(AD31,FIND(":",AD31)+1,2)/24
+ RIGHT(AD31,2)/1440,
"")</f>
        <v>4.07152777777778</v>
      </c>
      <c r="AF31" s="4" t="str">
        <f aca="false">INT((X31+Y31)-(B31+C31)) &amp; ":" &amp;
TEXT(HOUR((X31+Y31)-(B31+C31)), "00") &amp; ":" &amp;
TEXT(MINUTE((X31+Y31)-(B31+C31)), "00")</f>
        <v>5:00:00</v>
      </c>
      <c r="AG31" s="4" t="str">
        <f aca="false" t="array" ref="AG31:AG31">INT(_xlfn.XLOOKUP(J31,{"Low","Medium","High","Urgent"},{48,24,12,8})/24) &amp; ":" &amp;
TEXT(MOD(_xlfn.XLOOKUP(J31,{"Low","Medium","High","Urgent"},{48,24,12,8}),24)/24,"hh:mm")</f>
        <v>2:00:00</v>
      </c>
      <c r="AH31" s="4" t="str">
        <f aca="false">IF(AD31&gt;AG31,"Not Met","Met")</f>
        <v>Not Met</v>
      </c>
      <c r="AI31" s="4" t="str">
        <f aca="false">IF(AB31&lt;TIME(0,30,0),"Met","Not Met")</f>
        <v>Met</v>
      </c>
      <c r="AN31" s="1" t="str">
        <f aca="false">TEXT(B31,"dd")</f>
        <v>13</v>
      </c>
      <c r="AO31" s="1" t="str">
        <f aca="false">TEXT(X31,"dd")</f>
        <v>18</v>
      </c>
      <c r="AP31" s="16" t="str">
        <f aca="false">INT(
  NETWORKDAYS(B31,V31)-1
  + IF(WEEKDAY(V31,2)&lt;6,MOD(V31+W31,1),0)
  - IF(WEEKDAY(B31,2)&lt;6,MOD(B31+C31,1),0)
)
&amp; ":" &amp;
TEXT(HOUR(
  NETWORKDAYS(B31,V31)-1
  + IF(WEEKDAY(V31,2)&lt;6,MOD(V31+W31,1),0)
  - IF(WEEKDAY(B31,2)&lt;6,MOD(B31+C31,1),0)
),"00")
&amp; ":" &amp;
TEXT(MINUTE(
  NETWORKDAYS(B31,V31)-1
  + IF(WEEKDAY(V31,2)&lt;6,MOD(V31+W31,1),0)
  - IF(WEEKDAY(B31,2)&lt;6,MOD(B31+C31,1),0)
),"00")</f>
        <v>2:01:48</v>
      </c>
      <c r="AQ31" s="0" t="n">
        <f aca="false">IFERROR(
LEFT(AP31,FIND(":",AP31)-1)
+ MID(AP31,FIND(":",AP31)+1,2)/24
+ RIGHT(AP31,2)/1440,
"")</f>
        <v>2.075</v>
      </c>
      <c r="AR31" s="0" t="n">
        <f aca="false">WEEKNUM(B31,1)</f>
        <v>50</v>
      </c>
      <c r="AS31" s="17" t="n">
        <f aca="false">IF(B31&gt;0, (B31+C31)-TIME(13,30,0), "")</f>
        <v>46003.4416666667</v>
      </c>
      <c r="AT31" s="18" t="n">
        <f aca="false">IF(B31&gt;0, (B31+C31)-TIME(13,30,0), "")</f>
        <v>46003.4416666667</v>
      </c>
      <c r="AU31" s="17" t="n">
        <f aca="false">IF(V31&gt;0, (V31+W31)-TIME(13,30,0), "")</f>
        <v>46007.5131944444</v>
      </c>
      <c r="AV31" s="18" t="n">
        <f aca="false">IF(V31&gt;0, (V31+W31)-TIME(13,30,0), "")</f>
        <v>46007.5131944444</v>
      </c>
      <c r="AW31" s="19" t="n">
        <f aca="false">24*(
MAX(0,
IF(NETWORKDAYS(AS31,AU31)=1,
MIN(MOD(AV31,1),TIME(17,30,0)) - MAX(MOD(AT31,1),TIME(8,30,0)),
(TIME(17,30,0)-MAX(MOD(AT31,1),TIME(8,30,0)))
+ (MIN(MOD(AV31,1),TIME(17,30,0))-TIME(8,30,0))
+ (NETWORKDAYS(AS31,AU31)-2)*9/24
)
)
)</f>
        <v>19.7166666666667</v>
      </c>
      <c r="AX31" s="19" t="n">
        <f aca="false">24*(
MAX(0,
IF(NETWORKDAYS(AS31,AU31)=1,
MIN(MOD(AV31,1),TIME(17,30,0)) - MAX(MOD(AT31,1),TIME(8,30,0)),
(TIME(17,30,0)-MAX(MOD(AT31,1),TIME(8,30,0)))
+ (MIN(MOD(AV31,1),TIME(17,30,0))-TIME(8,30,0))
+ (NETWORKDAYS(AS31,AU31)-2)* (TIME(17,30,0)-TIME(8,30,0))
)
)
)</f>
        <v>19.7166666666667</v>
      </c>
      <c r="AY31" s="20" t="n">
        <f aca="false">ROUND(
IF(AS31=AU31,
MAX(0,
(MIN(MOD(AV31,1),TIME(17,30,0))-
MAX(MOD(AT31,1),TIME(8,30,0)))*24
),
(
(MAX(0,TIME(17,30,0)-MAX(MOD(AT31,1),TIME(8,30,0)))*24)
+
(MAX(0,MIN(MOD(AV31,1),TIME(17,30,0))-TIME(8,30,0))*24)
+
(MAX(0,NETWORKDAYS(AS31+1,AU31-1))*9)
)
),
2)</f>
        <v>19.72</v>
      </c>
      <c r="AZ31" s="0" t="n">
        <f aca="false" t="array" ref="AZ31:AZ31">_xlfn.XLOOKUP(J31,{"Low","Medium","High"},{270,72,24})</f>
        <v>270</v>
      </c>
      <c r="BA31" s="0" t="str">
        <f aca="false">IF(AW31&gt;AZ31,"Not Met","Met")</f>
        <v>Met</v>
      </c>
      <c r="BB31" s="21" t="str">
        <f aca="false">IF(AS31="","",TEXT(AS31,"MMM")&amp;"'"&amp;TEXT(AS31,"yy"))</f>
        <v>Dec'25</v>
      </c>
      <c r="BC31" s="0" t="str">
        <f aca="false">IF(AU31="","",TEXT(AU31,"MMM")&amp;"'"&amp;TEXT(AU31,"yy"))</f>
        <v>Dec'25</v>
      </c>
    </row>
    <row r="32" customFormat="false" ht="15" hidden="false" customHeight="false" outlineLevel="0" collapsed="false">
      <c r="A32" s="23" t="s">
        <v>213</v>
      </c>
      <c r="B32" s="24" t="n">
        <v>46004</v>
      </c>
      <c r="C32" s="12" t="n">
        <v>0.161805555555556</v>
      </c>
      <c r="D32" s="13" t="str">
        <f aca="false">IF(B32="","",TEXT(B32,"MMM")&amp;"'"&amp;TEXT(B32,"yy"))</f>
        <v>Dec'25</v>
      </c>
      <c r="E32" s="1" t="s">
        <v>55</v>
      </c>
      <c r="F32" s="1" t="s">
        <v>39</v>
      </c>
      <c r="G32" s="1" t="str">
        <f aca="false">IF(F32="Closed","Closed","Pending")</f>
        <v>Closed</v>
      </c>
      <c r="H32" s="23" t="s">
        <v>72</v>
      </c>
      <c r="I32" s="1" t="s">
        <v>168</v>
      </c>
      <c r="J32" s="1" t="s">
        <v>74</v>
      </c>
      <c r="K32" s="1" t="s">
        <v>59</v>
      </c>
      <c r="L32" s="1" t="s">
        <v>214</v>
      </c>
      <c r="M32" s="1" t="s">
        <v>215</v>
      </c>
      <c r="N32" s="1" t="s">
        <v>65</v>
      </c>
      <c r="O32" s="1" t="s">
        <v>106</v>
      </c>
      <c r="R32" s="1" t="s">
        <v>66</v>
      </c>
      <c r="U32" s="12" t="n">
        <v>0.172916666666667</v>
      </c>
      <c r="V32" s="11" t="n">
        <v>46009</v>
      </c>
      <c r="W32" s="12" t="n">
        <v>0.925</v>
      </c>
      <c r="X32" s="11" t="n">
        <v>46009</v>
      </c>
      <c r="Y32" s="12" t="n">
        <v>0.930555555555556</v>
      </c>
      <c r="Z32" s="1" t="s">
        <v>108</v>
      </c>
      <c r="AA32" s="1" t="s">
        <v>68</v>
      </c>
      <c r="AB32" s="2" t="n">
        <f aca="false">U32-C32</f>
        <v>0.0111111111111111</v>
      </c>
      <c r="AC32" s="14" t="str">
        <f aca="false">TEXT(((V32+W32)-(B32+C32)),"hh:mm")</f>
        <v>18:19</v>
      </c>
      <c r="AD32" s="4" t="str">
        <f aca="false">INT((V32+W32)-(B32+C32)) &amp; ":" &amp;
TEXT(HOUR((V32+W32)-(B32+C32)), "00") &amp; ":" &amp;
TEXT(MINUTE((V32+W32)-(B32+C32)), "00")</f>
        <v>5:18:19</v>
      </c>
      <c r="AE32" s="1" t="n">
        <f aca="false">IFERROR(
LEFT(AD32,FIND(":",AD32)-1)
+ MID(AD32,FIND(":",AD32)+1,2)/24
+ RIGHT(AD32,2)/1440,
"")</f>
        <v>5.76319444444444</v>
      </c>
      <c r="AF32" s="4" t="str">
        <f aca="false">INT((X32+Y32)-(B32+C32)) &amp; ":" &amp;
TEXT(HOUR((X32+Y32)-(B32+C32)), "00") &amp; ":" &amp;
TEXT(MINUTE((X32+Y32)-(B32+C32)), "00")</f>
        <v>5:18:27</v>
      </c>
      <c r="AG32" s="4" t="str">
        <f aca="false" t="array" ref="AG32:AG32">INT(_xlfn.XLOOKUP(J32,{"Low","Medium","High","Urgent"},{48,24,12,8})/24) &amp; ":" &amp;
TEXT(MOD(_xlfn.XLOOKUP(J32,{"Low","Medium","High","Urgent"},{48,24,12,8}),24)/24,"hh:mm")</f>
        <v>2:00:00</v>
      </c>
      <c r="AH32" s="4" t="str">
        <f aca="false">IF(AD32&gt;AG32,"Not Met","Met")</f>
        <v>Not Met</v>
      </c>
      <c r="AI32" s="4" t="str">
        <f aca="false">IF(AB32&lt;TIME(0,30,0),"Met","Not Met")</f>
        <v>Met</v>
      </c>
      <c r="AN32" s="1" t="str">
        <f aca="false">TEXT(B32,"dd")</f>
        <v>13</v>
      </c>
      <c r="AO32" s="1" t="str">
        <f aca="false">TEXT(X32,"dd")</f>
        <v>18</v>
      </c>
      <c r="AP32" s="16" t="str">
        <f aca="false">INT(
  NETWORKDAYS(B32,V32)-1
  + IF(WEEKDAY(V32,2)&lt;6,MOD(V32+W32,1),0)
  - IF(WEEKDAY(B32,2)&lt;6,MOD(B32+C32,1),0)
)
&amp; ":" &amp;
TEXT(HOUR(
  NETWORKDAYS(B32,V32)-1
  + IF(WEEKDAY(V32,2)&lt;6,MOD(V32+W32,1),0)
  - IF(WEEKDAY(B32,2)&lt;6,MOD(B32+C32,1),0)
),"00")
&amp; ":" &amp;
TEXT(MINUTE(
  NETWORKDAYS(B32,V32)-1
  + IF(WEEKDAY(V32,2)&lt;6,MOD(V32+W32,1),0)
  - IF(WEEKDAY(B32,2)&lt;6,MOD(B32+C32,1),0)
),"00")</f>
        <v>3:22:12</v>
      </c>
      <c r="AQ32" s="0" t="n">
        <f aca="false">IFERROR(
LEFT(AP32,FIND(":",AP32)-1)
+ MID(AP32,FIND(":",AP32)+1,2)/24
+ RIGHT(AP32,2)/1440,
"")</f>
        <v>3.925</v>
      </c>
      <c r="AR32" s="0" t="n">
        <f aca="false">WEEKNUM(B32,1)</f>
        <v>50</v>
      </c>
      <c r="AS32" s="17" t="n">
        <f aca="false">IF(B32&gt;0, (B32+C32)-TIME(13,30,0), "")</f>
        <v>46003.5993055556</v>
      </c>
      <c r="AT32" s="18" t="n">
        <f aca="false">IF(B32&gt;0, (B32+C32)-TIME(13,30,0), "")</f>
        <v>46003.5993055556</v>
      </c>
      <c r="AU32" s="17" t="n">
        <f aca="false">IF(V32&gt;0, (V32+W32)-TIME(13,30,0), "")</f>
        <v>46009.3625</v>
      </c>
      <c r="AV32" s="18" t="n">
        <f aca="false">IF(V32&gt;0, (V32+W32)-TIME(13,30,0), "")</f>
        <v>46009.3625</v>
      </c>
      <c r="AW32" s="19" t="n">
        <f aca="false">24*(
MAX(0,
IF(NETWORKDAYS(AS32,AU32)=1,
MIN(MOD(AV32,1),TIME(17,30,0)) - MAX(MOD(AT32,1),TIME(8,30,0)),
(TIME(17,30,0)-MAX(MOD(AT32,1),TIME(8,30,0)))
+ (MIN(MOD(AV32,1),TIME(17,30,0))-TIME(8,30,0))
+ (NETWORKDAYS(AS32,AU32)-2)*9/24
)
)
)</f>
        <v>30.3166666666667</v>
      </c>
      <c r="AX32" s="19" t="n">
        <f aca="false">24*(
MAX(0,
IF(NETWORKDAYS(AS32,AU32)=1,
MIN(MOD(AV32,1),TIME(17,30,0)) - MAX(MOD(AT32,1),TIME(8,30,0)),
(TIME(17,30,0)-MAX(MOD(AT32,1),TIME(8,30,0)))
+ (MIN(MOD(AV32,1),TIME(17,30,0))-TIME(8,30,0))
+ (NETWORKDAYS(AS32,AU32)-2)* (TIME(17,30,0)-TIME(8,30,0))
)
)
)</f>
        <v>30.3166666666667</v>
      </c>
      <c r="AY32" s="20" t="n">
        <f aca="false">ROUND(
IF(AS32=AU32,
MAX(0,
(MIN(MOD(AV32,1),TIME(17,30,0))-
MAX(MOD(AT32,1),TIME(8,30,0)))*24
),
(
(MAX(0,TIME(17,30,0)-MAX(MOD(AT32,1),TIME(8,30,0)))*24)
+
(MAX(0,MIN(MOD(AV32,1),TIME(17,30,0))-TIME(8,30,0))*24)
+
(MAX(0,NETWORKDAYS(AS32+1,AU32-1))*9)
)
),
2)</f>
        <v>30.32</v>
      </c>
      <c r="AZ32" s="0" t="n">
        <f aca="false" t="array" ref="AZ32:AZ32">_xlfn.XLOOKUP(J32,{"Low","Medium","High"},{270,72,24})</f>
        <v>270</v>
      </c>
      <c r="BA32" s="0" t="str">
        <f aca="false">IF(AW32&gt;AZ32,"Not Met","Met")</f>
        <v>Met</v>
      </c>
      <c r="BB32" s="21" t="str">
        <f aca="false">IF(AS32="","",TEXT(AS32,"MMM")&amp;"'"&amp;TEXT(AS32,"yy"))</f>
        <v>Dec'25</v>
      </c>
      <c r="BC32" s="0" t="str">
        <f aca="false">IF(AU32="","",TEXT(AU32,"MMM")&amp;"'"&amp;TEXT(AU32,"yy"))</f>
        <v>Dec'25</v>
      </c>
    </row>
    <row r="33" customFormat="false" ht="15" hidden="false" customHeight="false" outlineLevel="0" collapsed="false">
      <c r="A33" s="23" t="s">
        <v>216</v>
      </c>
      <c r="B33" s="24" t="n">
        <v>46007</v>
      </c>
      <c r="C33" s="12" t="n">
        <v>0.0215277777777778</v>
      </c>
      <c r="D33" s="13" t="str">
        <f aca="false">IF(B33="","",TEXT(B33,"MMM")&amp;"'"&amp;TEXT(B33,"yy"))</f>
        <v>Dec'25</v>
      </c>
      <c r="E33" s="1" t="s">
        <v>55</v>
      </c>
      <c r="F33" s="1" t="s">
        <v>39</v>
      </c>
      <c r="G33" s="1" t="str">
        <f aca="false">IF(F33="Closed","Closed","Pending")</f>
        <v>Closed</v>
      </c>
      <c r="H33" s="1" t="s">
        <v>56</v>
      </c>
      <c r="I33" s="1" t="s">
        <v>82</v>
      </c>
      <c r="J33" s="1" t="s">
        <v>74</v>
      </c>
      <c r="K33" s="1" t="s">
        <v>59</v>
      </c>
      <c r="L33" s="1" t="s">
        <v>217</v>
      </c>
      <c r="M33" s="1" t="s">
        <v>151</v>
      </c>
      <c r="N33" s="1" t="s">
        <v>65</v>
      </c>
      <c r="O33" s="1" t="s">
        <v>106</v>
      </c>
      <c r="R33" s="1" t="s">
        <v>66</v>
      </c>
      <c r="U33" s="12" t="n">
        <v>0.0402777777777778</v>
      </c>
      <c r="V33" s="11" t="n">
        <v>46008</v>
      </c>
      <c r="W33" s="12" t="n">
        <v>0.0840277777777778</v>
      </c>
      <c r="X33" s="11" t="n">
        <v>46008</v>
      </c>
      <c r="Y33" s="12" t="n">
        <v>0.0972222222222222</v>
      </c>
      <c r="Z33" s="1" t="s">
        <v>108</v>
      </c>
      <c r="AA33" s="1" t="s">
        <v>68</v>
      </c>
      <c r="AB33" s="2" t="n">
        <f aca="false">U33-C33</f>
        <v>0.01875</v>
      </c>
      <c r="AC33" s="14" t="str">
        <f aca="false">TEXT(((V33+W33)-(B33+C33)),"hh:mm")</f>
        <v>01:30</v>
      </c>
      <c r="AD33" s="4" t="str">
        <f aca="false">INT((V33+W33)-(B33+C33)) &amp; ":" &amp;
TEXT(HOUR((V33+W33)-(B33+C33)), "00") &amp; ":" &amp;
TEXT(MINUTE((V33+W33)-(B33+C33)), "00")</f>
        <v>1:01:30</v>
      </c>
      <c r="AE33" s="1" t="n">
        <f aca="false">IFERROR(
LEFT(AD33,FIND(":",AD33)-1)
+ MID(AD33,FIND(":",AD33)+1,2)/24
+ RIGHT(AD33,2)/1440,
"")</f>
        <v>1.0625</v>
      </c>
      <c r="AF33" s="4" t="str">
        <f aca="false">INT((X33+Y33)-(B33+C33)) &amp; ":" &amp;
TEXT(HOUR((X33+Y33)-(B33+C33)), "00") &amp; ":" &amp;
TEXT(MINUTE((X33+Y33)-(B33+C33)), "00")</f>
        <v>1:01:49</v>
      </c>
      <c r="AG33" s="4" t="str">
        <f aca="false" t="array" ref="AG33:AG33">INT(_xlfn.XLOOKUP(J33,{"Low","Medium","High","Urgent"},{48,24,12,8})/24) &amp; ":" &amp;
TEXT(MOD(_xlfn.XLOOKUP(J33,{"Low","Medium","High","Urgent"},{48,24,12,8}),24)/24,"hh:mm")</f>
        <v>2:00:00</v>
      </c>
      <c r="AH33" s="4" t="str">
        <f aca="false">IF(AD33&gt;AG33,"Not Met","Met")</f>
        <v>Met</v>
      </c>
      <c r="AI33" s="4" t="str">
        <f aca="false">IF(AB33&lt;TIME(0,30,0),"Met","Not Met")</f>
        <v>Met</v>
      </c>
      <c r="AN33" s="1" t="str">
        <f aca="false">TEXT(B33,"dd")</f>
        <v>16</v>
      </c>
      <c r="AO33" s="1" t="str">
        <f aca="false">TEXT(X33,"dd")</f>
        <v>17</v>
      </c>
      <c r="AP33" s="16" t="str">
        <f aca="false">INT(
  NETWORKDAYS(B33,V33)-1
  + IF(WEEKDAY(V33,2)&lt;6,MOD(V33+W33,1),0)
  - IF(WEEKDAY(B33,2)&lt;6,MOD(B33+C33,1),0)
)
&amp; ":" &amp;
TEXT(HOUR(
  NETWORKDAYS(B33,V33)-1
  + IF(WEEKDAY(V33,2)&lt;6,MOD(V33+W33,1),0)
  - IF(WEEKDAY(B33,2)&lt;6,MOD(B33+C33,1),0)
),"00")
&amp; ":" &amp;
TEXT(MINUTE(
  NETWORKDAYS(B33,V33)-1
  + IF(WEEKDAY(V33,2)&lt;6,MOD(V33+W33,1),0)
  - IF(WEEKDAY(B33,2)&lt;6,MOD(B33+C33,1),0)
),"00")</f>
        <v>1:01:30</v>
      </c>
      <c r="AQ33" s="0" t="n">
        <f aca="false">IFERROR(
LEFT(AP33,FIND(":",AP33)-1)
+ MID(AP33,FIND(":",AP33)+1,2)/24
+ RIGHT(AP33,2)/1440,
"")</f>
        <v>1.0625</v>
      </c>
      <c r="AR33" s="0" t="n">
        <f aca="false">WEEKNUM(B33,1)</f>
        <v>51</v>
      </c>
      <c r="AS33" s="17" t="n">
        <f aca="false">IF(B33&gt;0, (B33+C33)-TIME(13,30,0), "")</f>
        <v>46006.4590277778</v>
      </c>
      <c r="AT33" s="18" t="n">
        <f aca="false">IF(B33&gt;0, (B33+C33)-TIME(13,30,0), "")</f>
        <v>46006.4590277778</v>
      </c>
      <c r="AU33" s="17" t="n">
        <f aca="false">IF(V33&gt;0, (V33+W33)-TIME(13,30,0), "")</f>
        <v>46007.5215277778</v>
      </c>
      <c r="AV33" s="18" t="n">
        <f aca="false">IF(V33&gt;0, (V33+W33)-TIME(13,30,0), "")</f>
        <v>46007.5215277778</v>
      </c>
      <c r="AW33" s="19" t="n">
        <f aca="false">24*(
MAX(0,
IF(NETWORKDAYS(AS33,AU33)=1,
MIN(MOD(AV33,1),TIME(17,30,0)) - MAX(MOD(AT33,1),TIME(8,30,0)),
(TIME(17,30,0)-MAX(MOD(AT33,1),TIME(8,30,0)))
+ (MIN(MOD(AV33,1),TIME(17,30,0))-TIME(8,30,0))
+ (NETWORKDAYS(AS33,AU33)-2)*9/24
)
)
)</f>
        <v>10.5</v>
      </c>
      <c r="AX33" s="19" t="n">
        <f aca="false">24*(
MAX(0,
IF(NETWORKDAYS(AS33,AU33)=1,
MIN(MOD(AV33,1),TIME(17,30,0)) - MAX(MOD(AT33,1),TIME(8,30,0)),
(TIME(17,30,0)-MAX(MOD(AT33,1),TIME(8,30,0)))
+ (MIN(MOD(AV33,1),TIME(17,30,0))-TIME(8,30,0))
+ (NETWORKDAYS(AS33,AU33)-2)* (TIME(17,30,0)-TIME(8,30,0))
)
)
)</f>
        <v>10.5</v>
      </c>
      <c r="AY33" s="20" t="n">
        <f aca="false">ROUND(
IF(AS33=AU33,
MAX(0,
(MIN(MOD(AV33,1),TIME(17,30,0))-
MAX(MOD(AT33,1),TIME(8,30,0)))*24
),
(
(MAX(0,TIME(17,30,0)-MAX(MOD(AT33,1),TIME(8,30,0)))*24)
+
(MAX(0,MIN(MOD(AV33,1),TIME(17,30,0))-TIME(8,30,0))*24)
+
(MAX(0,NETWORKDAYS(AS33+1,AU33-1))*9)
)
),
2)</f>
        <v>10.5</v>
      </c>
      <c r="AZ33" s="0" t="n">
        <f aca="false" t="array" ref="AZ33:AZ33">_xlfn.XLOOKUP(J33,{"Low","Medium","High"},{270,72,24})</f>
        <v>270</v>
      </c>
      <c r="BA33" s="0" t="str">
        <f aca="false">IF(AW33&gt;AZ33,"Not Met","Met")</f>
        <v>Met</v>
      </c>
      <c r="BB33" s="21" t="str">
        <f aca="false">IF(AS33="","",TEXT(AS33,"MMM")&amp;"'"&amp;TEXT(AS33,"yy"))</f>
        <v>Dec'25</v>
      </c>
      <c r="BC33" s="0" t="str">
        <f aca="false">IF(AU33="","",TEXT(AU33,"MMM")&amp;"'"&amp;TEXT(AU33,"yy"))</f>
        <v>Dec'25</v>
      </c>
    </row>
    <row r="34" customFormat="false" ht="15" hidden="false" customHeight="false" outlineLevel="0" collapsed="false">
      <c r="A34" s="23" t="s">
        <v>218</v>
      </c>
      <c r="B34" s="24" t="n">
        <v>46007</v>
      </c>
      <c r="C34" s="12" t="n">
        <v>0.0465277777777778</v>
      </c>
      <c r="D34" s="13" t="str">
        <f aca="false">IF(B34="","",TEXT(B34,"MMM")&amp;"'"&amp;TEXT(B34,"yy"))</f>
        <v>Dec'25</v>
      </c>
      <c r="E34" s="1" t="s">
        <v>55</v>
      </c>
      <c r="F34" s="1" t="s">
        <v>39</v>
      </c>
      <c r="G34" s="1" t="str">
        <f aca="false">IF(F34="Closed","Closed","Pending")</f>
        <v>Closed</v>
      </c>
      <c r="H34" s="1" t="s">
        <v>157</v>
      </c>
      <c r="I34" s="1" t="s">
        <v>219</v>
      </c>
      <c r="J34" s="1" t="s">
        <v>74</v>
      </c>
      <c r="K34" s="1" t="s">
        <v>59</v>
      </c>
      <c r="L34" s="1" t="s">
        <v>220</v>
      </c>
      <c r="M34" s="1" t="s">
        <v>221</v>
      </c>
      <c r="N34" s="1" t="s">
        <v>65</v>
      </c>
      <c r="O34" s="1" t="s">
        <v>106</v>
      </c>
      <c r="R34" s="1" t="s">
        <v>66</v>
      </c>
      <c r="U34" s="12" t="n">
        <v>0.0486111111111111</v>
      </c>
      <c r="V34" s="11" t="n">
        <v>46008</v>
      </c>
      <c r="W34" s="12" t="n">
        <v>0.0951388888888889</v>
      </c>
      <c r="X34" s="11" t="n">
        <v>46008</v>
      </c>
      <c r="Y34" s="12" t="n">
        <v>0.15</v>
      </c>
      <c r="Z34" s="1" t="s">
        <v>67</v>
      </c>
      <c r="AA34" s="1" t="s">
        <v>68</v>
      </c>
      <c r="AB34" s="2" t="n">
        <f aca="false">U34-C34</f>
        <v>0.00208333333333333</v>
      </c>
      <c r="AC34" s="14" t="str">
        <f aca="false">TEXT(((V34+W34)-(B34+C34)),"hh:mm")</f>
        <v>01:10</v>
      </c>
      <c r="AD34" s="4" t="str">
        <f aca="false">INT((V34+W34)-(B34+C34)) &amp; ":" &amp;
TEXT(HOUR((V34+W34)-(B34+C34)), "00") &amp; ":" &amp;
TEXT(MINUTE((V34+W34)-(B34+C34)), "00")</f>
        <v>1:01:10</v>
      </c>
      <c r="AE34" s="1" t="n">
        <f aca="false">IFERROR(
LEFT(AD34,FIND(":",AD34)-1)
+ MID(AD34,FIND(":",AD34)+1,2)/24
+ RIGHT(AD34,2)/1440,
"")</f>
        <v>1.04861111111111</v>
      </c>
      <c r="AF34" s="4" t="str">
        <f aca="false">INT((X34+Y34)-(B34+C34)) &amp; ":" &amp;
TEXT(HOUR((X34+Y34)-(B34+C34)), "00") &amp; ":" &amp;
TEXT(MINUTE((X34+Y34)-(B34+C34)), "00")</f>
        <v>1:02:29</v>
      </c>
      <c r="AG34" s="4" t="str">
        <f aca="false" t="array" ref="AG34:AG34">INT(_xlfn.XLOOKUP(J34,{"Low","Medium","High","Urgent"},{48,24,12,8})/24) &amp; ":" &amp;
TEXT(MOD(_xlfn.XLOOKUP(J34,{"Low","Medium","High","Urgent"},{48,24,12,8}),24)/24,"hh:mm")</f>
        <v>2:00:00</v>
      </c>
      <c r="AH34" s="4" t="str">
        <f aca="false">IF(AD34&gt;AG34,"Not Met","Met")</f>
        <v>Met</v>
      </c>
      <c r="AI34" s="4" t="str">
        <f aca="false">IF(AB34&lt;TIME(0,30,0),"Met","Not Met")</f>
        <v>Met</v>
      </c>
      <c r="AN34" s="1" t="str">
        <f aca="false">TEXT(B34,"dd")</f>
        <v>16</v>
      </c>
      <c r="AO34" s="1" t="str">
        <f aca="false">TEXT(X34,"dd")</f>
        <v>17</v>
      </c>
      <c r="AP34" s="16" t="str">
        <f aca="false">INT(
  NETWORKDAYS(B34,V34)-1
  + IF(WEEKDAY(V34,2)&lt;6,MOD(V34+W34,1),0)
  - IF(WEEKDAY(B34,2)&lt;6,MOD(B34+C34,1),0)
)
&amp; ":" &amp;
TEXT(HOUR(
  NETWORKDAYS(B34,V34)-1
  + IF(WEEKDAY(V34,2)&lt;6,MOD(V34+W34,1),0)
  - IF(WEEKDAY(B34,2)&lt;6,MOD(B34+C34,1),0)
),"00")
&amp; ":" &amp;
TEXT(MINUTE(
  NETWORKDAYS(B34,V34)-1
  + IF(WEEKDAY(V34,2)&lt;6,MOD(V34+W34,1),0)
  - IF(WEEKDAY(B34,2)&lt;6,MOD(B34+C34,1),0)
),"00")</f>
        <v>1:01:09</v>
      </c>
      <c r="AQ34" s="0" t="n">
        <f aca="false">IFERROR(
LEFT(AP34,FIND(":",AP34)-1)
+ MID(AP34,FIND(":",AP34)+1,2)/24
+ RIGHT(AP34,2)/1440,
"")</f>
        <v>1.04791666666667</v>
      </c>
      <c r="AR34" s="0" t="n">
        <f aca="false">WEEKNUM(B34,1)</f>
        <v>51</v>
      </c>
      <c r="AS34" s="17" t="n">
        <f aca="false">IF(B34&gt;0, (B34+C34)-TIME(13,30,0), "")</f>
        <v>46006.4840277778</v>
      </c>
      <c r="AT34" s="18" t="n">
        <f aca="false">IF(B34&gt;0, (B34+C34)-TIME(13,30,0), "")</f>
        <v>46006.4840277778</v>
      </c>
      <c r="AU34" s="17" t="n">
        <f aca="false">IF(V34&gt;0, (V34+W34)-TIME(13,30,0), "")</f>
        <v>46007.5326388889</v>
      </c>
      <c r="AV34" s="18" t="n">
        <f aca="false">IF(V34&gt;0, (V34+W34)-TIME(13,30,0), "")</f>
        <v>46007.5326388889</v>
      </c>
      <c r="AW34" s="19" t="n">
        <f aca="false">24*(
MAX(0,
IF(NETWORKDAYS(AS34,AU34)=1,
MIN(MOD(AV34,1),TIME(17,30,0)) - MAX(MOD(AT34,1),TIME(8,30,0)),
(TIME(17,30,0)-MAX(MOD(AT34,1),TIME(8,30,0)))
+ (MIN(MOD(AV34,1),TIME(17,30,0))-TIME(8,30,0))
+ (NETWORKDAYS(AS34,AU34)-2)*9/24
)
)
)</f>
        <v>10.1666666666667</v>
      </c>
      <c r="AX34" s="19" t="n">
        <f aca="false">24*(
MAX(0,
IF(NETWORKDAYS(AS34,AU34)=1,
MIN(MOD(AV34,1),TIME(17,30,0)) - MAX(MOD(AT34,1),TIME(8,30,0)),
(TIME(17,30,0)-MAX(MOD(AT34,1),TIME(8,30,0)))
+ (MIN(MOD(AV34,1),TIME(17,30,0))-TIME(8,30,0))
+ (NETWORKDAYS(AS34,AU34)-2)* (TIME(17,30,0)-TIME(8,30,0))
)
)
)</f>
        <v>10.1666666666667</v>
      </c>
      <c r="AY34" s="20" t="n">
        <f aca="false">ROUND(
IF(AS34=AU34,
MAX(0,
(MIN(MOD(AV34,1),TIME(17,30,0))-
MAX(MOD(AT34,1),TIME(8,30,0)))*24
),
(
(MAX(0,TIME(17,30,0)-MAX(MOD(AT34,1),TIME(8,30,0)))*24)
+
(MAX(0,MIN(MOD(AV34,1),TIME(17,30,0))-TIME(8,30,0))*24)
+
(MAX(0,NETWORKDAYS(AS34+1,AU34-1))*9)
)
),
2)</f>
        <v>10.17</v>
      </c>
      <c r="AZ34" s="0" t="n">
        <f aca="false" t="array" ref="AZ34:AZ34">_xlfn.XLOOKUP(J34,{"Low","Medium","High"},{270,72,24})</f>
        <v>270</v>
      </c>
      <c r="BA34" s="0" t="str">
        <f aca="false">IF(AW34&gt;AZ34,"Not Met","Met")</f>
        <v>Met</v>
      </c>
      <c r="BB34" s="21" t="str">
        <f aca="false">IF(AS34="","",TEXT(AS34,"MMM")&amp;"'"&amp;TEXT(AS34,"yy"))</f>
        <v>Dec'25</v>
      </c>
      <c r="BC34" s="0" t="str">
        <f aca="false">IF(AU34="","",TEXT(AU34,"MMM")&amp;"'"&amp;TEXT(AU34,"yy"))</f>
        <v>Dec'25</v>
      </c>
    </row>
    <row r="35" customFormat="false" ht="15" hidden="false" customHeight="false" outlineLevel="0" collapsed="false">
      <c r="A35" s="23" t="s">
        <v>222</v>
      </c>
      <c r="B35" s="24" t="n">
        <v>46007</v>
      </c>
      <c r="C35" s="12" t="n">
        <v>0.890972222222222</v>
      </c>
      <c r="D35" s="13" t="str">
        <f aca="false">IF(B35="","",TEXT(B35,"MMM")&amp;"'"&amp;TEXT(B35,"yy"))</f>
        <v>Dec'25</v>
      </c>
      <c r="E35" s="1" t="s">
        <v>55</v>
      </c>
      <c r="F35" s="1" t="s">
        <v>39</v>
      </c>
      <c r="G35" s="1" t="str">
        <f aca="false">IF(F35="Closed","Closed","Pending")</f>
        <v>Closed</v>
      </c>
      <c r="H35" s="1" t="s">
        <v>185</v>
      </c>
      <c r="I35" s="1" t="s">
        <v>223</v>
      </c>
      <c r="J35" s="1" t="s">
        <v>74</v>
      </c>
      <c r="K35" s="1" t="s">
        <v>59</v>
      </c>
      <c r="L35" s="23" t="s">
        <v>224</v>
      </c>
      <c r="M35" s="1" t="s">
        <v>225</v>
      </c>
      <c r="N35" s="1" t="s">
        <v>143</v>
      </c>
      <c r="O35" s="1" t="s">
        <v>143</v>
      </c>
      <c r="Q35" s="1" t="s">
        <v>143</v>
      </c>
      <c r="U35" s="12" t="n">
        <v>0.909027777777778</v>
      </c>
      <c r="V35" s="11" t="n">
        <v>46134</v>
      </c>
      <c r="W35" s="12" t="n">
        <v>0.877777777777778</v>
      </c>
      <c r="X35" s="11" t="n">
        <v>46143</v>
      </c>
      <c r="Y35" s="12" t="n">
        <v>0.842361111111111</v>
      </c>
      <c r="Z35" s="1" t="s">
        <v>67</v>
      </c>
      <c r="AA35" s="1" t="s">
        <v>68</v>
      </c>
      <c r="AB35" s="2" t="n">
        <f aca="false">U35-C35</f>
        <v>0.0180555555555556</v>
      </c>
      <c r="AC35" s="14" t="str">
        <f aca="false">TEXT(((V35+W35)-(B35+C35)),"hh:mm")</f>
        <v>23:41</v>
      </c>
      <c r="AD35" s="4" t="str">
        <f aca="false">INT((V35+W35)-(B35+C35)) &amp; ":" &amp;
TEXT(HOUR((V35+W35)-(B35+C35)), "00") &amp; ":" &amp;
TEXT(MINUTE((V35+W35)-(B35+C35)), "00")</f>
        <v>126:23:41</v>
      </c>
      <c r="AE35" s="1" t="n">
        <f aca="false">IFERROR(
LEFT(AD35,FIND(":",AD35)-1)
+ MID(AD35,FIND(":",AD35)+1,2)/24
+ RIGHT(AD35,2)/1440,
"")</f>
        <v>126.986805555556</v>
      </c>
      <c r="AF35" s="4" t="str">
        <f aca="false">INT((X35+Y35)-(B35+C35)) &amp; ":" &amp;
TEXT(HOUR((X35+Y35)-(B35+C35)), "00") &amp; ":" &amp;
TEXT(MINUTE((X35+Y35)-(B35+C35)), "00")</f>
        <v>135:22:50</v>
      </c>
      <c r="AG35" s="4" t="str">
        <f aca="false" t="array" ref="AG35:AG35">INT(_xlfn.XLOOKUP(J35,{"Low","Medium","High","Urgent"},{48,24,12,8})/24) &amp; ":" &amp;
TEXT(MOD(_xlfn.XLOOKUP(J35,{"Low","Medium","High","Urgent"},{48,24,12,8}),24)/24,"hh:mm")</f>
        <v>2:00:00</v>
      </c>
      <c r="AH35" s="4" t="str">
        <f aca="false">IF(AD35&gt;AG35,"Not Met","Met")</f>
        <v>Met</v>
      </c>
      <c r="AI35" s="4" t="str">
        <f aca="false">IF(AB35&lt;TIME(0,30,0),"Met","Not Met")</f>
        <v>Met</v>
      </c>
      <c r="AN35" s="1" t="str">
        <f aca="false">TEXT(B35,"dd")</f>
        <v>16</v>
      </c>
      <c r="AO35" s="1" t="str">
        <f aca="false">TEXT(X35,"dd")</f>
        <v>01</v>
      </c>
      <c r="AP35" s="16" t="str">
        <f aca="false">INT(
  NETWORKDAYS(B35,V35)-1
  + IF(WEEKDAY(V35,2)&lt;6,MOD(V35+W35,1),0)
  - IF(WEEKDAY(B35,2)&lt;6,MOD(B35+C35,1),0)
)
&amp; ":" &amp;
TEXT(HOUR(
  NETWORKDAYS(B35,V35)-1
  + IF(WEEKDAY(V35,2)&lt;6,MOD(V35+W35,1),0)
  - IF(WEEKDAY(B35,2)&lt;6,MOD(B35+C35,1),0)
),"00")
&amp; ":" &amp;
TEXT(MINUTE(
  NETWORKDAYS(B35,V35)-1
  + IF(WEEKDAY(V35,2)&lt;6,MOD(V35+W35,1),0)
  - IF(WEEKDAY(B35,2)&lt;6,MOD(B35+C35,1),0)
),"00")</f>
        <v>90:23:41</v>
      </c>
      <c r="AQ35" s="0" t="n">
        <f aca="false">IFERROR(
LEFT(AP35,FIND(":",AP35)-1)
+ MID(AP35,FIND(":",AP35)+1,2)/24
+ RIGHT(AP35,2)/1440,
"")</f>
        <v>90.9868055555556</v>
      </c>
      <c r="AR35" s="0" t="n">
        <f aca="false">WEEKNUM(B35,1)</f>
        <v>51</v>
      </c>
      <c r="AS35" s="17" t="n">
        <f aca="false">IF(B35&gt;0, (B35+C35)-TIME(13,30,0), "")</f>
        <v>46007.3284722222</v>
      </c>
      <c r="AT35" s="18" t="n">
        <f aca="false">IF(B35&gt;0, (B35+C35)-TIME(13,30,0), "")</f>
        <v>46007.3284722222</v>
      </c>
      <c r="AU35" s="17" t="n">
        <f aca="false">IF(V35&gt;0, (V35+W35)-TIME(13,30,0), "")</f>
        <v>46134.3152777778</v>
      </c>
      <c r="AV35" s="18" t="n">
        <f aca="false">IF(V35&gt;0, (V35+W35)-TIME(13,30,0), "")</f>
        <v>46134.3152777778</v>
      </c>
      <c r="AW35" s="19" t="n">
        <f aca="false">24*(
MAX(0,
IF(NETWORKDAYS(AS35,AU35)=1,
MIN(MOD(AV35,1),TIME(17,30,0)) - MAX(MOD(AT35,1),TIME(8,30,0)),
(TIME(17,30,0)-MAX(MOD(AT35,1),TIME(8,30,0)))
+ (MIN(MOD(AV35,1),TIME(17,30,0))-TIME(8,30,0))
+ (NETWORKDAYS(AS35,AU35)-2)*9/24
)
)
)</f>
        <v>818.066666666667</v>
      </c>
      <c r="AX35" s="19" t="n">
        <f aca="false">24*(
MAX(0,
IF(NETWORKDAYS(AS35,AU35)=1,
MIN(MOD(AV35,1),TIME(17,30,0)) - MAX(MOD(AT35,1),TIME(8,30,0)),
(TIME(17,30,0)-MAX(MOD(AT35,1),TIME(8,30,0)))
+ (MIN(MOD(AV35,1),TIME(17,30,0))-TIME(8,30,0))
+ (NETWORKDAYS(AS35,AU35)-2)* (TIME(17,30,0)-TIME(8,30,0))
)
)
)</f>
        <v>818.066666666667</v>
      </c>
      <c r="AY35" s="20" t="n">
        <f aca="false">ROUND(
IF(AS35=AU35,
MAX(0,
(MIN(MOD(AV35,1),TIME(17,30,0))-
MAX(MOD(AT35,1),TIME(8,30,0)))*24
),
(
(MAX(0,TIME(17,30,0)-MAX(MOD(AT35,1),TIME(8,30,0)))*24)
+
(MAX(0,MIN(MOD(AV35,1),TIME(17,30,0))-TIME(8,30,0))*24)
+
(MAX(0,NETWORKDAYS(AS35+1,AU35-1))*9)
)
),
2)</f>
        <v>819</v>
      </c>
      <c r="AZ35" s="0" t="n">
        <f aca="false" t="array" ref="AZ35:AZ35">_xlfn.XLOOKUP(J35,{"Low","Medium","High"},{270,72,24})</f>
        <v>270</v>
      </c>
      <c r="BA35" s="0" t="str">
        <f aca="false">IF(AW35&gt;AZ35,"Not Met","Met")</f>
        <v>Not Met</v>
      </c>
      <c r="BB35" s="21" t="str">
        <f aca="false">IF(AS35="","",TEXT(AS35,"MMM")&amp;"'"&amp;TEXT(AS35,"yy"))</f>
        <v>Dec'25</v>
      </c>
      <c r="BC35" s="0" t="str">
        <f aca="false">IF(AU35="","",TEXT(AU35,"MMM")&amp;"'"&amp;TEXT(AU35,"yy"))</f>
        <v>Apr'26</v>
      </c>
    </row>
    <row r="36" customFormat="false" ht="15" hidden="false" customHeight="false" outlineLevel="0" collapsed="false">
      <c r="A36" s="23" t="s">
        <v>226</v>
      </c>
      <c r="B36" s="24" t="n">
        <v>46007</v>
      </c>
      <c r="C36" s="12" t="n">
        <v>0.900694444444445</v>
      </c>
      <c r="D36" s="13" t="str">
        <f aca="false">IF(B36="","",TEXT(B36,"MMM")&amp;"'"&amp;TEXT(B36,"yy"))</f>
        <v>Dec'25</v>
      </c>
      <c r="E36" s="1" t="s">
        <v>55</v>
      </c>
      <c r="F36" s="1" t="s">
        <v>39</v>
      </c>
      <c r="G36" s="1" t="str">
        <f aca="false">IF(F36="Closed","Closed","Pending")</f>
        <v>Closed</v>
      </c>
      <c r="H36" s="1" t="s">
        <v>56</v>
      </c>
      <c r="I36" s="1" t="s">
        <v>82</v>
      </c>
      <c r="J36" s="1" t="s">
        <v>74</v>
      </c>
      <c r="K36" s="1" t="s">
        <v>59</v>
      </c>
      <c r="L36" s="23" t="s">
        <v>227</v>
      </c>
      <c r="M36" s="1" t="s">
        <v>228</v>
      </c>
      <c r="N36" s="1" t="s">
        <v>62</v>
      </c>
      <c r="O36" s="1" t="s">
        <v>63</v>
      </c>
      <c r="Q36" s="1" t="s">
        <v>229</v>
      </c>
      <c r="R36" s="1" t="s">
        <v>230</v>
      </c>
      <c r="S36" s="1" t="s">
        <v>231</v>
      </c>
      <c r="U36" s="12" t="n">
        <v>0.900694444444445</v>
      </c>
      <c r="V36" s="11" t="n">
        <v>46062</v>
      </c>
      <c r="W36" s="12" t="n">
        <v>0.988888888888889</v>
      </c>
      <c r="X36" s="11" t="n">
        <v>46078</v>
      </c>
      <c r="Y36" s="12" t="n">
        <v>0.149305555555556</v>
      </c>
      <c r="Z36" s="1" t="s">
        <v>108</v>
      </c>
      <c r="AA36" s="1" t="s">
        <v>68</v>
      </c>
      <c r="AB36" s="2" t="n">
        <f aca="false">U36-C36</f>
        <v>0</v>
      </c>
      <c r="AC36" s="14" t="str">
        <f aca="false">TEXT(((V36+W36)-(B36+C36)),"hh:mm")</f>
        <v>02:07</v>
      </c>
      <c r="AD36" s="4" t="str">
        <f aca="false">INT((V36+W36)-(B36+C36)) &amp; ":" &amp;
TEXT(HOUR((V36+W36)-(B36+C36)), "00") &amp; ":" &amp;
TEXT(MINUTE((V36+W36)-(B36+C36)), "00")</f>
        <v>55:02:07</v>
      </c>
      <c r="AE36" s="1" t="n">
        <f aca="false">IFERROR(
LEFT(AD36,FIND(":",AD36)-1)
+ MID(AD36,FIND(":",AD36)+1,2)/24
+ RIGHT(AD36,2)/1440,
"")</f>
        <v>55.0881944444445</v>
      </c>
      <c r="AF36" s="4" t="str">
        <f aca="false">INT((X36+Y36)-(B36+C36)) &amp; ":" &amp;
TEXT(HOUR((X36+Y36)-(B36+C36)), "00") &amp; ":" &amp;
TEXT(MINUTE((X36+Y36)-(B36+C36)), "00")</f>
        <v>70:05:58</v>
      </c>
      <c r="AG36" s="4" t="str">
        <f aca="false" t="array" ref="AG36:AG36">INT(_xlfn.XLOOKUP(J36,{"Low","Medium","High","Urgent"},{48,24,12,8})/24) &amp; ":" &amp;
TEXT(MOD(_xlfn.XLOOKUP(J36,{"Low","Medium","High","Urgent"},{48,24,12,8}),24)/24,"hh:mm")</f>
        <v>2:00:00</v>
      </c>
      <c r="AH36" s="4" t="str">
        <f aca="false">IF(AD36&gt;AG36,"Not Met","Met")</f>
        <v>Not Met</v>
      </c>
      <c r="AI36" s="4" t="str">
        <f aca="false">IF(AB36&lt;TIME(0,30,0),"Met","Not Met")</f>
        <v>Met</v>
      </c>
      <c r="AN36" s="1" t="str">
        <f aca="false">TEXT(B36,"dd")</f>
        <v>16</v>
      </c>
      <c r="AO36" s="1" t="str">
        <f aca="false">TEXT(X36,"dd")</f>
        <v>25</v>
      </c>
      <c r="AP36" s="16" t="str">
        <f aca="false">INT(
  NETWORKDAYS(B36,V36)-1
  + IF(WEEKDAY(V36,2)&lt;6,MOD(V36+W36,1),0)
  - IF(WEEKDAY(B36,2)&lt;6,MOD(B36+C36,1),0)
)
&amp; ":" &amp;
TEXT(HOUR(
  NETWORKDAYS(B36,V36)-1
  + IF(WEEKDAY(V36,2)&lt;6,MOD(V36+W36,1),0)
  - IF(WEEKDAY(B36,2)&lt;6,MOD(B36+C36,1),0)
),"00")
&amp; ":" &amp;
TEXT(MINUTE(
  NETWORKDAYS(B36,V36)-1
  + IF(WEEKDAY(V36,2)&lt;6,MOD(V36+W36,1),0)
  - IF(WEEKDAY(B36,2)&lt;6,MOD(B36+C36,1),0)
),"00")</f>
        <v>39:02:07</v>
      </c>
      <c r="AQ36" s="0" t="n">
        <f aca="false">IFERROR(
LEFT(AP36,FIND(":",AP36)-1)
+ MID(AP36,FIND(":",AP36)+1,2)/24
+ RIGHT(AP36,2)/1440,
"")</f>
        <v>39.0881944444445</v>
      </c>
      <c r="AR36" s="0" t="n">
        <f aca="false">WEEKNUM(B36,1)</f>
        <v>51</v>
      </c>
      <c r="AS36" s="17" t="n">
        <f aca="false">IF(B36&gt;0, (B36+C36)-TIME(13,30,0), "")</f>
        <v>46007.3381944444</v>
      </c>
      <c r="AT36" s="18" t="n">
        <f aca="false">IF(B36&gt;0, (B36+C36)-TIME(13,30,0), "")</f>
        <v>46007.3381944444</v>
      </c>
      <c r="AU36" s="17" t="n">
        <f aca="false">IF(V36&gt;0, (V36+W36)-TIME(13,30,0), "")</f>
        <v>46062.4263888889</v>
      </c>
      <c r="AV36" s="18" t="n">
        <f aca="false">IF(V36&gt;0, (V36+W36)-TIME(13,30,0), "")</f>
        <v>46062.4263888889</v>
      </c>
      <c r="AW36" s="19" t="n">
        <f aca="false">24*(
MAX(0,
IF(NETWORKDAYS(AS36,AU36)=1,
MIN(MOD(AV36,1),TIME(17,30,0)) - MAX(MOD(AT36,1),TIME(8,30,0)),
(TIME(17,30,0)-MAX(MOD(AT36,1),TIME(8,30,0)))
+ (MIN(MOD(AV36,1),TIME(17,30,0))-TIME(8,30,0))
+ (NETWORKDAYS(AS36,AU36)-2)*9/24
)
)
)</f>
        <v>352.733333333333</v>
      </c>
      <c r="AX36" s="19" t="n">
        <f aca="false">24*(
MAX(0,
IF(NETWORKDAYS(AS36,AU36)=1,
MIN(MOD(AV36,1),TIME(17,30,0)) - MAX(MOD(AT36,1),TIME(8,30,0)),
(TIME(17,30,0)-MAX(MOD(AT36,1),TIME(8,30,0)))
+ (MIN(MOD(AV36,1),TIME(17,30,0))-TIME(8,30,0))
+ (NETWORKDAYS(AS36,AU36)-2)* (TIME(17,30,0)-TIME(8,30,0))
)
)
)</f>
        <v>352.733333333333</v>
      </c>
      <c r="AY36" s="20" t="n">
        <f aca="false">ROUND(
IF(AS36=AU36,
MAX(0,
(MIN(MOD(AV36,1),TIME(17,30,0))-
MAX(MOD(AT36,1),TIME(8,30,0)))*24
),
(
(MAX(0,TIME(17,30,0)-MAX(MOD(AT36,1),TIME(8,30,0)))*24)
+
(MAX(0,MIN(MOD(AV36,1),TIME(17,30,0))-TIME(8,30,0))*24)
+
(MAX(0,NETWORKDAYS(AS36+1,AU36-1))*9)
)
),
2)</f>
        <v>352.73</v>
      </c>
      <c r="AZ36" s="0" t="n">
        <f aca="false" t="array" ref="AZ36:AZ36">_xlfn.XLOOKUP(J36,{"Low","Medium","High"},{270,72,24})</f>
        <v>270</v>
      </c>
      <c r="BA36" s="0" t="str">
        <f aca="false">IF(AW36&gt;AZ36,"Not Met","Met")</f>
        <v>Not Met</v>
      </c>
      <c r="BB36" s="21" t="str">
        <f aca="false">IF(AS36="","",TEXT(AS36,"MMM")&amp;"'"&amp;TEXT(AS36,"yy"))</f>
        <v>Dec'25</v>
      </c>
      <c r="BC36" s="0" t="str">
        <f aca="false">IF(AU36="","",TEXT(AU36,"MMM")&amp;"'"&amp;TEXT(AU36,"yy"))</f>
        <v>Feb'26</v>
      </c>
    </row>
    <row r="37" customFormat="false" ht="15" hidden="false" customHeight="false" outlineLevel="0" collapsed="false">
      <c r="A37" s="23" t="s">
        <v>232</v>
      </c>
      <c r="B37" s="24" t="n">
        <v>46008</v>
      </c>
      <c r="C37" s="12" t="n">
        <v>0.0784722222222222</v>
      </c>
      <c r="D37" s="13" t="str">
        <f aca="false">IF(B37="","",TEXT(B37,"MMM")&amp;"'"&amp;TEXT(B37,"yy"))</f>
        <v>Dec'25</v>
      </c>
      <c r="E37" s="1" t="s">
        <v>55</v>
      </c>
      <c r="F37" s="1" t="s">
        <v>39</v>
      </c>
      <c r="G37" s="1" t="str">
        <f aca="false">IF(F37="Closed","Closed","Pending")</f>
        <v>Closed</v>
      </c>
      <c r="H37" s="1" t="s">
        <v>56</v>
      </c>
      <c r="I37" s="1" t="s">
        <v>82</v>
      </c>
      <c r="J37" s="1" t="s">
        <v>74</v>
      </c>
      <c r="K37" s="1" t="s">
        <v>59</v>
      </c>
      <c r="L37" s="23" t="s">
        <v>233</v>
      </c>
      <c r="M37" s="1" t="s">
        <v>234</v>
      </c>
      <c r="N37" s="1" t="s">
        <v>65</v>
      </c>
      <c r="O37" s="1" t="s">
        <v>106</v>
      </c>
      <c r="Q37" s="1" t="s">
        <v>65</v>
      </c>
      <c r="U37" s="12" t="n">
        <v>0.0979166666666667</v>
      </c>
      <c r="V37" s="11" t="n">
        <v>46009</v>
      </c>
      <c r="W37" s="12" t="n">
        <v>0.15</v>
      </c>
      <c r="X37" s="11" t="n">
        <v>46028</v>
      </c>
      <c r="Y37" s="12" t="n">
        <v>0.180555555555556</v>
      </c>
      <c r="Z37" s="1" t="s">
        <v>108</v>
      </c>
      <c r="AA37" s="1" t="s">
        <v>68</v>
      </c>
      <c r="AB37" s="2" t="n">
        <f aca="false">U37-C37</f>
        <v>0.0194444444444444</v>
      </c>
      <c r="AC37" s="14" t="str">
        <f aca="false">TEXT(((V37+W37)-(B37+C37)),"hh:mm")</f>
        <v>01:43</v>
      </c>
      <c r="AD37" s="4" t="str">
        <f aca="false">INT((V37+W37)-(B37+C37)) &amp; ":" &amp;
TEXT(HOUR((V37+W37)-(B37+C37)), "00") &amp; ":" &amp;
TEXT(MINUTE((V37+W37)-(B37+C37)), "00")</f>
        <v>1:01:43</v>
      </c>
      <c r="AE37" s="1" t="n">
        <f aca="false">IFERROR(
LEFT(AD37,FIND(":",AD37)-1)
+ MID(AD37,FIND(":",AD37)+1,2)/24
+ RIGHT(AD37,2)/1440,
"")</f>
        <v>1.07152777777778</v>
      </c>
      <c r="AF37" s="4" t="str">
        <f aca="false">INT((X37+Y37)-(B37+C37)) &amp; ":" &amp;
TEXT(HOUR((X37+Y37)-(B37+C37)), "00") &amp; ":" &amp;
TEXT(MINUTE((X37+Y37)-(B37+C37)), "00")</f>
        <v>20:02:27</v>
      </c>
      <c r="AG37" s="4" t="str">
        <f aca="false" t="array" ref="AG37:AG37">INT(_xlfn.XLOOKUP(J37,{"Low","Medium","High","Urgent"},{48,24,12,8})/24) &amp; ":" &amp;
TEXT(MOD(_xlfn.XLOOKUP(J37,{"Low","Medium","High","Urgent"},{48,24,12,8}),24)/24,"hh:mm")</f>
        <v>2:00:00</v>
      </c>
      <c r="AH37" s="4" t="str">
        <f aca="false">IF(AD37&gt;AG37,"Not Met","Met")</f>
        <v>Met</v>
      </c>
      <c r="AI37" s="4" t="str">
        <f aca="false">IF(AB37&lt;TIME(0,30,0),"Met","Not Met")</f>
        <v>Met</v>
      </c>
      <c r="AN37" s="1" t="str">
        <f aca="false">TEXT(B37,"dd")</f>
        <v>17</v>
      </c>
      <c r="AO37" s="1" t="str">
        <f aca="false">TEXT(X37,"dd")</f>
        <v>06</v>
      </c>
      <c r="AP37" s="16" t="str">
        <f aca="false">INT(
  NETWORKDAYS(B37,V37)-1
  + IF(WEEKDAY(V37,2)&lt;6,MOD(V37+W37,1),0)
  - IF(WEEKDAY(B37,2)&lt;6,MOD(B37+C37,1),0)
)
&amp; ":" &amp;
TEXT(HOUR(
  NETWORKDAYS(B37,V37)-1
  + IF(WEEKDAY(V37,2)&lt;6,MOD(V37+W37,1),0)
  - IF(WEEKDAY(B37,2)&lt;6,MOD(B37+C37,1),0)
),"00")
&amp; ":" &amp;
TEXT(MINUTE(
  NETWORKDAYS(B37,V37)-1
  + IF(WEEKDAY(V37,2)&lt;6,MOD(V37+W37,1),0)
  - IF(WEEKDAY(B37,2)&lt;6,MOD(B37+C37,1),0)
),"00")</f>
        <v>1:01:43</v>
      </c>
      <c r="AQ37" s="0" t="n">
        <f aca="false">IFERROR(
LEFT(AP37,FIND(":",AP37)-1)
+ MID(AP37,FIND(":",AP37)+1,2)/24
+ RIGHT(AP37,2)/1440,
"")</f>
        <v>1.07152777777778</v>
      </c>
      <c r="AR37" s="0" t="n">
        <f aca="false">WEEKNUM(B37,1)</f>
        <v>51</v>
      </c>
      <c r="AS37" s="17" t="n">
        <f aca="false">IF(B37&gt;0, (B37+C37)-TIME(13,30,0), "")</f>
        <v>46007.5159722222</v>
      </c>
      <c r="AT37" s="18" t="n">
        <f aca="false">IF(B37&gt;0, (B37+C37)-TIME(13,30,0), "")</f>
        <v>46007.5159722222</v>
      </c>
      <c r="AU37" s="17" t="n">
        <f aca="false">IF(V37&gt;0, (V37+W37)-TIME(13,30,0), "")</f>
        <v>46008.5875</v>
      </c>
      <c r="AV37" s="18" t="n">
        <f aca="false">IF(V37&gt;0, (V37+W37)-TIME(13,30,0), "")</f>
        <v>46008.5875</v>
      </c>
      <c r="AW37" s="19" t="n">
        <f aca="false">24*(
MAX(0,
IF(NETWORKDAYS(AS37,AU37)=1,
MIN(MOD(AV37,1),TIME(17,30,0)) - MAX(MOD(AT37,1),TIME(8,30,0)),
(TIME(17,30,0)-MAX(MOD(AT37,1),TIME(8,30,0)))
+ (MIN(MOD(AV37,1),TIME(17,30,0))-TIME(8,30,0))
+ (NETWORKDAYS(AS37,AU37)-2)*9/24
)
)
)</f>
        <v>10.7166666666667</v>
      </c>
      <c r="AX37" s="19" t="n">
        <f aca="false">24*(
MAX(0,
IF(NETWORKDAYS(AS37,AU37)=1,
MIN(MOD(AV37,1),TIME(17,30,0)) - MAX(MOD(AT37,1),TIME(8,30,0)),
(TIME(17,30,0)-MAX(MOD(AT37,1),TIME(8,30,0)))
+ (MIN(MOD(AV37,1),TIME(17,30,0))-TIME(8,30,0))
+ (NETWORKDAYS(AS37,AU37)-2)* (TIME(17,30,0)-TIME(8,30,0))
)
)
)</f>
        <v>10.7166666666667</v>
      </c>
      <c r="AY37" s="20" t="n">
        <f aca="false">ROUND(
IF(AS37=AU37,
MAX(0,
(MIN(MOD(AV37,1),TIME(17,30,0))-
MAX(MOD(AT37,1),TIME(8,30,0)))*24
),
(
(MAX(0,TIME(17,30,0)-MAX(MOD(AT37,1),TIME(8,30,0)))*24)
+
(MAX(0,MIN(MOD(AV37,1),TIME(17,30,0))-TIME(8,30,0))*24)
+
(MAX(0,NETWORKDAYS(AS37+1,AU37-1))*9)
)
),
2)</f>
        <v>10.72</v>
      </c>
      <c r="AZ37" s="0" t="n">
        <f aca="false" t="array" ref="AZ37:AZ37">_xlfn.XLOOKUP(J37,{"Low","Medium","High"},{270,72,24})</f>
        <v>270</v>
      </c>
      <c r="BA37" s="0" t="str">
        <f aca="false">IF(AW37&gt;AZ37,"Not Met","Met")</f>
        <v>Met</v>
      </c>
      <c r="BB37" s="21" t="str">
        <f aca="false">IF(AS37="","",TEXT(AS37,"MMM")&amp;"'"&amp;TEXT(AS37,"yy"))</f>
        <v>Dec'25</v>
      </c>
      <c r="BC37" s="0" t="str">
        <f aca="false">IF(AU37="","",TEXT(AU37,"MMM")&amp;"'"&amp;TEXT(AU37,"yy"))</f>
        <v>Dec'25</v>
      </c>
    </row>
    <row r="38" customFormat="false" ht="15" hidden="false" customHeight="false" outlineLevel="0" collapsed="false">
      <c r="A38" s="23" t="s">
        <v>235</v>
      </c>
      <c r="B38" s="24" t="n">
        <v>46008</v>
      </c>
      <c r="C38" s="12" t="n">
        <v>0.188194444444444</v>
      </c>
      <c r="D38" s="13" t="str">
        <f aca="false">IF(B38="","",TEXT(B38,"MMM")&amp;"'"&amp;TEXT(B38,"yy"))</f>
        <v>Dec'25</v>
      </c>
      <c r="E38" s="1" t="s">
        <v>55</v>
      </c>
      <c r="F38" s="1" t="s">
        <v>39</v>
      </c>
      <c r="G38" s="1" t="str">
        <f aca="false">IF(F38="Closed","Closed","Pending")</f>
        <v>Closed</v>
      </c>
      <c r="H38" s="1" t="s">
        <v>56</v>
      </c>
      <c r="I38" s="1" t="s">
        <v>82</v>
      </c>
      <c r="J38" s="1" t="s">
        <v>74</v>
      </c>
      <c r="K38" s="1" t="s">
        <v>59</v>
      </c>
      <c r="L38" s="23" t="s">
        <v>236</v>
      </c>
      <c r="M38" s="1" t="s">
        <v>151</v>
      </c>
      <c r="N38" s="1" t="s">
        <v>65</v>
      </c>
      <c r="O38" s="1" t="s">
        <v>106</v>
      </c>
      <c r="R38" s="1" t="s">
        <v>66</v>
      </c>
      <c r="U38" s="12" t="n">
        <v>0.195138888888889</v>
      </c>
      <c r="V38" s="11" t="n">
        <v>46009</v>
      </c>
      <c r="W38" s="12" t="n">
        <v>0.151388888888889</v>
      </c>
      <c r="X38" s="11" t="n">
        <v>46029</v>
      </c>
      <c r="Y38" s="12" t="n">
        <v>0.0611111111111111</v>
      </c>
      <c r="Z38" s="1" t="s">
        <v>237</v>
      </c>
      <c r="AA38" s="1" t="s">
        <v>68</v>
      </c>
      <c r="AB38" s="2" t="n">
        <f aca="false">U38-C38</f>
        <v>0.00694444444444444</v>
      </c>
      <c r="AC38" s="14" t="str">
        <f aca="false">TEXT(((V38+W38)-(B38+C38)),"hh:mm")</f>
        <v>23:07</v>
      </c>
      <c r="AD38" s="4" t="str">
        <f aca="false">INT((V38+W38)-(B38+C38)) &amp; ":" &amp;
TEXT(HOUR((V38+W38)-(B38+C38)), "00") &amp; ":" &amp;
TEXT(MINUTE((V38+W38)-(B38+C38)), "00")</f>
        <v>0:23:07</v>
      </c>
      <c r="AE38" s="1" t="n">
        <f aca="false">IFERROR(
LEFT(AD38,FIND(":",AD38)-1)
+ MID(AD38,FIND(":",AD38)+1,2)/24
+ RIGHT(AD38,2)/1440,
"")</f>
        <v>0.963194444444445</v>
      </c>
      <c r="AF38" s="4" t="str">
        <f aca="false">INT((X38+Y38)-(B38+C38)) &amp; ":" &amp;
TEXT(HOUR((X38+Y38)-(B38+C38)), "00") &amp; ":" &amp;
TEXT(MINUTE((X38+Y38)-(B38+C38)), "00")</f>
        <v>20:20:57</v>
      </c>
      <c r="AG38" s="4" t="str">
        <f aca="false" t="array" ref="AG38:AG38">INT(_xlfn.XLOOKUP(J38,{"Low","Medium","High","Urgent"},{48,24,12,8})/24) &amp; ":" &amp;
TEXT(MOD(_xlfn.XLOOKUP(J38,{"Low","Medium","High","Urgent"},{48,24,12,8}),24)/24,"hh:mm")</f>
        <v>2:00:00</v>
      </c>
      <c r="AH38" s="4" t="str">
        <f aca="false">IF(AD38&gt;AG38,"Not Met","Met")</f>
        <v>Met</v>
      </c>
      <c r="AI38" s="4" t="str">
        <f aca="false">IF(AB38&lt;TIME(0,30,0),"Met","Not Met")</f>
        <v>Met</v>
      </c>
      <c r="AN38" s="1" t="str">
        <f aca="false">TEXT(B38,"dd")</f>
        <v>17</v>
      </c>
      <c r="AO38" s="1" t="str">
        <f aca="false">TEXT(X38,"dd")</f>
        <v>07</v>
      </c>
      <c r="AP38" s="16" t="str">
        <f aca="false">INT(
  NETWORKDAYS(B38,V38)-1
  + IF(WEEKDAY(V38,2)&lt;6,MOD(V38+W38,1),0)
  - IF(WEEKDAY(B38,2)&lt;6,MOD(B38+C38,1),0)
)
&amp; ":" &amp;
TEXT(HOUR(
  NETWORKDAYS(B38,V38)-1
  + IF(WEEKDAY(V38,2)&lt;6,MOD(V38+W38,1),0)
  - IF(WEEKDAY(B38,2)&lt;6,MOD(B38+C38,1),0)
),"00")
&amp; ":" &amp;
TEXT(MINUTE(
  NETWORKDAYS(B38,V38)-1
  + IF(WEEKDAY(V38,2)&lt;6,MOD(V38+W38,1),0)
  - IF(WEEKDAY(B38,2)&lt;6,MOD(B38+C38,1),0)
),"00")</f>
        <v>0:23:06</v>
      </c>
      <c r="AQ38" s="0" t="n">
        <f aca="false">IFERROR(
LEFT(AP38,FIND(":",AP38)-1)
+ MID(AP38,FIND(":",AP38)+1,2)/24
+ RIGHT(AP38,2)/1440,
"")</f>
        <v>0.9625</v>
      </c>
      <c r="AR38" s="0" t="n">
        <f aca="false">WEEKNUM(B38,1)</f>
        <v>51</v>
      </c>
      <c r="AS38" s="17" t="n">
        <f aca="false">IF(B38&gt;0, (B38+C38)-TIME(13,30,0), "")</f>
        <v>46007.6256944445</v>
      </c>
      <c r="AT38" s="18" t="n">
        <f aca="false">IF(B38&gt;0, (B38+C38)-TIME(13,30,0), "")</f>
        <v>46007.6256944445</v>
      </c>
      <c r="AU38" s="17" t="n">
        <f aca="false">IF(V38&gt;0, (V38+W38)-TIME(13,30,0), "")</f>
        <v>46008.5888888889</v>
      </c>
      <c r="AV38" s="18" t="n">
        <f aca="false">IF(V38&gt;0, (V38+W38)-TIME(13,30,0), "")</f>
        <v>46008.5888888889</v>
      </c>
      <c r="AW38" s="19" t="n">
        <f aca="false">24*(
MAX(0,
IF(NETWORKDAYS(AS38,AU38)=1,
MIN(MOD(AV38,1),TIME(17,30,0)) - MAX(MOD(AT38,1),TIME(8,30,0)),
(TIME(17,30,0)-MAX(MOD(AT38,1),TIME(8,30,0)))
+ (MIN(MOD(AV38,1),TIME(17,30,0))-TIME(8,30,0))
+ (NETWORKDAYS(AS38,AU38)-2)*9/24
)
)
)</f>
        <v>8.11666666666667</v>
      </c>
      <c r="AX38" s="19" t="n">
        <f aca="false">24*(
MAX(0,
IF(NETWORKDAYS(AS38,AU38)=1,
MIN(MOD(AV38,1),TIME(17,30,0)) - MAX(MOD(AT38,1),TIME(8,30,0)),
(TIME(17,30,0)-MAX(MOD(AT38,1),TIME(8,30,0)))
+ (MIN(MOD(AV38,1),TIME(17,30,0))-TIME(8,30,0))
+ (NETWORKDAYS(AS38,AU38)-2)* (TIME(17,30,0)-TIME(8,30,0))
)
)
)</f>
        <v>8.11666666666667</v>
      </c>
      <c r="AY38" s="20" t="n">
        <f aca="false">ROUND(
IF(AS38=AU38,
MAX(0,
(MIN(MOD(AV38,1),TIME(17,30,0))-
MAX(MOD(AT38,1),TIME(8,30,0)))*24
),
(
(MAX(0,TIME(17,30,0)-MAX(MOD(AT38,1),TIME(8,30,0)))*24)
+
(MAX(0,MIN(MOD(AV38,1),TIME(17,30,0))-TIME(8,30,0))*24)
+
(MAX(0,NETWORKDAYS(AS38+1,AU38-1))*9)
)
),
2)</f>
        <v>8.12</v>
      </c>
      <c r="AZ38" s="0" t="n">
        <f aca="false" t="array" ref="AZ38:AZ38">_xlfn.XLOOKUP(J38,{"Low","Medium","High"},{270,72,24})</f>
        <v>270</v>
      </c>
      <c r="BA38" s="0" t="str">
        <f aca="false">IF(AW38&gt;AZ38,"Not Met","Met")</f>
        <v>Met</v>
      </c>
      <c r="BB38" s="21" t="str">
        <f aca="false">IF(AS38="","",TEXT(AS38,"MMM")&amp;"'"&amp;TEXT(AS38,"yy"))</f>
        <v>Dec'25</v>
      </c>
      <c r="BC38" s="0" t="str">
        <f aca="false">IF(AU38="","",TEXT(AU38,"MMM")&amp;"'"&amp;TEXT(AU38,"yy"))</f>
        <v>Dec'25</v>
      </c>
    </row>
    <row r="39" customFormat="false" ht="15" hidden="false" customHeight="false" outlineLevel="0" collapsed="false">
      <c r="A39" s="23" t="s">
        <v>238</v>
      </c>
      <c r="B39" s="24" t="n">
        <v>46008</v>
      </c>
      <c r="C39" s="12" t="n">
        <v>0.882638888888889</v>
      </c>
      <c r="D39" s="13" t="str">
        <f aca="false">IF(B39="","",TEXT(B39,"MMM")&amp;"'"&amp;TEXT(B39,"yy"))</f>
        <v>Dec'25</v>
      </c>
      <c r="E39" s="1" t="s">
        <v>55</v>
      </c>
      <c r="F39" s="1" t="s">
        <v>39</v>
      </c>
      <c r="G39" s="1" t="str">
        <f aca="false">IF(F39="Closed","Closed","Pending")</f>
        <v>Closed</v>
      </c>
      <c r="H39" s="1" t="s">
        <v>185</v>
      </c>
      <c r="I39" s="1" t="s">
        <v>223</v>
      </c>
      <c r="J39" s="1" t="s">
        <v>74</v>
      </c>
      <c r="K39" s="1" t="s">
        <v>59</v>
      </c>
      <c r="L39" s="1" t="s">
        <v>239</v>
      </c>
      <c r="M39" s="1" t="s">
        <v>240</v>
      </c>
      <c r="N39" s="1" t="s">
        <v>62</v>
      </c>
      <c r="O39" s="1" t="s">
        <v>77</v>
      </c>
      <c r="P39" s="1" t="s">
        <v>138</v>
      </c>
      <c r="Q39" s="1" t="s">
        <v>65</v>
      </c>
      <c r="U39" s="25" t="n">
        <v>46009.0083333333</v>
      </c>
      <c r="V39" s="11" t="n">
        <v>46009</v>
      </c>
      <c r="W39" s="12" t="n">
        <v>0.585416666666667</v>
      </c>
      <c r="X39" s="11" t="n">
        <v>46009</v>
      </c>
      <c r="Y39" s="12" t="n">
        <v>0.585416666666667</v>
      </c>
      <c r="Z39" s="1" t="s">
        <v>67</v>
      </c>
      <c r="AA39" s="1" t="s">
        <v>68</v>
      </c>
      <c r="AB39" s="2" t="n">
        <v>0.125694444444444</v>
      </c>
      <c r="AC39" s="14" t="str">
        <f aca="false">TEXT(((V39+W39)-(B39+C39)),"hh:mm")</f>
        <v>16:52</v>
      </c>
      <c r="AD39" s="4" t="str">
        <f aca="false">INT((V39+W39)-(B39+C39)) &amp; ":" &amp;
TEXT(HOUR((V39+W39)-(B39+C39)), "00") &amp; ":" &amp;
TEXT(MINUTE((V39+W39)-(B39+C39)), "00")</f>
        <v>0:16:52</v>
      </c>
      <c r="AE39" s="1" t="n">
        <f aca="false">IFERROR(
LEFT(AD39,FIND(":",AD39)-1)
+ MID(AD39,FIND(":",AD39)+1,2)/24
+ RIGHT(AD39,2)/1440,
"")</f>
        <v>0.702777777777778</v>
      </c>
      <c r="AF39" s="4" t="str">
        <f aca="false">INT((X39+Y39)-(B39+C39)) &amp; ":" &amp;
TEXT(HOUR((X39+Y39)-(B39+C39)), "00") &amp; ":" &amp;
TEXT(MINUTE((X39+Y39)-(B39+C39)), "00")</f>
        <v>0:16:52</v>
      </c>
      <c r="AG39" s="4" t="str">
        <f aca="false" t="array" ref="AG39:AG39">INT(_xlfn.XLOOKUP(J39,{"Low","Medium","High","Urgent"},{48,24,12,8})/24) &amp; ":" &amp;
TEXT(MOD(_xlfn.XLOOKUP(J39,{"Low","Medium","High","Urgent"},{48,24,12,8}),24)/24,"hh:mm")</f>
        <v>2:00:00</v>
      </c>
      <c r="AH39" s="4" t="str">
        <f aca="false">IF(AD39&gt;AG39,"Not Met","Met")</f>
        <v>Met</v>
      </c>
      <c r="AI39" s="4" t="str">
        <f aca="false">IF(AB39&lt;TIME(0,30,0),"Met","Not Met")</f>
        <v>Not Met</v>
      </c>
      <c r="AN39" s="1" t="str">
        <f aca="false">TEXT(B39,"dd")</f>
        <v>17</v>
      </c>
      <c r="AO39" s="1" t="str">
        <f aca="false">TEXT(X39,"dd")</f>
        <v>18</v>
      </c>
      <c r="AP39" s="16" t="str">
        <f aca="false">INT(
  NETWORKDAYS(B39,V39)-1
  + IF(WEEKDAY(V39,2)&lt;6,MOD(V39+W39,1),0)
  - IF(WEEKDAY(B39,2)&lt;6,MOD(B39+C39,1),0)
)
&amp; ":" &amp;
TEXT(HOUR(
  NETWORKDAYS(B39,V39)-1
  + IF(WEEKDAY(V39,2)&lt;6,MOD(V39+W39,1),0)
  - IF(WEEKDAY(B39,2)&lt;6,MOD(B39+C39,1),0)
),"00")
&amp; ":" &amp;
TEXT(MINUTE(
  NETWORKDAYS(B39,V39)-1
  + IF(WEEKDAY(V39,2)&lt;6,MOD(V39+W39,1),0)
  - IF(WEEKDAY(B39,2)&lt;6,MOD(B39+C39,1),0)
),"00")</f>
        <v>0:16:51</v>
      </c>
      <c r="AQ39" s="0" t="n">
        <f aca="false">IFERROR(
LEFT(AP39,FIND(":",AP39)-1)
+ MID(AP39,FIND(":",AP39)+1,2)/24
+ RIGHT(AP39,2)/1440,
"")</f>
        <v>0.702083333333333</v>
      </c>
      <c r="AR39" s="0" t="n">
        <f aca="false">WEEKNUM(B39,1)</f>
        <v>51</v>
      </c>
      <c r="AS39" s="17" t="n">
        <f aca="false">IF(B39&gt;0, (B39+C39)-TIME(13,30,0), "")</f>
        <v>46008.3201388889</v>
      </c>
      <c r="AT39" s="18" t="n">
        <f aca="false">IF(B39&gt;0, (B39+C39)-TIME(13,30,0), "")</f>
        <v>46008.3201388889</v>
      </c>
      <c r="AU39" s="17" t="n">
        <f aca="false">IF(V39&gt;0, (V39+W39)-TIME(13,30,0), "")</f>
        <v>46009.0229166667</v>
      </c>
      <c r="AV39" s="18" t="n">
        <f aca="false">IF(V39&gt;0, (V39+W39)-TIME(13,30,0), "")</f>
        <v>46009.0229166667</v>
      </c>
      <c r="AW39" s="19" t="n">
        <f aca="false">24*(
MAX(0,
IF(NETWORKDAYS(AS39,AU39)=1,
MIN(MOD(AV39,1),TIME(17,30,0)) - MAX(MOD(AT39,1),TIME(8,30,0)),
(TIME(17,30,0)-MAX(MOD(AT39,1),TIME(8,30,0)))
+ (MIN(MOD(AV39,1),TIME(17,30,0))-TIME(8,30,0))
+ (NETWORKDAYS(AS39,AU39)-2)*9/24
)
)
)</f>
        <v>1.05</v>
      </c>
      <c r="AX39" s="19" t="n">
        <f aca="false">24*(
MAX(0,
IF(NETWORKDAYS(AS39,AU39)=1,
MIN(MOD(AV39,1),TIME(17,30,0)) - MAX(MOD(AT39,1),TIME(8,30,0)),
(TIME(17,30,0)-MAX(MOD(AT39,1),TIME(8,30,0)))
+ (MIN(MOD(AV39,1),TIME(17,30,0))-TIME(8,30,0))
+ (NETWORKDAYS(AS39,AU39)-2)* (TIME(17,30,0)-TIME(8,30,0))
)
)
)</f>
        <v>1.05</v>
      </c>
      <c r="AY39" s="20" t="n">
        <f aca="false">ROUND(
IF(AS39=AU39,
MAX(0,
(MIN(MOD(AV39,1),TIME(17,30,0))-
MAX(MOD(AT39,1),TIME(8,30,0)))*24
),
(
(MAX(0,TIME(17,30,0)-MAX(MOD(AT39,1),TIME(8,30,0)))*24)
+
(MAX(0,MIN(MOD(AV39,1),TIME(17,30,0))-TIME(8,30,0))*24)
+
(MAX(0,NETWORKDAYS(AS39+1,AU39-1))*9)
)
),
2)</f>
        <v>9</v>
      </c>
      <c r="AZ39" s="0" t="n">
        <f aca="false" t="array" ref="AZ39:AZ39">_xlfn.XLOOKUP(J39,{"Low","Medium","High"},{270,72,24})</f>
        <v>270</v>
      </c>
      <c r="BA39" s="0" t="str">
        <f aca="false">IF(AW39&gt;AZ39,"Not Met","Met")</f>
        <v>Met</v>
      </c>
      <c r="BB39" s="21" t="str">
        <f aca="false">IF(AS39="","",TEXT(AS39,"MMM")&amp;"'"&amp;TEXT(AS39,"yy"))</f>
        <v>Dec'25</v>
      </c>
      <c r="BC39" s="0" t="str">
        <f aca="false">IF(AU39="","",TEXT(AU39,"MMM")&amp;"'"&amp;TEXT(AU39,"yy"))</f>
        <v>Dec'25</v>
      </c>
    </row>
    <row r="40" customFormat="false" ht="15" hidden="false" customHeight="false" outlineLevel="0" collapsed="false">
      <c r="A40" s="23" t="s">
        <v>241</v>
      </c>
      <c r="B40" s="24" t="n">
        <v>46008</v>
      </c>
      <c r="C40" s="12" t="n">
        <v>0.892361111111111</v>
      </c>
      <c r="D40" s="13" t="str">
        <f aca="false">IF(B40="","",TEXT(B40,"MMM")&amp;"'"&amp;TEXT(B40,"yy"))</f>
        <v>Dec'25</v>
      </c>
      <c r="E40" s="1" t="s">
        <v>55</v>
      </c>
      <c r="F40" s="1" t="s">
        <v>39</v>
      </c>
      <c r="G40" s="1" t="str">
        <f aca="false">IF(F40="Closed","Closed","Pending")</f>
        <v>Closed</v>
      </c>
      <c r="H40" s="1" t="s">
        <v>185</v>
      </c>
      <c r="I40" s="1" t="s">
        <v>223</v>
      </c>
      <c r="J40" s="1" t="s">
        <v>74</v>
      </c>
      <c r="K40" s="1" t="s">
        <v>59</v>
      </c>
      <c r="L40" s="1" t="s">
        <v>242</v>
      </c>
      <c r="M40" s="1" t="s">
        <v>243</v>
      </c>
      <c r="N40" s="1" t="s">
        <v>62</v>
      </c>
      <c r="O40" s="1" t="s">
        <v>63</v>
      </c>
      <c r="P40" s="1" t="s">
        <v>138</v>
      </c>
      <c r="Q40" s="1" t="s">
        <v>229</v>
      </c>
      <c r="U40" s="25" t="n">
        <v>46009.0069444444</v>
      </c>
      <c r="V40" s="11" t="n">
        <v>46009</v>
      </c>
      <c r="W40" s="12" t="n">
        <v>0.940277777777778</v>
      </c>
      <c r="X40" s="11" t="n">
        <v>46009</v>
      </c>
      <c r="Y40" s="12" t="n">
        <v>0.950694444444444</v>
      </c>
      <c r="Z40" s="1" t="s">
        <v>67</v>
      </c>
      <c r="AA40" s="1" t="s">
        <v>68</v>
      </c>
      <c r="AB40" s="2" t="n">
        <v>0.107638888888889</v>
      </c>
      <c r="AC40" s="14" t="str">
        <f aca="false">TEXT(((V40+W40)-(B40+C40)),"hh:mm")</f>
        <v>01:09</v>
      </c>
      <c r="AD40" s="4" t="str">
        <f aca="false">INT((V40+W40)-(B40+C40)) &amp; ":" &amp;
TEXT(HOUR((V40+W40)-(B40+C40)), "00") &amp; ":" &amp;
TEXT(MINUTE((V40+W40)-(B40+C40)), "00")</f>
        <v>1:01:09</v>
      </c>
      <c r="AE40" s="1" t="n">
        <f aca="false">IFERROR(
LEFT(AD40,FIND(":",AD40)-1)
+ MID(AD40,FIND(":",AD40)+1,2)/24
+ RIGHT(AD40,2)/1440,
"")</f>
        <v>1.04791666666667</v>
      </c>
      <c r="AF40" s="4" t="str">
        <f aca="false">INT((X40+Y40)-(B40+C40)) &amp; ":" &amp;
TEXT(HOUR((X40+Y40)-(B40+C40)), "00") &amp; ":" &amp;
TEXT(MINUTE((X40+Y40)-(B40+C40)), "00")</f>
        <v>1:01:24</v>
      </c>
      <c r="AG40" s="4" t="str">
        <f aca="false" t="array" ref="AG40:AG40">INT(_xlfn.XLOOKUP(J40,{"Low","Medium","High","Urgent"},{48,24,12,8})/24) &amp; ":" &amp;
TEXT(MOD(_xlfn.XLOOKUP(J40,{"Low","Medium","High","Urgent"},{48,24,12,8}),24)/24,"hh:mm")</f>
        <v>2:00:00</v>
      </c>
      <c r="AH40" s="4" t="str">
        <f aca="false">IF(AD40&gt;AG40,"Not Met","Met")</f>
        <v>Met</v>
      </c>
      <c r="AI40" s="4" t="str">
        <f aca="false">IF(AB40&lt;TIME(0,30,0),"Met","Not Met")</f>
        <v>Not Met</v>
      </c>
      <c r="AN40" s="1" t="str">
        <f aca="false">TEXT(B40,"dd")</f>
        <v>17</v>
      </c>
      <c r="AO40" s="1" t="str">
        <f aca="false">TEXT(X40,"dd")</f>
        <v>18</v>
      </c>
      <c r="AP40" s="16" t="str">
        <f aca="false">INT(
  NETWORKDAYS(B40,V40)-1
  + IF(WEEKDAY(V40,2)&lt;6,MOD(V40+W40,1),0)
  - IF(WEEKDAY(B40,2)&lt;6,MOD(B40+C40,1),0)
)
&amp; ":" &amp;
TEXT(HOUR(
  NETWORKDAYS(B40,V40)-1
  + IF(WEEKDAY(V40,2)&lt;6,MOD(V40+W40,1),0)
  - IF(WEEKDAY(B40,2)&lt;6,MOD(B40+C40,1),0)
),"00")
&amp; ":" &amp;
TEXT(MINUTE(
  NETWORKDAYS(B40,V40)-1
  + IF(WEEKDAY(V40,2)&lt;6,MOD(V40+W40,1),0)
  - IF(WEEKDAY(B40,2)&lt;6,MOD(B40+C40,1),0)
),"00")</f>
        <v>1:01:09</v>
      </c>
      <c r="AQ40" s="0" t="n">
        <f aca="false">IFERROR(
LEFT(AP40,FIND(":",AP40)-1)
+ MID(AP40,FIND(":",AP40)+1,2)/24
+ RIGHT(AP40,2)/1440,
"")</f>
        <v>1.04791666666667</v>
      </c>
      <c r="AR40" s="0" t="n">
        <f aca="false">WEEKNUM(B40,1)</f>
        <v>51</v>
      </c>
      <c r="AS40" s="17" t="n">
        <f aca="false">IF(B40&gt;0, (B40+C40)-TIME(13,30,0), "")</f>
        <v>46008.3298611111</v>
      </c>
      <c r="AT40" s="18" t="n">
        <f aca="false">IF(B40&gt;0, (B40+C40)-TIME(13,30,0), "")</f>
        <v>46008.3298611111</v>
      </c>
      <c r="AU40" s="17" t="n">
        <f aca="false">IF(V40&gt;0, (V40+W40)-TIME(13,30,0), "")</f>
        <v>46009.3777777778</v>
      </c>
      <c r="AV40" s="18" t="n">
        <f aca="false">IF(V40&gt;0, (V40+W40)-TIME(13,30,0), "")</f>
        <v>46009.3777777778</v>
      </c>
      <c r="AW40" s="19" t="n">
        <f aca="false">24*(
MAX(0,
IF(NETWORKDAYS(AS40,AU40)=1,
MIN(MOD(AV40,1),TIME(17,30,0)) - MAX(MOD(AT40,1),TIME(8,30,0)),
(TIME(17,30,0)-MAX(MOD(AT40,1),TIME(8,30,0)))
+ (MIN(MOD(AV40,1),TIME(17,30,0))-TIME(8,30,0))
+ (NETWORKDAYS(AS40,AU40)-2)*9/24
)
)
)</f>
        <v>9.56666666666667</v>
      </c>
      <c r="AX40" s="19" t="n">
        <f aca="false">24*(
MAX(0,
IF(NETWORKDAYS(AS40,AU40)=1,
MIN(MOD(AV40,1),TIME(17,30,0)) - MAX(MOD(AT40,1),TIME(8,30,0)),
(TIME(17,30,0)-MAX(MOD(AT40,1),TIME(8,30,0)))
+ (MIN(MOD(AV40,1),TIME(17,30,0))-TIME(8,30,0))
+ (NETWORKDAYS(AS40,AU40)-2)* (TIME(17,30,0)-TIME(8,30,0))
)
)
)</f>
        <v>9.56666666666667</v>
      </c>
      <c r="AY40" s="20" t="n">
        <f aca="false">ROUND(
IF(AS40=AU40,
MAX(0,
(MIN(MOD(AV40,1),TIME(17,30,0))-
MAX(MOD(AT40,1),TIME(8,30,0)))*24
),
(
(MAX(0,TIME(17,30,0)-MAX(MOD(AT40,1),TIME(8,30,0)))*24)
+
(MAX(0,MIN(MOD(AV40,1),TIME(17,30,0))-TIME(8,30,0))*24)
+
(MAX(0,NETWORKDAYS(AS40+1,AU40-1))*9)
)
),
2)</f>
        <v>9.57</v>
      </c>
      <c r="AZ40" s="0" t="n">
        <f aca="false" t="array" ref="AZ40:AZ40">_xlfn.XLOOKUP(J40,{"Low","Medium","High"},{270,72,24})</f>
        <v>270</v>
      </c>
      <c r="BA40" s="0" t="str">
        <f aca="false">IF(AW40&gt;AZ40,"Not Met","Met")</f>
        <v>Met</v>
      </c>
      <c r="BB40" s="21" t="str">
        <f aca="false">IF(AS40="","",TEXT(AS40,"MMM")&amp;"'"&amp;TEXT(AS40,"yy"))</f>
        <v>Dec'25</v>
      </c>
      <c r="BC40" s="0" t="str">
        <f aca="false">IF(AU40="","",TEXT(AU40,"MMM")&amp;"'"&amp;TEXT(AU40,"yy"))</f>
        <v>Dec'25</v>
      </c>
    </row>
    <row r="41" customFormat="false" ht="15" hidden="false" customHeight="false" outlineLevel="0" collapsed="false">
      <c r="A41" s="23" t="s">
        <v>244</v>
      </c>
      <c r="B41" s="24" t="n">
        <v>46008</v>
      </c>
      <c r="C41" s="12" t="n">
        <v>0.968055555555556</v>
      </c>
      <c r="D41" s="13" t="str">
        <f aca="false">IF(B41="","",TEXT(B41,"MMM")&amp;"'"&amp;TEXT(B41,"yy"))</f>
        <v>Dec'25</v>
      </c>
      <c r="E41" s="1" t="s">
        <v>55</v>
      </c>
      <c r="F41" s="1" t="s">
        <v>39</v>
      </c>
      <c r="G41" s="1" t="str">
        <f aca="false">IF(F41="Closed","Closed","Pending")</f>
        <v>Closed</v>
      </c>
      <c r="H41" s="1" t="s">
        <v>56</v>
      </c>
      <c r="I41" s="1" t="s">
        <v>82</v>
      </c>
      <c r="J41" s="1" t="s">
        <v>74</v>
      </c>
      <c r="K41" s="1" t="s">
        <v>59</v>
      </c>
      <c r="L41" s="1" t="s">
        <v>245</v>
      </c>
      <c r="M41" s="1" t="s">
        <v>245</v>
      </c>
      <c r="N41" s="1" t="s">
        <v>65</v>
      </c>
      <c r="O41" s="1" t="s">
        <v>106</v>
      </c>
      <c r="Q41" s="1" t="s">
        <v>65</v>
      </c>
      <c r="U41" s="25" t="n">
        <v>46009.0048611111</v>
      </c>
      <c r="V41" s="11" t="n">
        <v>46009</v>
      </c>
      <c r="W41" s="12" t="n">
        <v>0.942361111111111</v>
      </c>
      <c r="X41" s="11" t="n">
        <v>46028</v>
      </c>
      <c r="Y41" s="12" t="n">
        <v>0.152777777777778</v>
      </c>
      <c r="Z41" s="1" t="s">
        <v>67</v>
      </c>
      <c r="AA41" s="1" t="s">
        <v>68</v>
      </c>
      <c r="AB41" s="2" t="n">
        <v>0.0368055555555556</v>
      </c>
      <c r="AC41" s="14" t="str">
        <f aca="false">TEXT(((V41+W41)-(B41+C41)),"hh:mm")</f>
        <v>23:23</v>
      </c>
      <c r="AD41" s="4" t="str">
        <f aca="false">INT((V41+W41)-(B41+C41)) &amp; ":" &amp;
TEXT(HOUR((V41+W41)-(B41+C41)), "00") &amp; ":" &amp;
TEXT(MINUTE((V41+W41)-(B41+C41)), "00")</f>
        <v>0:23:23</v>
      </c>
      <c r="AE41" s="1" t="n">
        <f aca="false">IFERROR(
LEFT(AD41,FIND(":",AD41)-1)
+ MID(AD41,FIND(":",AD41)+1,2)/24
+ RIGHT(AD41,2)/1440,
"")</f>
        <v>0.974305555555556</v>
      </c>
      <c r="AF41" s="4" t="str">
        <f aca="false">INT((X41+Y41)-(B41+C41)) &amp; ":" &amp;
TEXT(HOUR((X41+Y41)-(B41+C41)), "00") &amp; ":" &amp;
TEXT(MINUTE((X41+Y41)-(B41+C41)), "00")</f>
        <v>19:04:26</v>
      </c>
      <c r="AG41" s="4" t="str">
        <f aca="false" t="array" ref="AG41:AG41">INT(_xlfn.XLOOKUP(J41,{"Low","Medium","High","Urgent"},{48,24,12,8})/24) &amp; ":" &amp;
TEXT(MOD(_xlfn.XLOOKUP(J41,{"Low","Medium","High","Urgent"},{48,24,12,8}),24)/24,"hh:mm")</f>
        <v>2:00:00</v>
      </c>
      <c r="AH41" s="4" t="str">
        <f aca="false">IF(AD41&gt;AG41,"Not Met","Met")</f>
        <v>Met</v>
      </c>
      <c r="AI41" s="4" t="str">
        <f aca="false">IF(AB41&lt;TIME(0,30,0),"Met","Not Met")</f>
        <v>Not Met</v>
      </c>
      <c r="AN41" s="1" t="str">
        <f aca="false">TEXT(B41,"dd")</f>
        <v>17</v>
      </c>
      <c r="AO41" s="1" t="str">
        <f aca="false">TEXT(X41,"dd")</f>
        <v>06</v>
      </c>
      <c r="AP41" s="16" t="str">
        <f aca="false">INT(
  NETWORKDAYS(B41,V41)-1
  + IF(WEEKDAY(V41,2)&lt;6,MOD(V41+W41,1),0)
  - IF(WEEKDAY(B41,2)&lt;6,MOD(B41+C41,1),0)
)
&amp; ":" &amp;
TEXT(HOUR(
  NETWORKDAYS(B41,V41)-1
  + IF(WEEKDAY(V41,2)&lt;6,MOD(V41+W41,1),0)
  - IF(WEEKDAY(B41,2)&lt;6,MOD(B41+C41,1),0)
),"00")
&amp; ":" &amp;
TEXT(MINUTE(
  NETWORKDAYS(B41,V41)-1
  + IF(WEEKDAY(V41,2)&lt;6,MOD(V41+W41,1),0)
  - IF(WEEKDAY(B41,2)&lt;6,MOD(B41+C41,1),0)
),"00")</f>
        <v>0:23:23</v>
      </c>
      <c r="AQ41" s="0" t="n">
        <f aca="false">IFERROR(
LEFT(AP41,FIND(":",AP41)-1)
+ MID(AP41,FIND(":",AP41)+1,2)/24
+ RIGHT(AP41,2)/1440,
"")</f>
        <v>0.974305555555556</v>
      </c>
      <c r="AR41" s="0" t="n">
        <f aca="false">WEEKNUM(B41,1)</f>
        <v>51</v>
      </c>
      <c r="AS41" s="17" t="n">
        <f aca="false">IF(B41&gt;0, (B41+C41)-TIME(13,30,0), "")</f>
        <v>46008.4055555556</v>
      </c>
      <c r="AT41" s="18" t="n">
        <f aca="false">IF(B41&gt;0, (B41+C41)-TIME(13,30,0), "")</f>
        <v>46008.4055555556</v>
      </c>
      <c r="AU41" s="17" t="n">
        <f aca="false">IF(V41&gt;0, (V41+W41)-TIME(13,30,0), "")</f>
        <v>46009.3798611111</v>
      </c>
      <c r="AV41" s="18" t="n">
        <f aca="false">IF(V41&gt;0, (V41+W41)-TIME(13,30,0), "")</f>
        <v>46009.3798611111</v>
      </c>
      <c r="AW41" s="19" t="n">
        <f aca="false">24*(
MAX(0,
IF(NETWORKDAYS(AS41,AU41)=1,
MIN(MOD(AV41,1),TIME(17,30,0)) - MAX(MOD(AT41,1),TIME(8,30,0)),
(TIME(17,30,0)-MAX(MOD(AT41,1),TIME(8,30,0)))
+ (MIN(MOD(AV41,1),TIME(17,30,0))-TIME(8,30,0))
+ (NETWORKDAYS(AS41,AU41)-2)*9/24
)
)
)</f>
        <v>8.38333333333333</v>
      </c>
      <c r="AX41" s="19" t="n">
        <f aca="false">24*(
MAX(0,
IF(NETWORKDAYS(AS41,AU41)=1,
MIN(MOD(AV41,1),TIME(17,30,0)) - MAX(MOD(AT41,1),TIME(8,30,0)),
(TIME(17,30,0)-MAX(MOD(AT41,1),TIME(8,30,0)))
+ (MIN(MOD(AV41,1),TIME(17,30,0))-TIME(8,30,0))
+ (NETWORKDAYS(AS41,AU41)-2)* (TIME(17,30,0)-TIME(8,30,0))
)
)
)</f>
        <v>8.38333333333333</v>
      </c>
      <c r="AY41" s="20" t="n">
        <f aca="false">ROUND(
IF(AS41=AU41,
MAX(0,
(MIN(MOD(AV41,1),TIME(17,30,0))-
MAX(MOD(AT41,1),TIME(8,30,0)))*24
),
(
(MAX(0,TIME(17,30,0)-MAX(MOD(AT41,1),TIME(8,30,0)))*24)
+
(MAX(0,MIN(MOD(AV41,1),TIME(17,30,0))-TIME(8,30,0))*24)
+
(MAX(0,NETWORKDAYS(AS41+1,AU41-1))*9)
)
),
2)</f>
        <v>8.38</v>
      </c>
      <c r="AZ41" s="0" t="n">
        <f aca="false" t="array" ref="AZ41:AZ41">_xlfn.XLOOKUP(J41,{"Low","Medium","High"},{270,72,24})</f>
        <v>270</v>
      </c>
      <c r="BA41" s="0" t="str">
        <f aca="false">IF(AW41&gt;AZ41,"Not Met","Met")</f>
        <v>Met</v>
      </c>
      <c r="BB41" s="21" t="str">
        <f aca="false">IF(AS41="","",TEXT(AS41,"MMM")&amp;"'"&amp;TEXT(AS41,"yy"))</f>
        <v>Dec'25</v>
      </c>
      <c r="BC41" s="0" t="str">
        <f aca="false">IF(AU41="","",TEXT(AU41,"MMM")&amp;"'"&amp;TEXT(AU41,"yy"))</f>
        <v>Dec'25</v>
      </c>
    </row>
    <row r="42" customFormat="false" ht="15" hidden="false" customHeight="false" outlineLevel="0" collapsed="false">
      <c r="A42" s="23" t="s">
        <v>246</v>
      </c>
      <c r="B42" s="11" t="n">
        <v>46009</v>
      </c>
      <c r="C42" s="12" t="n">
        <v>0.0395833333333333</v>
      </c>
      <c r="D42" s="13" t="str">
        <f aca="false">IF(B42="","",TEXT(B42,"MMM")&amp;"'"&amp;TEXT(B42,"yy"))</f>
        <v>Dec'25</v>
      </c>
      <c r="E42" s="1" t="s">
        <v>55</v>
      </c>
      <c r="F42" s="1" t="s">
        <v>39</v>
      </c>
      <c r="G42" s="1" t="str">
        <f aca="false">IF(F42="Closed","Closed","Pending")</f>
        <v>Closed</v>
      </c>
      <c r="H42" s="1" t="s">
        <v>56</v>
      </c>
      <c r="I42" s="1" t="s">
        <v>82</v>
      </c>
      <c r="J42" s="1" t="s">
        <v>58</v>
      </c>
      <c r="K42" s="1" t="s">
        <v>59</v>
      </c>
      <c r="L42" s="1" t="s">
        <v>247</v>
      </c>
      <c r="M42" s="1" t="s">
        <v>248</v>
      </c>
      <c r="N42" s="1" t="s">
        <v>62</v>
      </c>
      <c r="O42" s="1" t="s">
        <v>63</v>
      </c>
      <c r="U42" s="12" t="n">
        <v>0.0520833333333333</v>
      </c>
      <c r="V42" s="11" t="n">
        <v>46010</v>
      </c>
      <c r="W42" s="12" t="n">
        <v>0.925</v>
      </c>
      <c r="X42" s="11" t="n">
        <v>46014</v>
      </c>
      <c r="Y42" s="12" t="n">
        <v>0.179861111111111</v>
      </c>
      <c r="Z42" s="1" t="s">
        <v>67</v>
      </c>
      <c r="AA42" s="1" t="s">
        <v>68</v>
      </c>
      <c r="AB42" s="2" t="n">
        <f aca="false">U42-C42</f>
        <v>0.0125</v>
      </c>
      <c r="AC42" s="14" t="str">
        <f aca="false">TEXT(((V42+W42)-(B42+C42)),"hh:mm")</f>
        <v>21:15</v>
      </c>
      <c r="AD42" s="4" t="str">
        <f aca="false">INT((V42+W42)-(B42+C42)) &amp; ":" &amp;
TEXT(HOUR((V42+W42)-(B42+C42)), "00") &amp; ":" &amp;
TEXT(MINUTE((V42+W42)-(B42+C42)), "00")</f>
        <v>1:21:15</v>
      </c>
      <c r="AE42" s="1" t="n">
        <f aca="false">IFERROR(
LEFT(AD42,FIND(":",AD42)-1)
+ MID(AD42,FIND(":",AD42)+1,2)/24
+ RIGHT(AD42,2)/1440,
"")</f>
        <v>1.88541666666667</v>
      </c>
      <c r="AF42" s="4" t="str">
        <f aca="false">INT((X42+Y42)-(B42+C42)) &amp; ":" &amp;
TEXT(HOUR((X42+Y42)-(B42+C42)), "00") &amp; ":" &amp;
TEXT(MINUTE((X42+Y42)-(B42+C42)), "00")</f>
        <v>5:03:22</v>
      </c>
      <c r="AG42" s="4" t="str">
        <f aca="false" t="array" ref="AG42:AG42">INT(_xlfn.XLOOKUP(J42,{"Low","Medium","High","Urgent"},{48,24,12,8})/24) &amp; ":" &amp;
TEXT(MOD(_xlfn.XLOOKUP(J42,{"Low","Medium","High","Urgent"},{48,24,12,8}),24)/24,"hh:mm")</f>
        <v>1:00:00</v>
      </c>
      <c r="AH42" s="4" t="str">
        <f aca="false">IF(AD42&gt;AG42,"Not Met","Met")</f>
        <v>Not Met</v>
      </c>
      <c r="AI42" s="4" t="str">
        <f aca="false">IF(AB42&lt;TIME(0,30,0),"Met","Not Met")</f>
        <v>Met</v>
      </c>
      <c r="AN42" s="1" t="str">
        <f aca="false">TEXT(B42,"dd")</f>
        <v>18</v>
      </c>
      <c r="AO42" s="1" t="str">
        <f aca="false">TEXT(X42,"dd")</f>
        <v>23</v>
      </c>
      <c r="AP42" s="16" t="str">
        <f aca="false">INT(
  NETWORKDAYS(B42,V42)-1
  + IF(WEEKDAY(V42,2)&lt;6,MOD(V42+W42,1),0)
  - IF(WEEKDAY(B42,2)&lt;6,MOD(B42+C42,1),0)
)
&amp; ":" &amp;
TEXT(HOUR(
  NETWORKDAYS(B42,V42)-1
  + IF(WEEKDAY(V42,2)&lt;6,MOD(V42+W42,1),0)
  - IF(WEEKDAY(B42,2)&lt;6,MOD(B42+C42,1),0)
),"00")
&amp; ":" &amp;
TEXT(MINUTE(
  NETWORKDAYS(B42,V42)-1
  + IF(WEEKDAY(V42,2)&lt;6,MOD(V42+W42,1),0)
  - IF(WEEKDAY(B42,2)&lt;6,MOD(B42+C42,1),0)
),"00")</f>
        <v>1:21:15</v>
      </c>
      <c r="AQ42" s="0" t="n">
        <f aca="false">IFERROR(
LEFT(AP42,FIND(":",AP42)-1)
+ MID(AP42,FIND(":",AP42)+1,2)/24
+ RIGHT(AP42,2)/1440,
"")</f>
        <v>1.88541666666667</v>
      </c>
      <c r="AR42" s="0" t="n">
        <f aca="false">WEEKNUM(B42,1)</f>
        <v>51</v>
      </c>
      <c r="AS42" s="17" t="n">
        <f aca="false">IF(B42&gt;0, (B42+C42)-TIME(13,30,0), "")</f>
        <v>46008.4770833333</v>
      </c>
      <c r="AT42" s="18" t="n">
        <f aca="false">IF(B42&gt;0, (B42+C42)-TIME(13,30,0), "")</f>
        <v>46008.4770833333</v>
      </c>
      <c r="AU42" s="17" t="n">
        <f aca="false">IF(V42&gt;0, (V42+W42)-TIME(13,30,0), "")</f>
        <v>46010.3625</v>
      </c>
      <c r="AV42" s="18" t="n">
        <f aca="false">IF(V42&gt;0, (V42+W42)-TIME(13,30,0), "")</f>
        <v>46010.3625</v>
      </c>
      <c r="AW42" s="19" t="n">
        <f aca="false">24*(
MAX(0,
IF(NETWORKDAYS(AS42,AU42)=1,
MIN(MOD(AV42,1),TIME(17,30,0)) - MAX(MOD(AT42,1),TIME(8,30,0)),
(TIME(17,30,0)-MAX(MOD(AT42,1),TIME(8,30,0)))
+ (MIN(MOD(AV42,1),TIME(17,30,0))-TIME(8,30,0))
+ (NETWORKDAYS(AS42,AU42)-2)*9/24
)
)
)</f>
        <v>15.25</v>
      </c>
      <c r="AX42" s="19" t="n">
        <f aca="false">24*(
MAX(0,
IF(NETWORKDAYS(AS42,AU42)=1,
MIN(MOD(AV42,1),TIME(17,30,0)) - MAX(MOD(AT42,1),TIME(8,30,0)),
(TIME(17,30,0)-MAX(MOD(AT42,1),TIME(8,30,0)))
+ (MIN(MOD(AV42,1),TIME(17,30,0))-TIME(8,30,0))
+ (NETWORKDAYS(AS42,AU42)-2)* (TIME(17,30,0)-TIME(8,30,0))
)
)
)</f>
        <v>15.25</v>
      </c>
      <c r="AY42" s="20" t="n">
        <f aca="false">ROUND(
IF(AS42=AU42,
MAX(0,
(MIN(MOD(AV42,1),TIME(17,30,0))-
MAX(MOD(AT42,1),TIME(8,30,0)))*24
),
(
(MAX(0,TIME(17,30,0)-MAX(MOD(AT42,1),TIME(8,30,0)))*24)
+
(MAX(0,MIN(MOD(AV42,1),TIME(17,30,0))-TIME(8,30,0))*24)
+
(MAX(0,NETWORKDAYS(AS42+1,AU42-1))*9)
)
),
2)</f>
        <v>15.25</v>
      </c>
      <c r="AZ42" s="0" t="n">
        <f aca="false" t="array" ref="AZ42:AZ42">_xlfn.XLOOKUP(J42,{"Low","Medium","High"},{270,72,24})</f>
        <v>72</v>
      </c>
      <c r="BA42" s="0" t="str">
        <f aca="false">IF(AW42&gt;AZ42,"Not Met","Met")</f>
        <v>Met</v>
      </c>
      <c r="BB42" s="21" t="str">
        <f aca="false">IF(AS42="","",TEXT(AS42,"MMM")&amp;"'"&amp;TEXT(AS42,"yy"))</f>
        <v>Dec'25</v>
      </c>
      <c r="BC42" s="0" t="str">
        <f aca="false">IF(AU42="","",TEXT(AU42,"MMM")&amp;"'"&amp;TEXT(AU42,"yy"))</f>
        <v>Dec'25</v>
      </c>
    </row>
    <row r="43" customFormat="false" ht="15" hidden="false" customHeight="false" outlineLevel="0" collapsed="false">
      <c r="A43" s="23" t="s">
        <v>249</v>
      </c>
      <c r="B43" s="11" t="n">
        <v>46009</v>
      </c>
      <c r="C43" s="12" t="n">
        <v>0.0527777777777778</v>
      </c>
      <c r="D43" s="13" t="str">
        <f aca="false">IF(B43="","",TEXT(B43,"MMM")&amp;"'"&amp;TEXT(B43,"yy"))</f>
        <v>Dec'25</v>
      </c>
      <c r="E43" s="1" t="s">
        <v>55</v>
      </c>
      <c r="F43" s="1" t="s">
        <v>39</v>
      </c>
      <c r="G43" s="1" t="str">
        <f aca="false">IF(F43="Closed","Closed","Pending")</f>
        <v>Closed</v>
      </c>
      <c r="H43" s="1" t="s">
        <v>120</v>
      </c>
      <c r="I43" s="1" t="s">
        <v>126</v>
      </c>
      <c r="J43" s="1" t="s">
        <v>74</v>
      </c>
      <c r="K43" s="1" t="s">
        <v>59</v>
      </c>
      <c r="L43" s="1" t="s">
        <v>250</v>
      </c>
      <c r="M43" s="1" t="s">
        <v>204</v>
      </c>
      <c r="N43" s="1" t="s">
        <v>65</v>
      </c>
      <c r="O43" s="1" t="s">
        <v>106</v>
      </c>
      <c r="Q43" s="1" t="s">
        <v>86</v>
      </c>
      <c r="U43" s="12" t="n">
        <v>0.0861111111111111</v>
      </c>
      <c r="V43" s="11" t="n">
        <v>46015</v>
      </c>
      <c r="W43" s="12" t="n">
        <v>0.953472222222222</v>
      </c>
      <c r="X43" s="11" t="n">
        <v>46028</v>
      </c>
      <c r="Y43" s="12" t="n">
        <v>0.0347222222222222</v>
      </c>
      <c r="Z43" s="1" t="s">
        <v>67</v>
      </c>
      <c r="AA43" s="1" t="s">
        <v>68</v>
      </c>
      <c r="AB43" s="2" t="n">
        <f aca="false">U43-C43</f>
        <v>0.0333333333333333</v>
      </c>
      <c r="AC43" s="14" t="str">
        <f aca="false">TEXT(((V43+W43)-(B43+C43)),"hh:mm")</f>
        <v>21:37</v>
      </c>
      <c r="AD43" s="4" t="str">
        <f aca="false">INT((V43+W43)-(B43+C43)) &amp; ":" &amp;
TEXT(HOUR((V43+W43)-(B43+C43)), "00") &amp; ":" &amp;
TEXT(MINUTE((V43+W43)-(B43+C43)), "00")</f>
        <v>6:21:37</v>
      </c>
      <c r="AE43" s="1" t="n">
        <f aca="false">IFERROR(
LEFT(AD43,FIND(":",AD43)-1)
+ MID(AD43,FIND(":",AD43)+1,2)/24
+ RIGHT(AD43,2)/1440,
"")</f>
        <v>6.90069444444444</v>
      </c>
      <c r="AF43" s="4" t="str">
        <f aca="false">INT((X43+Y43)-(B43+C43)) &amp; ":" &amp;
TEXT(HOUR((X43+Y43)-(B43+C43)), "00") &amp; ":" &amp;
TEXT(MINUTE((X43+Y43)-(B43+C43)), "00")</f>
        <v>18:23:34</v>
      </c>
      <c r="AG43" s="4" t="str">
        <f aca="false" t="array" ref="AG43:AG43">INT(_xlfn.XLOOKUP(J43,{"Low","Medium","High","Urgent"},{48,24,12,8})/24) &amp; ":" &amp;
TEXT(MOD(_xlfn.XLOOKUP(J43,{"Low","Medium","High","Urgent"},{48,24,12,8}),24)/24,"hh:mm")</f>
        <v>2:00:00</v>
      </c>
      <c r="AH43" s="4" t="str">
        <f aca="false">IF(AD43&gt;AG43,"Not Met","Met")</f>
        <v>Not Met</v>
      </c>
      <c r="AI43" s="4" t="str">
        <f aca="false">IF(AB43&lt;TIME(0,30,0),"Met","Not Met")</f>
        <v>Not Met</v>
      </c>
      <c r="AN43" s="1" t="str">
        <f aca="false">TEXT(B43,"dd")</f>
        <v>18</v>
      </c>
      <c r="AO43" s="1" t="str">
        <f aca="false">TEXT(X43,"dd")</f>
        <v>06</v>
      </c>
      <c r="AP43" s="16" t="str">
        <f aca="false">INT(
  NETWORKDAYS(B43,V43)-1
  + IF(WEEKDAY(V43,2)&lt;6,MOD(V43+W43,1),0)
  - IF(WEEKDAY(B43,2)&lt;6,MOD(B43+C43,1),0)
)
&amp; ":" &amp;
TEXT(HOUR(
  NETWORKDAYS(B43,V43)-1
  + IF(WEEKDAY(V43,2)&lt;6,MOD(V43+W43,1),0)
  - IF(WEEKDAY(B43,2)&lt;6,MOD(B43+C43,1),0)
),"00")
&amp; ":" &amp;
TEXT(MINUTE(
  NETWORKDAYS(B43,V43)-1
  + IF(WEEKDAY(V43,2)&lt;6,MOD(V43+W43,1),0)
  - IF(WEEKDAY(B43,2)&lt;6,MOD(B43+C43,1),0)
),"00")</f>
        <v>4:21:37</v>
      </c>
      <c r="AQ43" s="0" t="n">
        <f aca="false">IFERROR(
LEFT(AP43,FIND(":",AP43)-1)
+ MID(AP43,FIND(":",AP43)+1,2)/24
+ RIGHT(AP43,2)/1440,
"")</f>
        <v>4.90069444444444</v>
      </c>
      <c r="AR43" s="0" t="n">
        <f aca="false">WEEKNUM(B43,1)</f>
        <v>51</v>
      </c>
      <c r="AS43" s="17" t="n">
        <f aca="false">IF(B43&gt;0, (B43+C43)-TIME(13,30,0), "")</f>
        <v>46008.4902777778</v>
      </c>
      <c r="AT43" s="18" t="n">
        <f aca="false">IF(B43&gt;0, (B43+C43)-TIME(13,30,0), "")</f>
        <v>46008.4902777778</v>
      </c>
      <c r="AU43" s="17" t="n">
        <f aca="false">IF(V43&gt;0, (V43+W43)-TIME(13,30,0), "")</f>
        <v>46015.3909722222</v>
      </c>
      <c r="AV43" s="18" t="n">
        <f aca="false">IF(V43&gt;0, (V43+W43)-TIME(13,30,0), "")</f>
        <v>46015.3909722222</v>
      </c>
      <c r="AW43" s="19" t="n">
        <f aca="false">24*(
MAX(0,
IF(NETWORKDAYS(AS43,AU43)=1,
MIN(MOD(AV43,1),TIME(17,30,0)) - MAX(MOD(AT43,1),TIME(8,30,0)),
(TIME(17,30,0)-MAX(MOD(AT43,1),TIME(8,30,0)))
+ (MIN(MOD(AV43,1),TIME(17,30,0))-TIME(8,30,0))
+ (NETWORKDAYS(AS43,AU43)-2)*9/24
)
)
)</f>
        <v>42.6166666666667</v>
      </c>
      <c r="AX43" s="19" t="n">
        <f aca="false">24*(
MAX(0,
IF(NETWORKDAYS(AS43,AU43)=1,
MIN(MOD(AV43,1),TIME(17,30,0)) - MAX(MOD(AT43,1),TIME(8,30,0)),
(TIME(17,30,0)-MAX(MOD(AT43,1),TIME(8,30,0)))
+ (MIN(MOD(AV43,1),TIME(17,30,0))-TIME(8,30,0))
+ (NETWORKDAYS(AS43,AU43)-2)* (TIME(17,30,0)-TIME(8,30,0))
)
)
)</f>
        <v>42.6166666666667</v>
      </c>
      <c r="AY43" s="20" t="n">
        <f aca="false">ROUND(
IF(AS43=AU43,
MAX(0,
(MIN(MOD(AV43,1),TIME(17,30,0))-
MAX(MOD(AT43,1),TIME(8,30,0)))*24
),
(
(MAX(0,TIME(17,30,0)-MAX(MOD(AT43,1),TIME(8,30,0)))*24)
+
(MAX(0,MIN(MOD(AV43,1),TIME(17,30,0))-TIME(8,30,0))*24)
+
(MAX(0,NETWORKDAYS(AS43+1,AU43-1))*9)
)
),
2)</f>
        <v>42.62</v>
      </c>
      <c r="AZ43" s="0" t="n">
        <f aca="false" t="array" ref="AZ43:AZ43">_xlfn.XLOOKUP(J43,{"Low","Medium","High"},{270,72,24})</f>
        <v>270</v>
      </c>
      <c r="BA43" s="0" t="str">
        <f aca="false">IF(AW43&gt;AZ43,"Not Met","Met")</f>
        <v>Met</v>
      </c>
      <c r="BB43" s="21" t="str">
        <f aca="false">IF(AS43="","",TEXT(AS43,"MMM")&amp;"'"&amp;TEXT(AS43,"yy"))</f>
        <v>Dec'25</v>
      </c>
      <c r="BC43" s="0" t="str">
        <f aca="false">IF(AU43="","",TEXT(AU43,"MMM")&amp;"'"&amp;TEXT(AU43,"yy"))</f>
        <v>Dec'25</v>
      </c>
    </row>
    <row r="44" customFormat="false" ht="15" hidden="false" customHeight="false" outlineLevel="0" collapsed="false">
      <c r="A44" s="23" t="s">
        <v>251</v>
      </c>
      <c r="B44" s="24" t="n">
        <v>46010</v>
      </c>
      <c r="C44" s="12" t="n">
        <v>0.05625</v>
      </c>
      <c r="D44" s="13" t="str">
        <f aca="false">IF(B44="","",TEXT(B44,"MMM")&amp;"'"&amp;TEXT(B44,"yy"))</f>
        <v>Dec'25</v>
      </c>
      <c r="E44" s="1" t="s">
        <v>55</v>
      </c>
      <c r="F44" s="1" t="s">
        <v>39</v>
      </c>
      <c r="G44" s="1" t="str">
        <f aca="false">IF(F44="Closed","Closed","Pending")</f>
        <v>Closed</v>
      </c>
      <c r="H44" s="23" t="s">
        <v>185</v>
      </c>
      <c r="I44" s="1" t="s">
        <v>186</v>
      </c>
      <c r="J44" s="1" t="s">
        <v>74</v>
      </c>
      <c r="K44" s="1" t="s">
        <v>59</v>
      </c>
      <c r="L44" s="23" t="s">
        <v>252</v>
      </c>
      <c r="M44" s="23" t="s">
        <v>253</v>
      </c>
      <c r="N44" s="1" t="s">
        <v>62</v>
      </c>
      <c r="O44" s="1" t="s">
        <v>63</v>
      </c>
      <c r="Q44" s="1" t="s">
        <v>254</v>
      </c>
      <c r="U44" s="12" t="n">
        <v>0.05625</v>
      </c>
      <c r="V44" s="11" t="n">
        <v>46013</v>
      </c>
      <c r="W44" s="12" t="n">
        <v>0.985416666666667</v>
      </c>
      <c r="X44" s="11" t="n">
        <v>46021</v>
      </c>
      <c r="Y44" s="12" t="n">
        <v>0.879166666666667</v>
      </c>
      <c r="Z44" s="1" t="s">
        <v>67</v>
      </c>
      <c r="AA44" s="1" t="s">
        <v>68</v>
      </c>
      <c r="AB44" s="2" t="n">
        <f aca="false">U44-C44</f>
        <v>0</v>
      </c>
      <c r="AC44" s="14" t="str">
        <f aca="false">TEXT(((V44+W44)-(B44+C44)),"hh:mm")</f>
        <v>22:18</v>
      </c>
      <c r="AD44" s="4" t="str">
        <f aca="false">INT((V44+W44)-(B44+C44)) &amp; ":" &amp;
TEXT(HOUR((V44+W44)-(B44+C44)), "00") &amp; ":" &amp;
TEXT(MINUTE((V44+W44)-(B44+C44)), "00")</f>
        <v>3:22:18</v>
      </c>
      <c r="AE44" s="1" t="n">
        <f aca="false">IFERROR(
LEFT(AD44,FIND(":",AD44)-1)
+ MID(AD44,FIND(":",AD44)+1,2)/24
+ RIGHT(AD44,2)/1440,
"")</f>
        <v>3.92916666666667</v>
      </c>
      <c r="AF44" s="4" t="str">
        <f aca="false">INT((X44+Y44)-(B44+C44)) &amp; ":" &amp;
TEXT(HOUR((X44+Y44)-(B44+C44)), "00") &amp; ":" &amp;
TEXT(MINUTE((X44+Y44)-(B44+C44)), "00")</f>
        <v>11:19:45</v>
      </c>
      <c r="AG44" s="4" t="str">
        <f aca="false" t="array" ref="AG44:AG44">INT(_xlfn.XLOOKUP(J44,{"Low","Medium","High","Urgent"},{48,24,12,8})/24) &amp; ":" &amp;
TEXT(MOD(_xlfn.XLOOKUP(J44,{"Low","Medium","High","Urgent"},{48,24,12,8}),24)/24,"hh:mm")</f>
        <v>2:00:00</v>
      </c>
      <c r="AH44" s="4" t="str">
        <f aca="false">IF(AD44&gt;AG44,"Not Met","Met")</f>
        <v>Not Met</v>
      </c>
      <c r="AI44" s="4" t="str">
        <f aca="false">IF(AB44&lt;TIME(0,30,0),"Met","Not Met")</f>
        <v>Met</v>
      </c>
      <c r="AN44" s="1" t="str">
        <f aca="false">TEXT(B44,"dd")</f>
        <v>19</v>
      </c>
      <c r="AO44" s="1" t="str">
        <f aca="false">TEXT(X44,"dd")</f>
        <v>30</v>
      </c>
      <c r="AP44" s="16" t="str">
        <f aca="false">INT(
  NETWORKDAYS(B44,V44)-1
  + IF(WEEKDAY(V44,2)&lt;6,MOD(V44+W44,1),0)
  - IF(WEEKDAY(B44,2)&lt;6,MOD(B44+C44,1),0)
)
&amp; ":" &amp;
TEXT(HOUR(
  NETWORKDAYS(B44,V44)-1
  + IF(WEEKDAY(V44,2)&lt;6,MOD(V44+W44,1),0)
  - IF(WEEKDAY(B44,2)&lt;6,MOD(B44+C44,1),0)
),"00")
&amp; ":" &amp;
TEXT(MINUTE(
  NETWORKDAYS(B44,V44)-1
  + IF(WEEKDAY(V44,2)&lt;6,MOD(V44+W44,1),0)
  - IF(WEEKDAY(B44,2)&lt;6,MOD(B44+C44,1),0)
),"00")</f>
        <v>1:22:18</v>
      </c>
      <c r="AQ44" s="0" t="n">
        <f aca="false">IFERROR(
LEFT(AP44,FIND(":",AP44)-1)
+ MID(AP44,FIND(":",AP44)+1,2)/24
+ RIGHT(AP44,2)/1440,
"")</f>
        <v>1.92916666666667</v>
      </c>
      <c r="AR44" s="0" t="n">
        <f aca="false">WEEKNUM(B44,1)</f>
        <v>51</v>
      </c>
      <c r="AS44" s="17" t="n">
        <f aca="false">IF(B44&gt;0, (B44+C44)-TIME(13,30,0), "")</f>
        <v>46009.49375</v>
      </c>
      <c r="AT44" s="18" t="n">
        <f aca="false">IF(B44&gt;0, (B44+C44)-TIME(13,30,0), "")</f>
        <v>46009.49375</v>
      </c>
      <c r="AU44" s="17" t="n">
        <f aca="false">IF(V44&gt;0, (V44+W44)-TIME(13,30,0), "")</f>
        <v>46013.4229166667</v>
      </c>
      <c r="AV44" s="18" t="n">
        <f aca="false">IF(V44&gt;0, (V44+W44)-TIME(13,30,0), "")</f>
        <v>46013.4229166667</v>
      </c>
      <c r="AW44" s="19" t="n">
        <f aca="false">24*(
MAX(0,
IF(NETWORKDAYS(AS44,AU44)=1,
MIN(MOD(AV44,1),TIME(17,30,0)) - MAX(MOD(AT44,1),TIME(8,30,0)),
(TIME(17,30,0)-MAX(MOD(AT44,1),TIME(8,30,0)))
+ (MIN(MOD(AV44,1),TIME(17,30,0))-TIME(8,30,0))
+ (NETWORKDAYS(AS44,AU44)-2)*9/24
)
)
)</f>
        <v>16.3</v>
      </c>
      <c r="AX44" s="19" t="n">
        <f aca="false">24*(
MAX(0,
IF(NETWORKDAYS(AS44,AU44)=1,
MIN(MOD(AV44,1),TIME(17,30,0)) - MAX(MOD(AT44,1),TIME(8,30,0)),
(TIME(17,30,0)-MAX(MOD(AT44,1),TIME(8,30,0)))
+ (MIN(MOD(AV44,1),TIME(17,30,0))-TIME(8,30,0))
+ (NETWORKDAYS(AS44,AU44)-2)* (TIME(17,30,0)-TIME(8,30,0))
)
)
)</f>
        <v>16.3</v>
      </c>
      <c r="AY44" s="20" t="n">
        <f aca="false">ROUND(
IF(AS44=AU44,
MAX(0,
(MIN(MOD(AV44,1),TIME(17,30,0))-
MAX(MOD(AT44,1),TIME(8,30,0)))*24
),
(
(MAX(0,TIME(17,30,0)-MAX(MOD(AT44,1),TIME(8,30,0)))*24)
+
(MAX(0,MIN(MOD(AV44,1),TIME(17,30,0))-TIME(8,30,0))*24)
+
(MAX(0,NETWORKDAYS(AS44+1,AU44-1))*9)
)
),
2)</f>
        <v>16.3</v>
      </c>
      <c r="AZ44" s="0" t="n">
        <f aca="false" t="array" ref="AZ44:AZ44">_xlfn.XLOOKUP(J44,{"Low","Medium","High"},{270,72,24})</f>
        <v>270</v>
      </c>
      <c r="BA44" s="0" t="str">
        <f aca="false">IF(AW44&gt;AZ44,"Not Met","Met")</f>
        <v>Met</v>
      </c>
      <c r="BB44" s="21" t="str">
        <f aca="false">IF(AS44="","",TEXT(AS44,"MMM")&amp;"'"&amp;TEXT(AS44,"yy"))</f>
        <v>Dec'25</v>
      </c>
      <c r="BC44" s="0" t="str">
        <f aca="false">IF(AU44="","",TEXT(AU44,"MMM")&amp;"'"&amp;TEXT(AU44,"yy"))</f>
        <v>Dec'25</v>
      </c>
    </row>
    <row r="45" customFormat="false" ht="15" hidden="false" customHeight="false" outlineLevel="0" collapsed="false">
      <c r="A45" s="23" t="s">
        <v>255</v>
      </c>
      <c r="B45" s="24" t="n">
        <v>46010</v>
      </c>
      <c r="C45" s="12" t="n">
        <v>0.1875</v>
      </c>
      <c r="D45" s="13" t="str">
        <f aca="false">IF(B45="","",TEXT(B45,"MMM")&amp;"'"&amp;TEXT(B45,"yy"))</f>
        <v>Dec'25</v>
      </c>
      <c r="E45" s="1" t="s">
        <v>55</v>
      </c>
      <c r="F45" s="1" t="s">
        <v>39</v>
      </c>
      <c r="G45" s="1" t="str">
        <f aca="false">IF(F45="Closed","Closed","Pending")</f>
        <v>Closed</v>
      </c>
      <c r="H45" s="23" t="s">
        <v>256</v>
      </c>
      <c r="I45" s="1" t="s">
        <v>82</v>
      </c>
      <c r="J45" s="1" t="s">
        <v>74</v>
      </c>
      <c r="K45" s="1" t="s">
        <v>59</v>
      </c>
      <c r="L45" s="23" t="s">
        <v>257</v>
      </c>
      <c r="M45" s="23" t="s">
        <v>258</v>
      </c>
      <c r="N45" s="1" t="s">
        <v>62</v>
      </c>
      <c r="O45" s="1" t="s">
        <v>77</v>
      </c>
      <c r="Q45" s="1" t="s">
        <v>86</v>
      </c>
      <c r="U45" s="12" t="n">
        <v>0.188888888888889</v>
      </c>
      <c r="V45" s="11" t="n">
        <v>46013</v>
      </c>
      <c r="W45" s="12" t="n">
        <v>0.965972222222222</v>
      </c>
      <c r="X45" s="11" t="n">
        <v>46022</v>
      </c>
      <c r="Y45" s="12" t="n">
        <v>0.961805555555556</v>
      </c>
      <c r="Z45" s="1" t="s">
        <v>67</v>
      </c>
      <c r="AA45" s="1" t="s">
        <v>68</v>
      </c>
      <c r="AB45" s="2" t="n">
        <f aca="false">U45-C45</f>
        <v>0.00138888888888889</v>
      </c>
      <c r="AC45" s="14" t="str">
        <f aca="false">TEXT(((V45+W45)-(B45+C45)),"hh:mm")</f>
        <v>18:41</v>
      </c>
      <c r="AD45" s="4" t="str">
        <f aca="false">INT((V45+W45)-(B45+C45)) &amp; ":" &amp;
TEXT(HOUR((V45+W45)-(B45+C45)), "00") &amp; ":" &amp;
TEXT(MINUTE((V45+W45)-(B45+C45)), "00")</f>
        <v>3:18:41</v>
      </c>
      <c r="AE45" s="1" t="n">
        <f aca="false">IFERROR(
LEFT(AD45,FIND(":",AD45)-1)
+ MID(AD45,FIND(":",AD45)+1,2)/24
+ RIGHT(AD45,2)/1440,
"")</f>
        <v>3.77847222222222</v>
      </c>
      <c r="AF45" s="4" t="str">
        <f aca="false">INT((X45+Y45)-(B45+C45)) &amp; ":" &amp;
TEXT(HOUR((X45+Y45)-(B45+C45)), "00") &amp; ":" &amp;
TEXT(MINUTE((X45+Y45)-(B45+C45)), "00")</f>
        <v>12:18:35</v>
      </c>
      <c r="AG45" s="4" t="str">
        <f aca="false" t="array" ref="AG45:AG45">INT(_xlfn.XLOOKUP(J45,{"Low","Medium","High","Urgent"},{48,24,12,8})/24) &amp; ":" &amp;
TEXT(MOD(_xlfn.XLOOKUP(J45,{"Low","Medium","High","Urgent"},{48,24,12,8}),24)/24,"hh:mm")</f>
        <v>2:00:00</v>
      </c>
      <c r="AH45" s="4" t="str">
        <f aca="false">IF(AD45&gt;AG45,"Not Met","Met")</f>
        <v>Not Met</v>
      </c>
      <c r="AI45" s="4" t="str">
        <f aca="false">IF(AB45&lt;TIME(0,30,0),"Met","Not Met")</f>
        <v>Met</v>
      </c>
      <c r="AN45" s="1" t="str">
        <f aca="false">TEXT(B45,"dd")</f>
        <v>19</v>
      </c>
      <c r="AO45" s="1" t="str">
        <f aca="false">TEXT(X45,"dd")</f>
        <v>31</v>
      </c>
      <c r="AP45" s="16" t="str">
        <f aca="false">INT(
  NETWORKDAYS(B45,V45)-1
  + IF(WEEKDAY(V45,2)&lt;6,MOD(V45+W45,1),0)
  - IF(WEEKDAY(B45,2)&lt;6,MOD(B45+C45,1),0)
)
&amp; ":" &amp;
TEXT(HOUR(
  NETWORKDAYS(B45,V45)-1
  + IF(WEEKDAY(V45,2)&lt;6,MOD(V45+W45,1),0)
  - IF(WEEKDAY(B45,2)&lt;6,MOD(B45+C45,1),0)
),"00")
&amp; ":" &amp;
TEXT(MINUTE(
  NETWORKDAYS(B45,V45)-1
  + IF(WEEKDAY(V45,2)&lt;6,MOD(V45+W45,1),0)
  - IF(WEEKDAY(B45,2)&lt;6,MOD(B45+C45,1),0)
),"00")</f>
        <v>1:18:40</v>
      </c>
      <c r="AQ45" s="0" t="n">
        <f aca="false">IFERROR(
LEFT(AP45,FIND(":",AP45)-1)
+ MID(AP45,FIND(":",AP45)+1,2)/24
+ RIGHT(AP45,2)/1440,
"")</f>
        <v>1.77777777777778</v>
      </c>
      <c r="AR45" s="0" t="n">
        <f aca="false">WEEKNUM(B45,1)</f>
        <v>51</v>
      </c>
      <c r="AS45" s="17" t="n">
        <f aca="false">IF(B45&gt;0, (B45+C45)-TIME(13,30,0), "")</f>
        <v>46009.625</v>
      </c>
      <c r="AT45" s="18" t="n">
        <f aca="false">IF(B45&gt;0, (B45+C45)-TIME(13,30,0), "")</f>
        <v>46009.625</v>
      </c>
      <c r="AU45" s="17" t="n">
        <f aca="false">IF(V45&gt;0, (V45+W45)-TIME(13,30,0), "")</f>
        <v>46013.4034722222</v>
      </c>
      <c r="AV45" s="18" t="n">
        <f aca="false">IF(V45&gt;0, (V45+W45)-TIME(13,30,0), "")</f>
        <v>46013.4034722222</v>
      </c>
      <c r="AW45" s="19" t="n">
        <f aca="false">24*(
MAX(0,
IF(NETWORKDAYS(AS45,AU45)=1,
MIN(MOD(AV45,1),TIME(17,30,0)) - MAX(MOD(AT45,1),TIME(8,30,0)),
(TIME(17,30,0)-MAX(MOD(AT45,1),TIME(8,30,0)))
+ (MIN(MOD(AV45,1),TIME(17,30,0))-TIME(8,30,0))
+ (NETWORKDAYS(AS45,AU45)-2)*9/24
)
)
)</f>
        <v>12.6833333333333</v>
      </c>
      <c r="AX45" s="19" t="n">
        <f aca="false">24*(
MAX(0,
IF(NETWORKDAYS(AS45,AU45)=1,
MIN(MOD(AV45,1),TIME(17,30,0)) - MAX(MOD(AT45,1),TIME(8,30,0)),
(TIME(17,30,0)-MAX(MOD(AT45,1),TIME(8,30,0)))
+ (MIN(MOD(AV45,1),TIME(17,30,0))-TIME(8,30,0))
+ (NETWORKDAYS(AS45,AU45)-2)* (TIME(17,30,0)-TIME(8,30,0))
)
)
)</f>
        <v>12.6833333333333</v>
      </c>
      <c r="AY45" s="20" t="n">
        <f aca="false">ROUND(
IF(AS45=AU45,
MAX(0,
(MIN(MOD(AV45,1),TIME(17,30,0))-
MAX(MOD(AT45,1),TIME(8,30,0)))*24
),
(
(MAX(0,TIME(17,30,0)-MAX(MOD(AT45,1),TIME(8,30,0)))*24)
+
(MAX(0,MIN(MOD(AV45,1),TIME(17,30,0))-TIME(8,30,0))*24)
+
(MAX(0,NETWORKDAYS(AS45+1,AU45-1))*9)
)
),
2)</f>
        <v>12.68</v>
      </c>
      <c r="AZ45" s="0" t="n">
        <f aca="false" t="array" ref="AZ45:AZ45">_xlfn.XLOOKUP(J45,{"Low","Medium","High"},{270,72,24})</f>
        <v>270</v>
      </c>
      <c r="BA45" s="0" t="str">
        <f aca="false">IF(AW45&gt;AZ45,"Not Met","Met")</f>
        <v>Met</v>
      </c>
      <c r="BB45" s="21" t="str">
        <f aca="false">IF(AS45="","",TEXT(AS45,"MMM")&amp;"'"&amp;TEXT(AS45,"yy"))</f>
        <v>Dec'25</v>
      </c>
      <c r="BC45" s="0" t="str">
        <f aca="false">IF(AU45="","",TEXT(AU45,"MMM")&amp;"'"&amp;TEXT(AU45,"yy"))</f>
        <v>Dec'25</v>
      </c>
    </row>
    <row r="46" customFormat="false" ht="15" hidden="false" customHeight="false" outlineLevel="0" collapsed="false">
      <c r="A46" s="23" t="s">
        <v>259</v>
      </c>
      <c r="B46" s="24" t="n">
        <v>46010</v>
      </c>
      <c r="C46" s="12" t="n">
        <v>0.893055555555556</v>
      </c>
      <c r="D46" s="13" t="str">
        <f aca="false">IF(B46="","",TEXT(B46,"MMM")&amp;"'"&amp;TEXT(B46,"yy"))</f>
        <v>Dec'25</v>
      </c>
      <c r="E46" s="1" t="s">
        <v>55</v>
      </c>
      <c r="F46" s="1" t="s">
        <v>39</v>
      </c>
      <c r="G46" s="1" t="str">
        <f aca="false">IF(F46="Closed","Closed","Pending")</f>
        <v>Closed</v>
      </c>
      <c r="H46" s="1" t="s">
        <v>120</v>
      </c>
      <c r="I46" s="1" t="s">
        <v>126</v>
      </c>
      <c r="J46" s="1" t="s">
        <v>74</v>
      </c>
      <c r="K46" s="1" t="s">
        <v>59</v>
      </c>
      <c r="L46" s="1" t="s">
        <v>260</v>
      </c>
      <c r="M46" s="1" t="s">
        <v>261</v>
      </c>
      <c r="N46" s="1" t="s">
        <v>65</v>
      </c>
      <c r="O46" s="1" t="s">
        <v>106</v>
      </c>
      <c r="Q46" s="1" t="s">
        <v>86</v>
      </c>
      <c r="U46" s="12" t="n">
        <v>0.909722222222222</v>
      </c>
      <c r="V46" s="11" t="n">
        <v>46013</v>
      </c>
      <c r="W46" s="12" t="n">
        <v>0.988888888888889</v>
      </c>
      <c r="X46" s="11" t="n">
        <v>46014</v>
      </c>
      <c r="Y46" s="12" t="n">
        <v>0.0423611111111111</v>
      </c>
      <c r="Z46" s="1" t="s">
        <v>108</v>
      </c>
      <c r="AA46" s="1" t="s">
        <v>68</v>
      </c>
      <c r="AB46" s="2" t="n">
        <f aca="false">U46-C46</f>
        <v>0.0166666666666667</v>
      </c>
      <c r="AC46" s="14" t="str">
        <f aca="false">TEXT(((V46+W46)-(B46+C46)),"hh:mm")</f>
        <v>02:18</v>
      </c>
      <c r="AD46" s="4" t="str">
        <f aca="false">INT((V46+W46)-(B46+C46)) &amp; ":" &amp;
TEXT(HOUR((V46+W46)-(B46+C46)), "00") &amp; ":" &amp;
TEXT(MINUTE((V46+W46)-(B46+C46)), "00")</f>
        <v>3:02:18</v>
      </c>
      <c r="AE46" s="1" t="n">
        <f aca="false">IFERROR(
LEFT(AD46,FIND(":",AD46)-1)
+ MID(AD46,FIND(":",AD46)+1,2)/24
+ RIGHT(AD46,2)/1440,
"")</f>
        <v>3.09583333333333</v>
      </c>
      <c r="AF46" s="4" t="str">
        <f aca="false">INT((X46+Y46)-(B46+C46)) &amp; ":" &amp;
TEXT(HOUR((X46+Y46)-(B46+C46)), "00") &amp; ":" &amp;
TEXT(MINUTE((X46+Y46)-(B46+C46)), "00")</f>
        <v>3:03:35</v>
      </c>
      <c r="AG46" s="4" t="str">
        <f aca="false" t="array" ref="AG46:AG46">INT(_xlfn.XLOOKUP(J46,{"Low","Medium","High","Urgent"},{48,24,12,8})/24) &amp; ":" &amp;
TEXT(MOD(_xlfn.XLOOKUP(J46,{"Low","Medium","High","Urgent"},{48,24,12,8}),24)/24,"hh:mm")</f>
        <v>2:00:00</v>
      </c>
      <c r="AH46" s="4" t="str">
        <f aca="false">IF(AD46&gt;AG46,"Not Met","Met")</f>
        <v>Not Met</v>
      </c>
      <c r="AI46" s="4" t="str">
        <f aca="false">IF(AB46&lt;TIME(0,30,0),"Met","Not Met")</f>
        <v>Met</v>
      </c>
      <c r="AN46" s="1" t="str">
        <f aca="false">TEXT(B46,"dd")</f>
        <v>19</v>
      </c>
      <c r="AO46" s="1" t="str">
        <f aca="false">TEXT(X46,"dd")</f>
        <v>23</v>
      </c>
      <c r="AP46" s="16" t="str">
        <f aca="false">INT(
  NETWORKDAYS(B46,V46)-1
  + IF(WEEKDAY(V46,2)&lt;6,MOD(V46+W46,1),0)
  - IF(WEEKDAY(B46,2)&lt;6,MOD(B46+C46,1),0)
)
&amp; ":" &amp;
TEXT(HOUR(
  NETWORKDAYS(B46,V46)-1
  + IF(WEEKDAY(V46,2)&lt;6,MOD(V46+W46,1),0)
  - IF(WEEKDAY(B46,2)&lt;6,MOD(B46+C46,1),0)
),"00")
&amp; ":" &amp;
TEXT(MINUTE(
  NETWORKDAYS(B46,V46)-1
  + IF(WEEKDAY(V46,2)&lt;6,MOD(V46+W46,1),0)
  - IF(WEEKDAY(B46,2)&lt;6,MOD(B46+C46,1),0)
),"00")</f>
        <v>1:02:17</v>
      </c>
      <c r="AQ46" s="0" t="n">
        <f aca="false">IFERROR(
LEFT(AP46,FIND(":",AP46)-1)
+ MID(AP46,FIND(":",AP46)+1,2)/24
+ RIGHT(AP46,2)/1440,
"")</f>
        <v>1.09513888888889</v>
      </c>
      <c r="AR46" s="0" t="n">
        <f aca="false">WEEKNUM(B46,1)</f>
        <v>51</v>
      </c>
      <c r="AS46" s="17" t="n">
        <f aca="false">IF(B46&gt;0, (B46+C46)-TIME(13,30,0), "")</f>
        <v>46010.3305555556</v>
      </c>
      <c r="AT46" s="18" t="n">
        <f aca="false">IF(B46&gt;0, (B46+C46)-TIME(13,30,0), "")</f>
        <v>46010.3305555556</v>
      </c>
      <c r="AU46" s="17" t="n">
        <f aca="false">IF(V46&gt;0, (V46+W46)-TIME(13,30,0), "")</f>
        <v>46013.4263888889</v>
      </c>
      <c r="AV46" s="18" t="n">
        <f aca="false">IF(V46&gt;0, (V46+W46)-TIME(13,30,0), "")</f>
        <v>46013.4263888889</v>
      </c>
      <c r="AW46" s="19" t="n">
        <f aca="false">24*(
MAX(0,
IF(NETWORKDAYS(AS46,AU46)=1,
MIN(MOD(AV46,1),TIME(17,30,0)) - MAX(MOD(AT46,1),TIME(8,30,0)),
(TIME(17,30,0)-MAX(MOD(AT46,1),TIME(8,30,0)))
+ (MIN(MOD(AV46,1),TIME(17,30,0))-TIME(8,30,0))
+ (NETWORKDAYS(AS46,AU46)-2)*9/24
)
)
)</f>
        <v>10.7333333333333</v>
      </c>
      <c r="AX46" s="19" t="n">
        <f aca="false">24*(
MAX(0,
IF(NETWORKDAYS(AS46,AU46)=1,
MIN(MOD(AV46,1),TIME(17,30,0)) - MAX(MOD(AT46,1),TIME(8,30,0)),
(TIME(17,30,0)-MAX(MOD(AT46,1),TIME(8,30,0)))
+ (MIN(MOD(AV46,1),TIME(17,30,0))-TIME(8,30,0))
+ (NETWORKDAYS(AS46,AU46)-2)* (TIME(17,30,0)-TIME(8,30,0))
)
)
)</f>
        <v>10.7333333333333</v>
      </c>
      <c r="AY46" s="20" t="n">
        <f aca="false">ROUND(
IF(AS46=AU46,
MAX(0,
(MIN(MOD(AV46,1),TIME(17,30,0))-
MAX(MOD(AT46,1),TIME(8,30,0)))*24
),
(
(MAX(0,TIME(17,30,0)-MAX(MOD(AT46,1),TIME(8,30,0)))*24)
+
(MAX(0,MIN(MOD(AV46,1),TIME(17,30,0))-TIME(8,30,0))*24)
+
(MAX(0,NETWORKDAYS(AS46+1,AU46-1))*9)
)
),
2)</f>
        <v>10.73</v>
      </c>
      <c r="AZ46" s="0" t="n">
        <f aca="false" t="array" ref="AZ46:AZ46">_xlfn.XLOOKUP(J46,{"Low","Medium","High"},{270,72,24})</f>
        <v>270</v>
      </c>
      <c r="BA46" s="0" t="str">
        <f aca="false">IF(AW46&gt;AZ46,"Not Met","Met")</f>
        <v>Met</v>
      </c>
      <c r="BB46" s="21" t="str">
        <f aca="false">IF(AS46="","",TEXT(AS46,"MMM")&amp;"'"&amp;TEXT(AS46,"yy"))</f>
        <v>Dec'25</v>
      </c>
      <c r="BC46" s="0" t="str">
        <f aca="false">IF(AU46="","",TEXT(AU46,"MMM")&amp;"'"&amp;TEXT(AU46,"yy"))</f>
        <v>Dec'25</v>
      </c>
    </row>
    <row r="47" customFormat="false" ht="15" hidden="false" customHeight="false" outlineLevel="0" collapsed="false">
      <c r="A47" s="23" t="s">
        <v>262</v>
      </c>
      <c r="B47" s="24" t="n">
        <v>46010</v>
      </c>
      <c r="C47" s="12" t="n">
        <v>0.948611111111111</v>
      </c>
      <c r="D47" s="13" t="str">
        <f aca="false">IF(B47="","",TEXT(B47,"MMM")&amp;"'"&amp;TEXT(B47,"yy"))</f>
        <v>Dec'25</v>
      </c>
      <c r="E47" s="1" t="s">
        <v>55</v>
      </c>
      <c r="F47" s="1" t="s">
        <v>39</v>
      </c>
      <c r="G47" s="1" t="str">
        <f aca="false">IF(F47="Closed","Closed","Pending")</f>
        <v>Closed</v>
      </c>
      <c r="H47" s="1" t="s">
        <v>263</v>
      </c>
      <c r="I47" s="1" t="s">
        <v>103</v>
      </c>
      <c r="J47" s="1" t="s">
        <v>74</v>
      </c>
      <c r="K47" s="1" t="s">
        <v>59</v>
      </c>
      <c r="L47" s="1" t="s">
        <v>264</v>
      </c>
      <c r="M47" s="1" t="s">
        <v>265</v>
      </c>
      <c r="N47" s="1" t="s">
        <v>65</v>
      </c>
      <c r="O47" s="1" t="s">
        <v>106</v>
      </c>
      <c r="Q47" s="1" t="s">
        <v>65</v>
      </c>
      <c r="U47" s="12" t="n">
        <v>0.956944444444445</v>
      </c>
      <c r="V47" s="11" t="n">
        <v>46013</v>
      </c>
      <c r="W47" s="12" t="n">
        <v>0.990277777777778</v>
      </c>
      <c r="X47" s="11" t="n">
        <v>46014</v>
      </c>
      <c r="Y47" s="12" t="n">
        <v>0.0430555555555556</v>
      </c>
      <c r="Z47" s="1" t="s">
        <v>67</v>
      </c>
      <c r="AA47" s="1" t="s">
        <v>68</v>
      </c>
      <c r="AB47" s="2" t="n">
        <f aca="false">U47-C47</f>
        <v>0.00833333333333333</v>
      </c>
      <c r="AC47" s="14" t="str">
        <f aca="false">TEXT(((V47+W47)-(B47+C47)),"hh:mm")</f>
        <v>01:00</v>
      </c>
      <c r="AD47" s="4" t="str">
        <f aca="false">INT((V47+W47)-(B47+C47)) &amp; ":" &amp;
TEXT(HOUR((V47+W47)-(B47+C47)), "00") &amp; ":" &amp;
TEXT(MINUTE((V47+W47)-(B47+C47)), "00")</f>
        <v>3:01:00</v>
      </c>
      <c r="AE47" s="1" t="n">
        <f aca="false">IFERROR(
LEFT(AD47,FIND(":",AD47)-1)
+ MID(AD47,FIND(":",AD47)+1,2)/24
+ RIGHT(AD47,2)/1440,
"")</f>
        <v>3.04166666666667</v>
      </c>
      <c r="AF47" s="4" t="str">
        <f aca="false">INT((X47+Y47)-(B47+C47)) &amp; ":" &amp;
TEXT(HOUR((X47+Y47)-(B47+C47)), "00") &amp; ":" &amp;
TEXT(MINUTE((X47+Y47)-(B47+C47)), "00")</f>
        <v>3:02:16</v>
      </c>
      <c r="AG47" s="4" t="str">
        <f aca="false" t="array" ref="AG47:AG47">INT(_xlfn.XLOOKUP(J47,{"Low","Medium","High","Urgent"},{48,24,12,8})/24) &amp; ":" &amp;
TEXT(MOD(_xlfn.XLOOKUP(J47,{"Low","Medium","High","Urgent"},{48,24,12,8}),24)/24,"hh:mm")</f>
        <v>2:00:00</v>
      </c>
      <c r="AH47" s="4" t="str">
        <f aca="false">IF(AD47&gt;AG47,"Not Met","Met")</f>
        <v>Not Met</v>
      </c>
      <c r="AI47" s="4" t="str">
        <f aca="false">IF(AB47&lt;TIME(0,30,0),"Met","Not Met")</f>
        <v>Met</v>
      </c>
      <c r="AN47" s="1" t="str">
        <f aca="false">TEXT(B47,"dd")</f>
        <v>19</v>
      </c>
      <c r="AO47" s="1" t="str">
        <f aca="false">TEXT(X47,"dd")</f>
        <v>23</v>
      </c>
      <c r="AP47" s="16" t="str">
        <f aca="false">INT(
  NETWORKDAYS(B47,V47)-1
  + IF(WEEKDAY(V47,2)&lt;6,MOD(V47+W47,1),0)
  - IF(WEEKDAY(B47,2)&lt;6,MOD(B47+C47,1),0)
)
&amp; ":" &amp;
TEXT(HOUR(
  NETWORKDAYS(B47,V47)-1
  + IF(WEEKDAY(V47,2)&lt;6,MOD(V47+W47,1),0)
  - IF(WEEKDAY(B47,2)&lt;6,MOD(B47+C47,1),0)
),"00")
&amp; ":" &amp;
TEXT(MINUTE(
  NETWORKDAYS(B47,V47)-1
  + IF(WEEKDAY(V47,2)&lt;6,MOD(V47+W47,1),0)
  - IF(WEEKDAY(B47,2)&lt;6,MOD(B47+C47,1),0)
),"00")</f>
        <v>1:00:59</v>
      </c>
      <c r="AQ47" s="0" t="n">
        <f aca="false">IFERROR(
LEFT(AP47,FIND(":",AP47)-1)
+ MID(AP47,FIND(":",AP47)+1,2)/24
+ RIGHT(AP47,2)/1440,
"")</f>
        <v>1.04097222222222</v>
      </c>
      <c r="AR47" s="0" t="n">
        <f aca="false">WEEKNUM(B47,1)</f>
        <v>51</v>
      </c>
      <c r="AS47" s="17" t="n">
        <f aca="false">IF(B47&gt;0, (B47+C47)-TIME(13,30,0), "")</f>
        <v>46010.3861111111</v>
      </c>
      <c r="AT47" s="18" t="n">
        <f aca="false">IF(B47&gt;0, (B47+C47)-TIME(13,30,0), "")</f>
        <v>46010.3861111111</v>
      </c>
      <c r="AU47" s="17" t="n">
        <f aca="false">IF(V47&gt;0, (V47+W47)-TIME(13,30,0), "")</f>
        <v>46013.4277777778</v>
      </c>
      <c r="AV47" s="18" t="n">
        <f aca="false">IF(V47&gt;0, (V47+W47)-TIME(13,30,0), "")</f>
        <v>46013.4277777778</v>
      </c>
      <c r="AW47" s="19" t="n">
        <f aca="false">24*(
MAX(0,
IF(NETWORKDAYS(AS47,AU47)=1,
MIN(MOD(AV47,1),TIME(17,30,0)) - MAX(MOD(AT47,1),TIME(8,30,0)),
(TIME(17,30,0)-MAX(MOD(AT47,1),TIME(8,30,0)))
+ (MIN(MOD(AV47,1),TIME(17,30,0))-TIME(8,30,0))
+ (NETWORKDAYS(AS47,AU47)-2)*9/24
)
)
)</f>
        <v>10</v>
      </c>
      <c r="AX47" s="19" t="n">
        <f aca="false">24*(
MAX(0,
IF(NETWORKDAYS(AS47,AU47)=1,
MIN(MOD(AV47,1),TIME(17,30,0)) - MAX(MOD(AT47,1),TIME(8,30,0)),
(TIME(17,30,0)-MAX(MOD(AT47,1),TIME(8,30,0)))
+ (MIN(MOD(AV47,1),TIME(17,30,0))-TIME(8,30,0))
+ (NETWORKDAYS(AS47,AU47)-2)* (TIME(17,30,0)-TIME(8,30,0))
)
)
)</f>
        <v>10</v>
      </c>
      <c r="AY47" s="20" t="n">
        <f aca="false">ROUND(
IF(AS47=AU47,
MAX(0,
(MIN(MOD(AV47,1),TIME(17,30,0))-
MAX(MOD(AT47,1),TIME(8,30,0)))*24
),
(
(MAX(0,TIME(17,30,0)-MAX(MOD(AT47,1),TIME(8,30,0)))*24)
+
(MAX(0,MIN(MOD(AV47,1),TIME(17,30,0))-TIME(8,30,0))*24)
+
(MAX(0,NETWORKDAYS(AS47+1,AU47-1))*9)
)
),
2)</f>
        <v>10</v>
      </c>
      <c r="AZ47" s="0" t="n">
        <f aca="false" t="array" ref="AZ47:AZ47">_xlfn.XLOOKUP(J47,{"Low","Medium","High"},{270,72,24})</f>
        <v>270</v>
      </c>
      <c r="BA47" s="0" t="str">
        <f aca="false">IF(AW47&gt;AZ47,"Not Met","Met")</f>
        <v>Met</v>
      </c>
      <c r="BB47" s="21" t="str">
        <f aca="false">IF(AS47="","",TEXT(AS47,"MMM")&amp;"'"&amp;TEXT(AS47,"yy"))</f>
        <v>Dec'25</v>
      </c>
      <c r="BC47" s="0" t="str">
        <f aca="false">IF(AU47="","",TEXT(AU47,"MMM")&amp;"'"&amp;TEXT(AU47,"yy"))</f>
        <v>Dec'25</v>
      </c>
    </row>
    <row r="48" customFormat="false" ht="15" hidden="false" customHeight="false" outlineLevel="0" collapsed="false">
      <c r="A48" s="23" t="s">
        <v>266</v>
      </c>
      <c r="B48" s="11" t="n">
        <v>46011</v>
      </c>
      <c r="C48" s="12" t="n">
        <v>0.0791666666666667</v>
      </c>
      <c r="D48" s="13" t="str">
        <f aca="false">IF(B48="","",TEXT(B48,"MMM")&amp;"'"&amp;TEXT(B48,"yy"))</f>
        <v>Dec'25</v>
      </c>
      <c r="E48" s="1" t="s">
        <v>55</v>
      </c>
      <c r="F48" s="1" t="s">
        <v>39</v>
      </c>
      <c r="G48" s="1" t="str">
        <f aca="false">IF(F48="Closed","Closed","Pending")</f>
        <v>Closed</v>
      </c>
      <c r="H48" s="1" t="s">
        <v>72</v>
      </c>
      <c r="I48" s="1" t="s">
        <v>168</v>
      </c>
      <c r="J48" s="1" t="s">
        <v>74</v>
      </c>
      <c r="K48" s="1" t="s">
        <v>59</v>
      </c>
      <c r="L48" s="1" t="s">
        <v>267</v>
      </c>
      <c r="M48" s="1" t="s">
        <v>268</v>
      </c>
      <c r="N48" s="1" t="s">
        <v>143</v>
      </c>
      <c r="O48" s="1" t="s">
        <v>143</v>
      </c>
      <c r="Q48" s="1" t="s">
        <v>143</v>
      </c>
      <c r="U48" s="12" t="n">
        <v>0.0875</v>
      </c>
      <c r="V48" s="11" t="n">
        <v>46070</v>
      </c>
      <c r="W48" s="12" t="n">
        <v>0.9625</v>
      </c>
      <c r="X48" s="11" t="n">
        <v>46097</v>
      </c>
      <c r="Y48" s="12" t="n">
        <v>0.954861111111111</v>
      </c>
      <c r="Z48" s="1" t="s">
        <v>108</v>
      </c>
      <c r="AA48" s="1" t="s">
        <v>68</v>
      </c>
      <c r="AB48" s="2" t="n">
        <f aca="false">U48-C48</f>
        <v>0.00833333333333333</v>
      </c>
      <c r="AC48" s="14" t="str">
        <f aca="false">TEXT(((V48+W48)-(B48+C48)),"hh:mm")</f>
        <v>21:12</v>
      </c>
      <c r="AD48" s="4" t="str">
        <f aca="false">INT((V48+W48)-(B48+C48)) &amp; ":" &amp;
TEXT(HOUR((V48+W48)-(B48+C48)), "00") &amp; ":" &amp;
TEXT(MINUTE((V48+W48)-(B48+C48)), "00")</f>
        <v>59:21:12</v>
      </c>
      <c r="AE48" s="1" t="n">
        <f aca="false">IFERROR(
LEFT(AD48,FIND(":",AD48)-1)
+ MID(AD48,FIND(":",AD48)+1,2)/24
+ RIGHT(AD48,2)/1440,
"")</f>
        <v>59.8833333333333</v>
      </c>
      <c r="AF48" s="4" t="str">
        <f aca="false">INT((X48+Y48)-(B48+C48)) &amp; ":" &amp;
TEXT(HOUR((X48+Y48)-(B48+C48)), "00") &amp; ":" &amp;
TEXT(MINUTE((X48+Y48)-(B48+C48)), "00")</f>
        <v>86:21:01</v>
      </c>
      <c r="AG48" s="4" t="str">
        <f aca="false" t="array" ref="AG48:AG48">INT(_xlfn.XLOOKUP(J48,{"Low","Medium","High","Urgent"},{48,24,12,8})/24) &amp; ":" &amp;
TEXT(MOD(_xlfn.XLOOKUP(J48,{"Low","Medium","High","Urgent"},{48,24,12,8}),24)/24,"hh:mm")</f>
        <v>2:00:00</v>
      </c>
      <c r="AH48" s="4" t="str">
        <f aca="false">IF(AD48&gt;AG48,"Not Met","Met")</f>
        <v>Not Met</v>
      </c>
      <c r="AI48" s="4" t="str">
        <f aca="false">IF(AB48&lt;TIME(0,30,0),"Met","Not Met")</f>
        <v>Met</v>
      </c>
      <c r="AN48" s="1" t="str">
        <f aca="false">TEXT(B48,"dd")</f>
        <v>20</v>
      </c>
      <c r="AO48" s="1" t="str">
        <f aca="false">TEXT(X48,"dd")</f>
        <v>16</v>
      </c>
      <c r="AP48" s="16" t="str">
        <f aca="false">INT(
  NETWORKDAYS(B48,V48)-1
  + IF(WEEKDAY(V48,2)&lt;6,MOD(V48+W48,1),0)
  - IF(WEEKDAY(B48,2)&lt;6,MOD(B48+C48,1),0)
)
&amp; ":" &amp;
TEXT(HOUR(
  NETWORKDAYS(B48,V48)-1
  + IF(WEEKDAY(V48,2)&lt;6,MOD(V48+W48,1),0)
  - IF(WEEKDAY(B48,2)&lt;6,MOD(B48+C48,1),0)
),"00")
&amp; ":" &amp;
TEXT(MINUTE(
  NETWORKDAYS(B48,V48)-1
  + IF(WEEKDAY(V48,2)&lt;6,MOD(V48+W48,1),0)
  - IF(WEEKDAY(B48,2)&lt;6,MOD(B48+C48,1),0)
),"00")</f>
        <v>41:23:06</v>
      </c>
      <c r="AQ48" s="0" t="n">
        <f aca="false">IFERROR(
LEFT(AP48,FIND(":",AP48)-1)
+ MID(AP48,FIND(":",AP48)+1,2)/24
+ RIGHT(AP48,2)/1440,
"")</f>
        <v>41.9625</v>
      </c>
      <c r="AR48" s="0" t="n">
        <f aca="false">WEEKNUM(B48,1)</f>
        <v>51</v>
      </c>
      <c r="AS48" s="17" t="n">
        <f aca="false">IF(B48&gt;0, (B48+C48)-TIME(13,30,0), "")</f>
        <v>46010.5166666667</v>
      </c>
      <c r="AT48" s="18" t="n">
        <f aca="false">IF(B48&gt;0, (B48+C48)-TIME(13,30,0), "")</f>
        <v>46010.5166666667</v>
      </c>
      <c r="AU48" s="17" t="n">
        <f aca="false">IF(V48&gt;0, (V48+W48)-TIME(13,30,0), "")</f>
        <v>46070.4</v>
      </c>
      <c r="AV48" s="18" t="n">
        <f aca="false">IF(V48&gt;0, (V48+W48)-TIME(13,30,0), "")</f>
        <v>46070.4</v>
      </c>
      <c r="AW48" s="19" t="n">
        <f aca="false">24*(
MAX(0,
IF(NETWORKDAYS(AS48,AU48)=1,
MIN(MOD(AV48,1),TIME(17,30,0)) - MAX(MOD(AT48,1),TIME(8,30,0)),
(TIME(17,30,0)-MAX(MOD(AT48,1),TIME(8,30,0)))
+ (MIN(MOD(AV48,1),TIME(17,30,0))-TIME(8,30,0))
+ (NETWORKDAYS(AS48,AU48)-2)*9/24
)
)
)</f>
        <v>375.2</v>
      </c>
      <c r="AX48" s="19" t="n">
        <f aca="false">24*(
MAX(0,
IF(NETWORKDAYS(AS48,AU48)=1,
MIN(MOD(AV48,1),TIME(17,30,0)) - MAX(MOD(AT48,1),TIME(8,30,0)),
(TIME(17,30,0)-MAX(MOD(AT48,1),TIME(8,30,0)))
+ (MIN(MOD(AV48,1),TIME(17,30,0))-TIME(8,30,0))
+ (NETWORKDAYS(AS48,AU48)-2)* (TIME(17,30,0)-TIME(8,30,0))
)
)
)</f>
        <v>375.2</v>
      </c>
      <c r="AY48" s="20" t="n">
        <f aca="false">ROUND(
IF(AS48=AU48,
MAX(0,
(MIN(MOD(AV48,1),TIME(17,30,0))-
MAX(MOD(AT48,1),TIME(8,30,0)))*24
),
(
(MAX(0,TIME(17,30,0)-MAX(MOD(AT48,1),TIME(8,30,0)))*24)
+
(MAX(0,MIN(MOD(AV48,1),TIME(17,30,0))-TIME(8,30,0))*24)
+
(MAX(0,NETWORKDAYS(AS48+1,AU48-1))*9)
)
),
2)</f>
        <v>375.2</v>
      </c>
      <c r="AZ48" s="0" t="n">
        <f aca="false" t="array" ref="AZ48:AZ48">_xlfn.XLOOKUP(J48,{"Low","Medium","High"},{270,72,24})</f>
        <v>270</v>
      </c>
      <c r="BA48" s="0" t="str">
        <f aca="false">IF(AW48&gt;AZ48,"Not Met","Met")</f>
        <v>Not Met</v>
      </c>
      <c r="BB48" s="21" t="str">
        <f aca="false">IF(AS48="","",TEXT(AS48,"MMM")&amp;"'"&amp;TEXT(AS48,"yy"))</f>
        <v>Dec'25</v>
      </c>
      <c r="BC48" s="0" t="str">
        <f aca="false">IF(AU48="","",TEXT(AU48,"MMM")&amp;"'"&amp;TEXT(AU48,"yy"))</f>
        <v>Feb'26</v>
      </c>
    </row>
    <row r="49" customFormat="false" ht="15" hidden="false" customHeight="false" outlineLevel="0" collapsed="false">
      <c r="A49" s="23" t="s">
        <v>269</v>
      </c>
      <c r="B49" s="24" t="n">
        <v>46013</v>
      </c>
      <c r="C49" s="12" t="n">
        <v>0.920833333333333</v>
      </c>
      <c r="D49" s="13" t="str">
        <f aca="false">IF(B49="","",TEXT(B49,"MMM")&amp;"'"&amp;TEXT(B49,"yy"))</f>
        <v>Dec'25</v>
      </c>
      <c r="E49" s="1" t="s">
        <v>55</v>
      </c>
      <c r="F49" s="1" t="s">
        <v>39</v>
      </c>
      <c r="G49" s="1" t="str">
        <f aca="false">IF(F49="Closed","Closed","Pending")</f>
        <v>Closed</v>
      </c>
      <c r="H49" s="1" t="s">
        <v>157</v>
      </c>
      <c r="I49" s="1" t="s">
        <v>270</v>
      </c>
      <c r="J49" s="1" t="s">
        <v>74</v>
      </c>
      <c r="K49" s="1" t="s">
        <v>59</v>
      </c>
      <c r="L49" s="1" t="s">
        <v>271</v>
      </c>
      <c r="M49" s="1" t="s">
        <v>272</v>
      </c>
      <c r="N49" s="1" t="s">
        <v>65</v>
      </c>
      <c r="O49" s="1" t="s">
        <v>106</v>
      </c>
      <c r="Q49" s="1" t="s">
        <v>86</v>
      </c>
      <c r="U49" s="12" t="n">
        <v>0.995833333333333</v>
      </c>
      <c r="V49" s="11" t="n">
        <v>46014</v>
      </c>
      <c r="W49" s="12" t="n">
        <v>0.953472222222222</v>
      </c>
      <c r="X49" s="11" t="n">
        <v>46028</v>
      </c>
      <c r="Y49" s="12" t="n">
        <v>0.142361111111111</v>
      </c>
      <c r="Z49" s="1" t="s">
        <v>108</v>
      </c>
      <c r="AA49" s="1" t="s">
        <v>68</v>
      </c>
      <c r="AB49" s="2" t="n">
        <f aca="false">U49-C49</f>
        <v>0.075</v>
      </c>
      <c r="AC49" s="14" t="str">
        <f aca="false">TEXT(((V49+W49)-(B49+C49)),"hh:mm")</f>
        <v>00:47</v>
      </c>
      <c r="AD49" s="4" t="str">
        <f aca="false">INT((V49+W49)-(B49+C49)) &amp; ":" &amp;
TEXT(HOUR((V49+W49)-(B49+C49)), "00") &amp; ":" &amp;
TEXT(MINUTE((V49+W49)-(B49+C49)), "00")</f>
        <v>1:00:47</v>
      </c>
      <c r="AE49" s="1" t="n">
        <f aca="false">IFERROR(
LEFT(AD49,FIND(":",AD49)-1)
+ MID(AD49,FIND(":",AD49)+1,2)/24
+ RIGHT(AD49,2)/1440,
"")</f>
        <v>1.03263888888889</v>
      </c>
      <c r="AF49" s="4" t="str">
        <f aca="false">INT((X49+Y49)-(B49+C49)) &amp; ":" &amp;
TEXT(HOUR((X49+Y49)-(B49+C49)), "00") &amp; ":" &amp;
TEXT(MINUTE((X49+Y49)-(B49+C49)), "00")</f>
        <v>14:05:19</v>
      </c>
      <c r="AG49" s="4" t="str">
        <f aca="false" t="array" ref="AG49:AG49">INT(_xlfn.XLOOKUP(J49,{"Low","Medium","High","Urgent"},{48,24,12,8})/24) &amp; ":" &amp;
TEXT(MOD(_xlfn.XLOOKUP(J49,{"Low","Medium","High","Urgent"},{48,24,12,8}),24)/24,"hh:mm")</f>
        <v>2:00:00</v>
      </c>
      <c r="AH49" s="4" t="str">
        <f aca="false">IF(AD49&gt;AG49,"Not Met","Met")</f>
        <v>Met</v>
      </c>
      <c r="AI49" s="4" t="str">
        <f aca="false">IF(AB49&lt;TIME(0,30,0),"Met","Not Met")</f>
        <v>Not Met</v>
      </c>
      <c r="AN49" s="1" t="str">
        <f aca="false">TEXT(B49,"dd")</f>
        <v>22</v>
      </c>
      <c r="AO49" s="1" t="str">
        <f aca="false">TEXT(X49,"dd")</f>
        <v>06</v>
      </c>
      <c r="AP49" s="16" t="str">
        <f aca="false">INT(
  NETWORKDAYS(B49,V49)-1
  + IF(WEEKDAY(V49,2)&lt;6,MOD(V49+W49,1),0)
  - IF(WEEKDAY(B49,2)&lt;6,MOD(B49+C49,1),0)
)
&amp; ":" &amp;
TEXT(HOUR(
  NETWORKDAYS(B49,V49)-1
  + IF(WEEKDAY(V49,2)&lt;6,MOD(V49+W49,1),0)
  - IF(WEEKDAY(B49,2)&lt;6,MOD(B49+C49,1),0)
),"00")
&amp; ":" &amp;
TEXT(MINUTE(
  NETWORKDAYS(B49,V49)-1
  + IF(WEEKDAY(V49,2)&lt;6,MOD(V49+W49,1),0)
  - IF(WEEKDAY(B49,2)&lt;6,MOD(B49+C49,1),0)
),"00")</f>
        <v>1:00:47</v>
      </c>
      <c r="AQ49" s="0" t="n">
        <f aca="false">IFERROR(
LEFT(AP49,FIND(":",AP49)-1)
+ MID(AP49,FIND(":",AP49)+1,2)/24
+ RIGHT(AP49,2)/1440,
"")</f>
        <v>1.03263888888889</v>
      </c>
      <c r="AR49" s="0" t="n">
        <f aca="false">WEEKNUM(B49,1)</f>
        <v>52</v>
      </c>
      <c r="AS49" s="17" t="n">
        <f aca="false">IF(B49&gt;0, (B49+C49)-TIME(13,30,0), "")</f>
        <v>46013.3583333333</v>
      </c>
      <c r="AT49" s="18" t="n">
        <f aca="false">IF(B49&gt;0, (B49+C49)-TIME(13,30,0), "")</f>
        <v>46013.3583333333</v>
      </c>
      <c r="AU49" s="17" t="n">
        <f aca="false">IF(V49&gt;0, (V49+W49)-TIME(13,30,0), "")</f>
        <v>46014.3909722222</v>
      </c>
      <c r="AV49" s="18" t="n">
        <f aca="false">IF(V49&gt;0, (V49+W49)-TIME(13,30,0), "")</f>
        <v>46014.3909722222</v>
      </c>
      <c r="AW49" s="19" t="n">
        <f aca="false">24*(
MAX(0,
IF(NETWORKDAYS(AS49,AU49)=1,
MIN(MOD(AV49,1),TIME(17,30,0)) - MAX(MOD(AT49,1),TIME(8,30,0)),
(TIME(17,30,0)-MAX(MOD(AT49,1),TIME(8,30,0)))
+ (MIN(MOD(AV49,1),TIME(17,30,0))-TIME(8,30,0))
+ (NETWORKDAYS(AS49,AU49)-2)*9/24
)
)
)</f>
        <v>9.78333333333333</v>
      </c>
      <c r="AX49" s="19" t="n">
        <f aca="false">24*(
MAX(0,
IF(NETWORKDAYS(AS49,AU49)=1,
MIN(MOD(AV49,1),TIME(17,30,0)) - MAX(MOD(AT49,1),TIME(8,30,0)),
(TIME(17,30,0)-MAX(MOD(AT49,1),TIME(8,30,0)))
+ (MIN(MOD(AV49,1),TIME(17,30,0))-TIME(8,30,0))
+ (NETWORKDAYS(AS49,AU49)-2)* (TIME(17,30,0)-TIME(8,30,0))
)
)
)</f>
        <v>9.78333333333333</v>
      </c>
      <c r="AY49" s="20" t="n">
        <f aca="false">ROUND(
IF(AS49=AU49,
MAX(0,
(MIN(MOD(AV49,1),TIME(17,30,0))-
MAX(MOD(AT49,1),TIME(8,30,0)))*24
),
(
(MAX(0,TIME(17,30,0)-MAX(MOD(AT49,1),TIME(8,30,0)))*24)
+
(MAX(0,MIN(MOD(AV49,1),TIME(17,30,0))-TIME(8,30,0))*24)
+
(MAX(0,NETWORKDAYS(AS49+1,AU49-1))*9)
)
),
2)</f>
        <v>9.78</v>
      </c>
      <c r="AZ49" s="0" t="n">
        <f aca="false" t="array" ref="AZ49:AZ49">_xlfn.XLOOKUP(J49,{"Low","Medium","High"},{270,72,24})</f>
        <v>270</v>
      </c>
      <c r="BA49" s="0" t="str">
        <f aca="false">IF(AW49&gt;AZ49,"Not Met","Met")</f>
        <v>Met</v>
      </c>
      <c r="BB49" s="21" t="str">
        <f aca="false">IF(AS49="","",TEXT(AS49,"MMM")&amp;"'"&amp;TEXT(AS49,"yy"))</f>
        <v>Dec'25</v>
      </c>
      <c r="BC49" s="0" t="str">
        <f aca="false">IF(AU49="","",TEXT(AU49,"MMM")&amp;"'"&amp;TEXT(AU49,"yy"))</f>
        <v>Dec'25</v>
      </c>
    </row>
    <row r="50" customFormat="false" ht="15" hidden="false" customHeight="false" outlineLevel="0" collapsed="false">
      <c r="A50" s="23" t="s">
        <v>273</v>
      </c>
      <c r="B50" s="24" t="n">
        <v>46013</v>
      </c>
      <c r="C50" s="12" t="n">
        <v>0.934722222222222</v>
      </c>
      <c r="D50" s="13" t="str">
        <f aca="false">IF(B50="","",TEXT(B50,"MMM")&amp;"'"&amp;TEXT(B50,"yy"))</f>
        <v>Dec'25</v>
      </c>
      <c r="E50" s="1" t="s">
        <v>55</v>
      </c>
      <c r="F50" s="1" t="s">
        <v>39</v>
      </c>
      <c r="G50" s="1" t="str">
        <f aca="false">IF(F50="Closed","Closed","Pending")</f>
        <v>Closed</v>
      </c>
      <c r="H50" s="1" t="s">
        <v>157</v>
      </c>
      <c r="I50" s="1" t="s">
        <v>274</v>
      </c>
      <c r="J50" s="1" t="s">
        <v>74</v>
      </c>
      <c r="K50" s="1" t="s">
        <v>59</v>
      </c>
      <c r="L50" s="1" t="s">
        <v>275</v>
      </c>
      <c r="M50" s="1" t="s">
        <v>276</v>
      </c>
      <c r="N50" s="1" t="s">
        <v>143</v>
      </c>
      <c r="O50" s="1" t="s">
        <v>143</v>
      </c>
      <c r="Q50" s="1" t="s">
        <v>143</v>
      </c>
      <c r="R50" s="1" t="s">
        <v>87</v>
      </c>
      <c r="U50" s="12" t="n">
        <v>0.997222222222222</v>
      </c>
      <c r="V50" s="11" t="n">
        <v>46038</v>
      </c>
      <c r="W50" s="12" t="n">
        <v>0.949305555555556</v>
      </c>
      <c r="X50" s="11" t="n">
        <v>46042</v>
      </c>
      <c r="Y50" s="12" t="n">
        <v>0.964583333333333</v>
      </c>
      <c r="Z50" s="1" t="s">
        <v>67</v>
      </c>
      <c r="AA50" s="1" t="s">
        <v>68</v>
      </c>
      <c r="AB50" s="2" t="n">
        <f aca="false">U50-C50</f>
        <v>0.0625</v>
      </c>
      <c r="AC50" s="14" t="n">
        <f aca="false">(V50+W50)-(B50+C50)</f>
        <v>25.0145833333333</v>
      </c>
      <c r="AD50" s="4" t="str">
        <f aca="false">INT((V50+W50)-(B50+C50)) &amp; ":" &amp;
TEXT(HOUR((V50+W50)-(B50+C50)), "00") &amp; ":" &amp;
TEXT(MINUTE((V50+W50)-(B50+C50)), "00")</f>
        <v>25:00:21</v>
      </c>
      <c r="AE50" s="1" t="n">
        <f aca="false">IFERROR(
LEFT(AD50,FIND(":",AD50)-1)
+ MID(AD50,FIND(":",AD50)+1,2)/24
+ RIGHT(AD50,2)/1440,
"")</f>
        <v>25.0145833333333</v>
      </c>
      <c r="AF50" s="4" t="str">
        <f aca="false">INT((X50+Y50)-(B50+C50)) &amp; ":" &amp;
TEXT(HOUR((X50+Y50)-(B50+C50)), "00") &amp; ":" &amp;
TEXT(MINUTE((X50+Y50)-(B50+C50)), "00")</f>
        <v>29:00:43</v>
      </c>
      <c r="AG50" s="4" t="str">
        <f aca="false" t="array" ref="AG50:AG50">INT(_xlfn.XLOOKUP(J50,{"Low","Medium","High","Urgent"},{48,24,12,8})/24) &amp; ":" &amp;
TEXT(MOD(_xlfn.XLOOKUP(J50,{"Low","Medium","High","Urgent"},{48,24,12,8}),24)/24,"hh:mm")</f>
        <v>2:00:00</v>
      </c>
      <c r="AH50" s="4" t="str">
        <f aca="false">IF(AD50&gt;AG50,"Not Met","Met")</f>
        <v>Not Met</v>
      </c>
      <c r="AI50" s="4" t="str">
        <f aca="false">IF(AB50&lt;TIME(0,30,0),"Met","Not Met")</f>
        <v>Not Met</v>
      </c>
      <c r="AN50" s="1" t="str">
        <f aca="false">TEXT(B50,"dd")</f>
        <v>22</v>
      </c>
      <c r="AO50" s="1" t="str">
        <f aca="false">TEXT(X50,"dd")</f>
        <v>20</v>
      </c>
      <c r="AP50" s="16" t="str">
        <f aca="false">INT(
  NETWORKDAYS(B50,V50)-1
  + IF(WEEKDAY(V50,2)&lt;6,MOD(V50+W50,1),0)
  - IF(WEEKDAY(B50,2)&lt;6,MOD(B50+C50,1),0)
)
&amp; ":" &amp;
TEXT(HOUR(
  NETWORKDAYS(B50,V50)-1
  + IF(WEEKDAY(V50,2)&lt;6,MOD(V50+W50,1),0)
  - IF(WEEKDAY(B50,2)&lt;6,MOD(B50+C50,1),0)
),"00")
&amp; ":" &amp;
TEXT(MINUTE(
  NETWORKDAYS(B50,V50)-1
  + IF(WEEKDAY(V50,2)&lt;6,MOD(V50+W50,1),0)
  - IF(WEEKDAY(B50,2)&lt;6,MOD(B50+C50,1),0)
),"00")</f>
        <v>19:00:21</v>
      </c>
      <c r="AQ50" s="0" t="n">
        <f aca="false">IFERROR(
LEFT(AP50,FIND(":",AP50)-1)
+ MID(AP50,FIND(":",AP50)+1,2)/24
+ RIGHT(AP50,2)/1440,
"")</f>
        <v>19.0145833333333</v>
      </c>
      <c r="AR50" s="0" t="n">
        <f aca="false">WEEKNUM(B50,1)</f>
        <v>52</v>
      </c>
      <c r="AS50" s="17" t="n">
        <f aca="false">IF(B50&gt;0, (B50+C50)-TIME(13,30,0), "")</f>
        <v>46013.3722222222</v>
      </c>
      <c r="AT50" s="18" t="n">
        <f aca="false">IF(B50&gt;0, (B50+C50)-TIME(13,30,0), "")</f>
        <v>46013.3722222222</v>
      </c>
      <c r="AU50" s="17" t="n">
        <f aca="false">IF(V50&gt;0, (V50+W50)-TIME(13,30,0), "")</f>
        <v>46038.3868055556</v>
      </c>
      <c r="AV50" s="18" t="n">
        <f aca="false">IF(V50&gt;0, (V50+W50)-TIME(13,30,0), "")</f>
        <v>46038.3868055556</v>
      </c>
      <c r="AW50" s="19" t="n">
        <f aca="false">24*(
MAX(0,
IF(NETWORKDAYS(AS50,AU50)=1,
MIN(MOD(AV50,1),TIME(17,30,0)) - MAX(MOD(AT50,1),TIME(8,30,0)),
(TIME(17,30,0)-MAX(MOD(AT50,1),TIME(8,30,0)))
+ (MIN(MOD(AV50,1),TIME(17,30,0))-TIME(8,30,0))
+ (NETWORKDAYS(AS50,AU50)-2)*9/24
)
)
)</f>
        <v>171.35</v>
      </c>
      <c r="AX50" s="19" t="n">
        <f aca="false">24*(
MAX(0,
IF(NETWORKDAYS(AS50,AU50)=1,
MIN(MOD(AV50,1),TIME(17,30,0)) - MAX(MOD(AT50,1),TIME(8,30,0)),
(TIME(17,30,0)-MAX(MOD(AT50,1),TIME(8,30,0)))
+ (MIN(MOD(AV50,1),TIME(17,30,0))-TIME(8,30,0))
+ (NETWORKDAYS(AS50,AU50)-2)* (TIME(17,30,0)-TIME(8,30,0))
)
)
)</f>
        <v>171.35</v>
      </c>
      <c r="AY50" s="20" t="n">
        <f aca="false">ROUND(
IF(AS50=AU50,
MAX(0,
(MIN(MOD(AV50,1),TIME(17,30,0))-
MAX(MOD(AT50,1),TIME(8,30,0)))*24
),
(
(MAX(0,TIME(17,30,0)-MAX(MOD(AT50,1),TIME(8,30,0)))*24)
+
(MAX(0,MIN(MOD(AV50,1),TIME(17,30,0))-TIME(8,30,0))*24)
+
(MAX(0,NETWORKDAYS(AS50+1,AU50-1))*9)
)
),
2)</f>
        <v>171.35</v>
      </c>
      <c r="AZ50" s="0" t="n">
        <f aca="false" t="array" ref="AZ50:AZ50">_xlfn.XLOOKUP(J50,{"Low","Medium","High"},{270,72,24})</f>
        <v>270</v>
      </c>
      <c r="BA50" s="0" t="str">
        <f aca="false">IF(AW50&gt;AZ50,"Not Met","Met")</f>
        <v>Met</v>
      </c>
      <c r="BB50" s="21" t="str">
        <f aca="false">IF(AS50="","",TEXT(AS50,"MMM")&amp;"'"&amp;TEXT(AS50,"yy"))</f>
        <v>Dec'25</v>
      </c>
      <c r="BC50" s="0" t="str">
        <f aca="false">IF(AU50="","",TEXT(AU50,"MMM")&amp;"'"&amp;TEXT(AU50,"yy"))</f>
        <v>Jan'26</v>
      </c>
    </row>
    <row r="51" customFormat="false" ht="15" hidden="false" customHeight="false" outlineLevel="0" collapsed="false">
      <c r="A51" s="23" t="s">
        <v>277</v>
      </c>
      <c r="B51" s="24" t="n">
        <v>46013</v>
      </c>
      <c r="C51" s="12" t="n">
        <v>0.927777777777778</v>
      </c>
      <c r="D51" s="13" t="str">
        <f aca="false">IF(B51="","",TEXT(B51,"MMM")&amp;"'"&amp;TEXT(B51,"yy"))</f>
        <v>Dec'25</v>
      </c>
      <c r="E51" s="1" t="s">
        <v>55</v>
      </c>
      <c r="F51" s="1" t="s">
        <v>140</v>
      </c>
      <c r="G51" s="1" t="str">
        <f aca="false">IF(F51="Closed","Closed","Pending")</f>
        <v>Pending</v>
      </c>
      <c r="H51" s="1" t="s">
        <v>185</v>
      </c>
      <c r="I51" s="1" t="s">
        <v>186</v>
      </c>
      <c r="J51" s="1" t="s">
        <v>74</v>
      </c>
      <c r="K51" s="1" t="s">
        <v>59</v>
      </c>
      <c r="L51" s="1" t="s">
        <v>278</v>
      </c>
      <c r="M51" s="1" t="s">
        <v>279</v>
      </c>
      <c r="N51" s="1" t="s">
        <v>143</v>
      </c>
      <c r="O51" s="1" t="s">
        <v>143</v>
      </c>
      <c r="Q51" s="1" t="s">
        <v>143</v>
      </c>
      <c r="U51" s="12" t="n">
        <v>0.995833333333333</v>
      </c>
      <c r="Z51" s="1" t="s">
        <v>67</v>
      </c>
      <c r="AB51" s="2" t="n">
        <f aca="false">U51-C51</f>
        <v>0.0680555555555556</v>
      </c>
      <c r="AC51" s="14" t="n">
        <f aca="false">(V51+W51)-(B51+C51)</f>
        <v>-46013.9277777778</v>
      </c>
      <c r="AD51" s="4" t="str">
        <f aca="false">INT((V51+W51)-(B51+C51)) &amp; ":" &amp;
TEXT(HOUR((V51+W51)-(B51+C51)), "00") &amp; ":" &amp;
TEXT(MINUTE((V51+W51)-(B51+C51)), "00")</f>
        <v>-46014:01:44</v>
      </c>
      <c r="AE51" s="1" t="n">
        <f aca="false">IFERROR(
LEFT(AD51,FIND(":",AD51)-1)
+ MID(AD51,FIND(":",AD51)+1,2)/24
+ RIGHT(AD51,2)/1440,
"")</f>
        <v>-46013.9277777778</v>
      </c>
      <c r="AF51" s="4" t="str">
        <f aca="false">INT((X51+Y51)-(B51+C51)) &amp; ":" &amp;
TEXT(HOUR((X51+Y51)-(B51+C51)), "00") &amp; ":" &amp;
TEXT(MINUTE((X51+Y51)-(B51+C51)), "00")</f>
        <v>-46014:01:44</v>
      </c>
      <c r="AG51" s="4" t="str">
        <f aca="false" t="array" ref="AG51:AG51">INT(_xlfn.XLOOKUP(J51,{"Low","Medium","High","Urgent"},{48,24,12,8})/24) &amp; ":" &amp;
TEXT(MOD(_xlfn.XLOOKUP(J51,{"Low","Medium","High","Urgent"},{48,24,12,8}),24)/24,"hh:mm")</f>
        <v>2:00:00</v>
      </c>
      <c r="AH51" s="4" t="str">
        <f aca="false">IF(AD51&gt;AG51,"Not Met","Met")</f>
        <v>Met</v>
      </c>
      <c r="AI51" s="4" t="str">
        <f aca="false">IF(AB51&lt;TIME(0,30,0),"Met","Not Met")</f>
        <v>Not Met</v>
      </c>
      <c r="AN51" s="1" t="str">
        <f aca="false">TEXT(B51,"dd")</f>
        <v>22</v>
      </c>
      <c r="AO51" s="1" t="str">
        <f aca="false">TEXT(X51,"dd")</f>
        <v>30</v>
      </c>
      <c r="AP51" s="16" t="str">
        <f aca="false">INT(
  NETWORKDAYS(B51,V51)-1
  + IF(WEEKDAY(V51,2)&lt;6,MOD(V51+W51,1),0)
  - IF(WEEKDAY(B51,2)&lt;6,MOD(B51+C51,1),0)
)
&amp; ":" &amp;
TEXT(HOUR(
  NETWORKDAYS(B51,V51)-1
  + IF(WEEKDAY(V51,2)&lt;6,MOD(V51+W51,1),0)
  - IF(WEEKDAY(B51,2)&lt;6,MOD(B51+C51,1),0)
),"00")
&amp; ":" &amp;
TEXT(MINUTE(
  NETWORKDAYS(B51,V51)-1
  + IF(WEEKDAY(V51,2)&lt;6,MOD(V51+W51,1),0)
  - IF(WEEKDAY(B51,2)&lt;6,MOD(B51+C51,1),0)
),"00")</f>
        <v>-32868:01:44</v>
      </c>
      <c r="AQ51" s="0" t="n">
        <f aca="false">IFERROR(
LEFT(AP51,FIND(":",AP51)-1)
+ MID(AP51,FIND(":",AP51)+1,2)/24
+ RIGHT(AP51,2)/1440,
"")</f>
        <v>-32867.9277777778</v>
      </c>
      <c r="AR51" s="0" t="n">
        <f aca="false">WEEKNUM(B51,1)</f>
        <v>52</v>
      </c>
      <c r="AS51" s="17" t="n">
        <f aca="false">IF(B51&gt;0, (B51+C51)-TIME(13,30,0), "")</f>
        <v>46013.3652777778</v>
      </c>
      <c r="AT51" s="18" t="n">
        <f aca="false">IF(B51&gt;0, (B51+C51)-TIME(13,30,0), "")</f>
        <v>46013.3652777778</v>
      </c>
      <c r="AU51" s="17" t="str">
        <f aca="false">IF(V51&gt;0, (V51+W51)-TIME(13,30,0), "")</f>
        <v/>
      </c>
      <c r="AV51" s="18" t="str">
        <f aca="false">IF(V51&gt;0, (V51+W51)-TIME(13,30,0), "")</f>
        <v/>
      </c>
      <c r="AW51" s="19" t="e">
        <f aca="false">24*(
MAX(0,
IF(NETWORKDAYS(AS51,AU51)=1,
MIN(MOD(AV51,1),TIME(17,30,0)) - MAX(MOD(AT51,1),TIME(8,30,0)),
(TIME(17,30,0)-MAX(MOD(AT51,1),TIME(8,30,0)))
+ (MIN(MOD(AV51,1),TIME(17,30,0))-TIME(8,30,0))
+ (NETWORKDAYS(AS51,AU51)-2)*9/24
)
)
)</f>
        <v>#VALUE!</v>
      </c>
      <c r="AX51" s="19" t="e">
        <f aca="false">24*(
MAX(0,
IF(NETWORKDAYS(AS51,AU51)=1,
MIN(MOD(AV51,1),TIME(17,30,0)) - MAX(MOD(AT51,1),TIME(8,30,0)),
(TIME(17,30,0)-MAX(MOD(AT51,1),TIME(8,30,0)))
+ (MIN(MOD(AV51,1),TIME(17,30,0))-TIME(8,30,0))
+ (NETWORKDAYS(AS51,AU51)-2)* (TIME(17,30,0)-TIME(8,30,0))
)
)
)</f>
        <v>#VALUE!</v>
      </c>
      <c r="AY51" s="20" t="e">
        <f aca="false">ROUND(
IF(AS51=AU51,
MAX(0,
(MIN(MOD(AV51,1),TIME(17,30,0))-
MAX(MOD(AT51,1),TIME(8,30,0)))*24
),
(
(MAX(0,TIME(17,30,0)-MAX(MOD(AT51,1),TIME(8,30,0)))*24)
+
(MAX(0,MIN(MOD(AV51,1),TIME(17,30,0))-TIME(8,30,0))*24)
+
(MAX(0,NETWORKDAYS(AS51+1,AU51-1))*9)
)
),
2)</f>
        <v>#VALUE!</v>
      </c>
      <c r="AZ51" s="0" t="n">
        <f aca="false" t="array" ref="AZ51:AZ51">_xlfn.XLOOKUP(J51,{"Low","Medium","High"},{270,72,24})</f>
        <v>270</v>
      </c>
      <c r="BA51" s="0" t="e">
        <f aca="false">IF(AW51&gt;AZ51,"Not Met","Met")</f>
        <v>#VALUE!</v>
      </c>
      <c r="BB51" s="21" t="str">
        <f aca="false">IF(AS51="","",TEXT(AS51,"MMM")&amp;"'"&amp;TEXT(AS51,"yy"))</f>
        <v>Dec'25</v>
      </c>
      <c r="BC51" s="0" t="str">
        <f aca="false">IF(AU51="","",TEXT(AU51,"MMM")&amp;"'"&amp;TEXT(AU51,"yy"))</f>
        <v/>
      </c>
      <c r="BE51" s="0" t="s">
        <v>144</v>
      </c>
    </row>
    <row r="52" customFormat="false" ht="15" hidden="false" customHeight="false" outlineLevel="0" collapsed="false">
      <c r="A52" s="23" t="s">
        <v>280</v>
      </c>
      <c r="B52" s="24" t="n">
        <v>46014</v>
      </c>
      <c r="C52" s="12" t="n">
        <v>0.0361111111111111</v>
      </c>
      <c r="D52" s="13" t="str">
        <f aca="false">IF(B52="","",TEXT(B52,"MMM")&amp;"'"&amp;TEXT(B52,"yy"))</f>
        <v>Dec'25</v>
      </c>
      <c r="E52" s="1" t="s">
        <v>55</v>
      </c>
      <c r="F52" s="26" t="s">
        <v>39</v>
      </c>
      <c r="G52" s="1" t="str">
        <f aca="false">IF(F52="Closed","Closed","Pending")</f>
        <v>Closed</v>
      </c>
      <c r="H52" s="1" t="s">
        <v>256</v>
      </c>
      <c r="I52" s="1" t="s">
        <v>82</v>
      </c>
      <c r="J52" s="1" t="s">
        <v>74</v>
      </c>
      <c r="K52" s="1" t="s">
        <v>59</v>
      </c>
      <c r="L52" s="1" t="s">
        <v>281</v>
      </c>
      <c r="M52" s="23" t="s">
        <v>282</v>
      </c>
      <c r="N52" s="1" t="s">
        <v>65</v>
      </c>
      <c r="O52" s="1" t="s">
        <v>106</v>
      </c>
      <c r="Q52" s="1" t="s">
        <v>86</v>
      </c>
      <c r="U52" s="12" t="n">
        <v>0.0493055555555556</v>
      </c>
      <c r="V52" s="11" t="n">
        <v>46014</v>
      </c>
      <c r="W52" s="12" t="n">
        <v>0.961111111111111</v>
      </c>
      <c r="X52" s="11" t="n">
        <v>46014</v>
      </c>
      <c r="Y52" s="12" t="n">
        <v>0.990972222222222</v>
      </c>
      <c r="Z52" s="1" t="s">
        <v>67</v>
      </c>
      <c r="AA52" s="1" t="s">
        <v>68</v>
      </c>
      <c r="AB52" s="2" t="n">
        <f aca="false">U52-C52</f>
        <v>0.0131944444444444</v>
      </c>
      <c r="AC52" s="14" t="n">
        <f aca="false">(V52+W52)-(B52+C52)</f>
        <v>0.925</v>
      </c>
      <c r="AD52" s="4" t="str">
        <f aca="false">INT((V52+W52)-(B52+C52)) &amp; ":" &amp;
TEXT(HOUR((V52+W52)-(B52+C52)), "00") &amp; ":" &amp;
TEXT(MINUTE((V52+W52)-(B52+C52)), "00")</f>
        <v>0:22:12</v>
      </c>
      <c r="AE52" s="1" t="n">
        <f aca="false">IFERROR(
LEFT(AD52,FIND(":",AD52)-1)
+ MID(AD52,FIND(":",AD52)+1,2)/24
+ RIGHT(AD52,2)/1440,
"")</f>
        <v>0.925</v>
      </c>
      <c r="AF52" s="4" t="str">
        <f aca="false">INT((X52+Y52)-(B52+C52)) &amp; ":" &amp;
TEXT(HOUR((X52+Y52)-(B52+C52)), "00") &amp; ":" &amp;
TEXT(MINUTE((X52+Y52)-(B52+C52)), "00")</f>
        <v>0:22:55</v>
      </c>
      <c r="AG52" s="4" t="str">
        <f aca="false" t="array" ref="AG52:AG52">INT(_xlfn.XLOOKUP(J52,{"Low","Medium","High","Urgent"},{48,24,12,8})/24) &amp; ":" &amp;
TEXT(MOD(_xlfn.XLOOKUP(J52,{"Low","Medium","High","Urgent"},{48,24,12,8}),24)/24,"hh:mm")</f>
        <v>2:00:00</v>
      </c>
      <c r="AH52" s="4" t="str">
        <f aca="false">IF(AD52&gt;AG52,"Not Met","Met")</f>
        <v>Met</v>
      </c>
      <c r="AI52" s="4" t="str">
        <f aca="false">IF(AB52&lt;TIME(0,30,0),"Met","Not Met")</f>
        <v>Met</v>
      </c>
      <c r="AN52" s="1" t="str">
        <f aca="false">TEXT(B52,"dd")</f>
        <v>23</v>
      </c>
      <c r="AO52" s="1" t="str">
        <f aca="false">TEXT(X52,"dd")</f>
        <v>23</v>
      </c>
      <c r="AP52" s="16" t="str">
        <f aca="false">INT(
  NETWORKDAYS(B52,V52)-1
  + IF(WEEKDAY(V52,2)&lt;6,MOD(V52+W52,1),0)
  - IF(WEEKDAY(B52,2)&lt;6,MOD(B52+C52,1),0)
)
&amp; ":" &amp;
TEXT(HOUR(
  NETWORKDAYS(B52,V52)-1
  + IF(WEEKDAY(V52,2)&lt;6,MOD(V52+W52,1),0)
  - IF(WEEKDAY(B52,2)&lt;6,MOD(B52+C52,1),0)
),"00")
&amp; ":" &amp;
TEXT(MINUTE(
  NETWORKDAYS(B52,V52)-1
  + IF(WEEKDAY(V52,2)&lt;6,MOD(V52+W52,1),0)
  - IF(WEEKDAY(B52,2)&lt;6,MOD(B52+C52,1),0)
),"00")</f>
        <v>0:22:11</v>
      </c>
      <c r="AQ52" s="0" t="n">
        <f aca="false">IFERROR(
LEFT(AP52,FIND(":",AP52)-1)
+ MID(AP52,FIND(":",AP52)+1,2)/24
+ RIGHT(AP52,2)/1440,
"")</f>
        <v>0.924305555555556</v>
      </c>
      <c r="AR52" s="0" t="n">
        <f aca="false">WEEKNUM(B52,1)</f>
        <v>52</v>
      </c>
      <c r="AS52" s="17" t="n">
        <f aca="false">IF(B52&gt;0, (B52+C52)-TIME(13,30,0), "")</f>
        <v>46013.4736111111</v>
      </c>
      <c r="AT52" s="18" t="n">
        <f aca="false">IF(B52&gt;0, (B52+C52)-TIME(13,30,0), "")</f>
        <v>46013.4736111111</v>
      </c>
      <c r="AU52" s="17" t="n">
        <f aca="false">IF(V52&gt;0, (V52+W52)-TIME(13,30,0), "")</f>
        <v>46014.3986111111</v>
      </c>
      <c r="AV52" s="18" t="n">
        <f aca="false">IF(V52&gt;0, (V52+W52)-TIME(13,30,0), "")</f>
        <v>46014.3986111111</v>
      </c>
      <c r="AW52" s="19" t="n">
        <f aca="false">24*(
MAX(0,
IF(NETWORKDAYS(AS52,AU52)=1,
MIN(MOD(AV52,1),TIME(17,30,0)) - MAX(MOD(AT52,1),TIME(8,30,0)),
(TIME(17,30,0)-MAX(MOD(AT52,1),TIME(8,30,0)))
+ (MIN(MOD(AV52,1),TIME(17,30,0))-TIME(8,30,0))
+ (NETWORKDAYS(AS52,AU52)-2)*9/24
)
)
)</f>
        <v>7.2</v>
      </c>
      <c r="AX52" s="19" t="n">
        <f aca="false">24*(
MAX(0,
IF(NETWORKDAYS(AS52,AU52)=1,
MIN(MOD(AV52,1),TIME(17,30,0)) - MAX(MOD(AT52,1),TIME(8,30,0)),
(TIME(17,30,0)-MAX(MOD(AT52,1),TIME(8,30,0)))
+ (MIN(MOD(AV52,1),TIME(17,30,0))-TIME(8,30,0))
+ (NETWORKDAYS(AS52,AU52)-2)* (TIME(17,30,0)-TIME(8,30,0))
)
)
)</f>
        <v>7.2</v>
      </c>
      <c r="AY52" s="20" t="n">
        <f aca="false">ROUND(
IF(AS52=AU52,
MAX(0,
(MIN(MOD(AV52,1),TIME(17,30,0))-
MAX(MOD(AT52,1),TIME(8,30,0)))*24
),
(
(MAX(0,TIME(17,30,0)-MAX(MOD(AT52,1),TIME(8,30,0)))*24)
+
(MAX(0,MIN(MOD(AV52,1),TIME(17,30,0))-TIME(8,30,0))*24)
+
(MAX(0,NETWORKDAYS(AS52+1,AU52-1))*9)
)
),
2)</f>
        <v>7.2</v>
      </c>
      <c r="AZ52" s="0" t="n">
        <f aca="false" t="array" ref="AZ52:AZ52">_xlfn.XLOOKUP(J52,{"Low","Medium","High"},{270,72,24})</f>
        <v>270</v>
      </c>
      <c r="BA52" s="0" t="str">
        <f aca="false">IF(AW52&gt;AZ52,"Not Met","Met")</f>
        <v>Met</v>
      </c>
      <c r="BB52" s="21" t="str">
        <f aca="false">IF(AS52="","",TEXT(AS52,"MMM")&amp;"'"&amp;TEXT(AS52,"yy"))</f>
        <v>Dec'25</v>
      </c>
      <c r="BC52" s="0" t="str">
        <f aca="false">IF(AU52="","",TEXT(AU52,"MMM")&amp;"'"&amp;TEXT(AU52,"yy"))</f>
        <v>Dec'25</v>
      </c>
    </row>
    <row r="53" customFormat="false" ht="15" hidden="false" customHeight="false" outlineLevel="0" collapsed="false">
      <c r="A53" s="23" t="s">
        <v>283</v>
      </c>
      <c r="B53" s="24" t="n">
        <v>46014</v>
      </c>
      <c r="C53" s="12" t="n">
        <v>0.0423611111111111</v>
      </c>
      <c r="D53" s="13" t="str">
        <f aca="false">IF(B53="","",TEXT(B53,"MMM")&amp;"'"&amp;TEXT(B53,"yy"))</f>
        <v>Dec'25</v>
      </c>
      <c r="E53" s="27" t="s">
        <v>55</v>
      </c>
      <c r="F53" s="1" t="s">
        <v>39</v>
      </c>
      <c r="G53" s="28" t="str">
        <f aca="false">IF(F53="Closed","Closed","Pending")</f>
        <v>Closed</v>
      </c>
      <c r="H53" s="1" t="s">
        <v>81</v>
      </c>
      <c r="I53" s="1" t="s">
        <v>82</v>
      </c>
      <c r="J53" s="1" t="s">
        <v>74</v>
      </c>
      <c r="K53" s="1" t="s">
        <v>59</v>
      </c>
      <c r="L53" s="1" t="s">
        <v>284</v>
      </c>
      <c r="M53" s="1" t="s">
        <v>285</v>
      </c>
      <c r="N53" s="1" t="s">
        <v>62</v>
      </c>
      <c r="O53" s="1" t="s">
        <v>63</v>
      </c>
      <c r="Q53" s="1" t="s">
        <v>229</v>
      </c>
      <c r="R53" s="1" t="s">
        <v>230</v>
      </c>
      <c r="U53" s="12" t="n">
        <v>0.532638888888889</v>
      </c>
      <c r="V53" s="11" t="n">
        <v>46125</v>
      </c>
      <c r="W53" s="12" t="n">
        <v>0.871527777777778</v>
      </c>
      <c r="X53" s="11" t="n">
        <v>46125</v>
      </c>
      <c r="Y53" s="12" t="n">
        <v>0.961111111111111</v>
      </c>
      <c r="Z53" s="1" t="s">
        <v>108</v>
      </c>
      <c r="AA53" s="1" t="s">
        <v>68</v>
      </c>
      <c r="AB53" s="2" t="n">
        <f aca="false">U53-C53</f>
        <v>0.490277777777778</v>
      </c>
      <c r="AC53" s="14" t="n">
        <f aca="false">(V53+W53)-(B53+C53)</f>
        <v>111.829166666667</v>
      </c>
      <c r="AD53" s="4" t="str">
        <f aca="false">INT((V53+W53)-(B53+C53)) &amp; ":" &amp;
TEXT(HOUR((V53+W53)-(B53+C53)), "00") &amp; ":" &amp;
TEXT(MINUTE((V53+W53)-(B53+C53)), "00")</f>
        <v>111:19:54</v>
      </c>
      <c r="AE53" s="1" t="n">
        <f aca="false">IFERROR(
LEFT(AD53,FIND(":",AD53)-1)
+ MID(AD53,FIND(":",AD53)+1,2)/24
+ RIGHT(AD53,2)/1440,
"")</f>
        <v>111.829166666667</v>
      </c>
      <c r="AF53" s="4" t="str">
        <f aca="false">INT((X53+Y53)-(B53+C53)) &amp; ":" &amp;
TEXT(HOUR((X53+Y53)-(B53+C53)), "00") &amp; ":" &amp;
TEXT(MINUTE((X53+Y53)-(B53+C53)), "00")</f>
        <v>111:22:03</v>
      </c>
      <c r="AG53" s="4" t="str">
        <f aca="false" t="array" ref="AG53:AG53">INT(_xlfn.XLOOKUP(J53,{"Low","Medium","High","Urgent"},{48,24,12,8})/24) &amp; ":" &amp;
TEXT(MOD(_xlfn.XLOOKUP(J53,{"Low","Medium","High","Urgent"},{48,24,12,8}),24)/24,"hh:mm")</f>
        <v>2:00:00</v>
      </c>
      <c r="AH53" s="4" t="str">
        <f aca="false">IF(AD53&gt;AG53,"Not Met","Met")</f>
        <v>Met</v>
      </c>
      <c r="AI53" s="4" t="str">
        <f aca="false">IF(AB53&lt;TIME(0,30,0),"Met","Not Met")</f>
        <v>Not Met</v>
      </c>
      <c r="AN53" s="1" t="str">
        <f aca="false">TEXT(B53,"dd")</f>
        <v>23</v>
      </c>
      <c r="AO53" s="1" t="str">
        <f aca="false">TEXT(X53,"dd")</f>
        <v>13</v>
      </c>
      <c r="AP53" s="16" t="str">
        <f aca="false">INT(
  NETWORKDAYS(B53,V53)-1
  + IF(WEEKDAY(V53,2)&lt;6,MOD(V53+W53,1),0)
  - IF(WEEKDAY(B53,2)&lt;6,MOD(B53+C53,1),0)
)
&amp; ":" &amp;
TEXT(HOUR(
  NETWORKDAYS(B53,V53)-1
  + IF(WEEKDAY(V53,2)&lt;6,MOD(V53+W53,1),0)
  - IF(WEEKDAY(B53,2)&lt;6,MOD(B53+C53,1),0)
),"00")
&amp; ":" &amp;
TEXT(MINUTE(
  NETWORKDAYS(B53,V53)-1
  + IF(WEEKDAY(V53,2)&lt;6,MOD(V53+W53,1),0)
  - IF(WEEKDAY(B53,2)&lt;6,MOD(B53+C53,1),0)
),"00")</f>
        <v>79:19:54</v>
      </c>
      <c r="AQ53" s="0" t="n">
        <f aca="false">IFERROR(
LEFT(AP53,FIND(":",AP53)-1)
+ MID(AP53,FIND(":",AP53)+1,2)/24
+ RIGHT(AP53,2)/1440,
"")</f>
        <v>79.8291666666667</v>
      </c>
      <c r="AR53" s="0" t="n">
        <f aca="false">WEEKNUM(B53,1)</f>
        <v>52</v>
      </c>
      <c r="AS53" s="17" t="n">
        <f aca="false">IF(B53&gt;0, (B53+C53)-TIME(13,30,0), "")</f>
        <v>46013.4798611111</v>
      </c>
      <c r="AT53" s="18" t="n">
        <f aca="false">IF(B53&gt;0, (B53+C53)-TIME(13,30,0), "")</f>
        <v>46013.4798611111</v>
      </c>
      <c r="AU53" s="17" t="n">
        <f aca="false">IF(V53&gt;0, (V53+W53)-TIME(13,30,0), "")</f>
        <v>46125.3090277778</v>
      </c>
      <c r="AV53" s="18" t="n">
        <f aca="false">IF(V53&gt;0, (V53+W53)-TIME(13,30,0), "")</f>
        <v>46125.3090277778</v>
      </c>
      <c r="AW53" s="19" t="n">
        <f aca="false">24*(
MAX(0,
IF(NETWORKDAYS(AS53,AU53)=1,
MIN(MOD(AV53,1),TIME(17,30,0)) - MAX(MOD(AT53,1),TIME(8,30,0)),
(TIME(17,30,0)-MAX(MOD(AT53,1),TIME(8,30,0)))
+ (MIN(MOD(AV53,1),TIME(17,30,0))-TIME(8,30,0))
+ (NETWORKDAYS(AS53,AU53)-2)*9/24
)
)
)</f>
        <v>715.9</v>
      </c>
      <c r="AX53" s="19" t="n">
        <f aca="false">24*(
MAX(0,
IF(NETWORKDAYS(AS53,AU53)=1,
MIN(MOD(AV53,1),TIME(17,30,0)) - MAX(MOD(AT53,1),TIME(8,30,0)),
(TIME(17,30,0)-MAX(MOD(AT53,1),TIME(8,30,0)))
+ (MIN(MOD(AV53,1),TIME(17,30,0))-TIME(8,30,0))
+ (NETWORKDAYS(AS53,AU53)-2)* (TIME(17,30,0)-TIME(8,30,0))
)
)
)</f>
        <v>715.9</v>
      </c>
      <c r="AY53" s="20" t="n">
        <f aca="false">ROUND(
IF(AS53=AU53,
MAX(0,
(MIN(MOD(AV53,1),TIME(17,30,0))-
MAX(MOD(AT53,1),TIME(8,30,0)))*24
),
(
(MAX(0,TIME(17,30,0)-MAX(MOD(AT53,1),TIME(8,30,0)))*24)
+
(MAX(0,MIN(MOD(AV53,1),TIME(17,30,0))-TIME(8,30,0))*24)
+
(MAX(0,NETWORKDAYS(AS53+1,AU53-1))*9)
)
),
2)</f>
        <v>716.98</v>
      </c>
      <c r="AZ53" s="0" t="n">
        <f aca="false" t="array" ref="AZ53:AZ53">_xlfn.XLOOKUP(J53,{"Low","Medium","High"},{270,72,24})</f>
        <v>270</v>
      </c>
      <c r="BA53" s="0" t="str">
        <f aca="false">IF(AW53&gt;AZ53,"Not Met","Met")</f>
        <v>Not Met</v>
      </c>
      <c r="BB53" s="21" t="str">
        <f aca="false">IF(AS53="","",TEXT(AS53,"MMM")&amp;"'"&amp;TEXT(AS53,"yy"))</f>
        <v>Dec'25</v>
      </c>
      <c r="BC53" s="0" t="str">
        <f aca="false">IF(AU53="","",TEXT(AU53,"MMM")&amp;"'"&amp;TEXT(AU53,"yy"))</f>
        <v>Apr'26</v>
      </c>
    </row>
    <row r="54" customFormat="false" ht="15" hidden="false" customHeight="false" outlineLevel="0" collapsed="false">
      <c r="A54" s="23" t="s">
        <v>286</v>
      </c>
      <c r="B54" s="24" t="n">
        <v>46014</v>
      </c>
      <c r="C54" s="12" t="n">
        <v>0.0881944444444445</v>
      </c>
      <c r="D54" s="13" t="str">
        <f aca="false">IF(B54="","",TEXT(B54,"MMM")&amp;"'"&amp;TEXT(B54,"yy"))</f>
        <v>Dec'25</v>
      </c>
      <c r="E54" s="1" t="s">
        <v>55</v>
      </c>
      <c r="F54" s="29" t="s">
        <v>39</v>
      </c>
      <c r="G54" s="1" t="str">
        <f aca="false">IF(F54="Closed","Closed","Pending")</f>
        <v>Closed</v>
      </c>
      <c r="H54" s="1" t="s">
        <v>72</v>
      </c>
      <c r="I54" s="1" t="s">
        <v>135</v>
      </c>
      <c r="J54" s="1" t="s">
        <v>58</v>
      </c>
      <c r="K54" s="1" t="s">
        <v>59</v>
      </c>
      <c r="L54" s="1" t="s">
        <v>287</v>
      </c>
      <c r="M54" s="1" t="s">
        <v>288</v>
      </c>
      <c r="N54" s="1" t="s">
        <v>62</v>
      </c>
      <c r="O54" s="1" t="s">
        <v>63</v>
      </c>
      <c r="Q54" s="1" t="s">
        <v>229</v>
      </c>
      <c r="R54" s="1" t="s">
        <v>87</v>
      </c>
      <c r="S54" s="1" t="s">
        <v>289</v>
      </c>
      <c r="U54" s="12" t="n">
        <v>0.0909722222222222</v>
      </c>
      <c r="V54" s="11" t="n">
        <v>46014</v>
      </c>
      <c r="W54" s="12" t="n">
        <v>0.965972222222222</v>
      </c>
      <c r="X54" s="11" t="n">
        <v>46029</v>
      </c>
      <c r="Y54" s="12" t="n">
        <v>0.495138888888889</v>
      </c>
      <c r="Z54" s="1" t="s">
        <v>108</v>
      </c>
      <c r="AA54" s="1" t="s">
        <v>68</v>
      </c>
      <c r="AB54" s="2" t="n">
        <f aca="false">U54-C54</f>
        <v>0.00277777777777778</v>
      </c>
      <c r="AC54" s="14" t="n">
        <f aca="false">(V54+W54)-(B54+C54)</f>
        <v>0.877777777777778</v>
      </c>
      <c r="AD54" s="4" t="str">
        <f aca="false">INT((V54+W54)-(B54+C54)) &amp; ":" &amp;
TEXT(HOUR((V54+W54)-(B54+C54)), "00") &amp; ":" &amp;
TEXT(MINUTE((V54+W54)-(B54+C54)), "00")</f>
        <v>0:21:04</v>
      </c>
      <c r="AE54" s="1" t="n">
        <f aca="false">IFERROR(
LEFT(AD54,FIND(":",AD54)-1)
+ MID(AD54,FIND(":",AD54)+1,2)/24
+ RIGHT(AD54,2)/1440,
"")</f>
        <v>0.877777777777778</v>
      </c>
      <c r="AF54" s="4" t="str">
        <f aca="false">INT((X54+Y54)-(B54+C54)) &amp; ":" &amp;
TEXT(HOUR((X54+Y54)-(B54+C54)), "00") &amp; ":" &amp;
TEXT(MINUTE((X54+Y54)-(B54+C54)), "00")</f>
        <v>15:09:46</v>
      </c>
      <c r="AG54" s="4" t="str">
        <f aca="false" t="array" ref="AG54:AG54">INT(_xlfn.XLOOKUP(J54,{"Low","Medium","High","Urgent"},{48,24,12,8})/24) &amp; ":" &amp;
TEXT(MOD(_xlfn.XLOOKUP(J54,{"Low","Medium","High","Urgent"},{48,24,12,8}),24)/24,"hh:mm")</f>
        <v>1:00:00</v>
      </c>
      <c r="AH54" s="4" t="str">
        <f aca="false">IF(AD54&gt;AG54,"Not Met","Met")</f>
        <v>Met</v>
      </c>
      <c r="AI54" s="4" t="str">
        <f aca="false">IF(AB54&lt;TIME(0,30,0),"Met","Not Met")</f>
        <v>Met</v>
      </c>
      <c r="AN54" s="1" t="str">
        <f aca="false">TEXT(B54,"dd")</f>
        <v>23</v>
      </c>
      <c r="AO54" s="1" t="str">
        <f aca="false">TEXT(X54,"dd")</f>
        <v>07</v>
      </c>
      <c r="AP54" s="16" t="str">
        <f aca="false">INT(
  NETWORKDAYS(B54,V54)-1
  + IF(WEEKDAY(V54,2)&lt;6,MOD(V54+W54,1),0)
  - IF(WEEKDAY(B54,2)&lt;6,MOD(B54+C54,1),0)
)
&amp; ":" &amp;
TEXT(HOUR(
  NETWORKDAYS(B54,V54)-1
  + IF(WEEKDAY(V54,2)&lt;6,MOD(V54+W54,1),0)
  - IF(WEEKDAY(B54,2)&lt;6,MOD(B54+C54,1),0)
),"00")
&amp; ":" &amp;
TEXT(MINUTE(
  NETWORKDAYS(B54,V54)-1
  + IF(WEEKDAY(V54,2)&lt;6,MOD(V54+W54,1),0)
  - IF(WEEKDAY(B54,2)&lt;6,MOD(B54+C54,1),0)
),"00")</f>
        <v>0:21:04</v>
      </c>
      <c r="AQ54" s="0" t="n">
        <f aca="false">IFERROR(
LEFT(AP54,FIND(":",AP54)-1)
+ MID(AP54,FIND(":",AP54)+1,2)/24
+ RIGHT(AP54,2)/1440,
"")</f>
        <v>0.877777777777778</v>
      </c>
      <c r="AR54" s="0" t="n">
        <f aca="false">WEEKNUM(B54,1)</f>
        <v>52</v>
      </c>
      <c r="AS54" s="17" t="n">
        <f aca="false">IF(B54&gt;0, (B54+C54)-TIME(13,30,0), "")</f>
        <v>46013.5256944444</v>
      </c>
      <c r="AT54" s="18" t="n">
        <f aca="false">IF(B54&gt;0, (B54+C54)-TIME(13,30,0), "")</f>
        <v>46013.5256944444</v>
      </c>
      <c r="AU54" s="17" t="n">
        <f aca="false">IF(V54&gt;0, (V54+W54)-TIME(13,30,0), "")</f>
        <v>46014.4034722222</v>
      </c>
      <c r="AV54" s="18" t="n">
        <f aca="false">IF(V54&gt;0, (V54+W54)-TIME(13,30,0), "")</f>
        <v>46014.4034722222</v>
      </c>
      <c r="AW54" s="19" t="n">
        <f aca="false">24*(
MAX(0,
IF(NETWORKDAYS(AS54,AU54)=1,
MIN(MOD(AV54,1),TIME(17,30,0)) - MAX(MOD(AT54,1),TIME(8,30,0)),
(TIME(17,30,0)-MAX(MOD(AT54,1),TIME(8,30,0)))
+ (MIN(MOD(AV54,1),TIME(17,30,0))-TIME(8,30,0))
+ (NETWORKDAYS(AS54,AU54)-2)*9/24
)
)
)</f>
        <v>6.06666666675195</v>
      </c>
      <c r="AX54" s="19" t="n">
        <f aca="false">24*(
MAX(0,
IF(NETWORKDAYS(AS54,AU54)=1,
MIN(MOD(AV54,1),TIME(17,30,0)) - MAX(MOD(AT54,1),TIME(8,30,0)),
(TIME(17,30,0)-MAX(MOD(AT54,1),TIME(8,30,0)))
+ (MIN(MOD(AV54,1),TIME(17,30,0))-TIME(8,30,0))
+ (NETWORKDAYS(AS54,AU54)-2)* (TIME(17,30,0)-TIME(8,30,0))
)
)
)</f>
        <v>6.06666666675195</v>
      </c>
      <c r="AY54" s="20" t="n">
        <f aca="false">ROUND(
IF(AS54=AU54,
MAX(0,
(MIN(MOD(AV54,1),TIME(17,30,0))-
MAX(MOD(AT54,1),TIME(8,30,0)))*24
),
(
(MAX(0,TIME(17,30,0)-MAX(MOD(AT54,1),TIME(8,30,0)))*24)
+
(MAX(0,MIN(MOD(AV54,1),TIME(17,30,0))-TIME(8,30,0))*24)
+
(MAX(0,NETWORKDAYS(AS54+1,AU54-1))*9)
)
),
2)</f>
        <v>6.07</v>
      </c>
      <c r="AZ54" s="0" t="n">
        <f aca="false" t="array" ref="AZ54:AZ54">_xlfn.XLOOKUP(J54,{"Low","Medium","High"},{270,72,24})</f>
        <v>72</v>
      </c>
      <c r="BA54" s="0" t="str">
        <f aca="false">IF(AW54&gt;AZ54,"Not Met","Met")</f>
        <v>Met</v>
      </c>
      <c r="BB54" s="21" t="str">
        <f aca="false">IF(AS54="","",TEXT(AS54,"MMM")&amp;"'"&amp;TEXT(AS54,"yy"))</f>
        <v>Dec'25</v>
      </c>
      <c r="BC54" s="0" t="str">
        <f aca="false">IF(AU54="","",TEXT(AU54,"MMM")&amp;"'"&amp;TEXT(AU54,"yy"))</f>
        <v>Dec'25</v>
      </c>
    </row>
    <row r="55" customFormat="false" ht="15" hidden="false" customHeight="false" outlineLevel="0" collapsed="false">
      <c r="A55" s="23" t="s">
        <v>290</v>
      </c>
      <c r="B55" s="24" t="n">
        <v>46014</v>
      </c>
      <c r="C55" s="12" t="n">
        <v>0.989583333333333</v>
      </c>
      <c r="D55" s="13" t="str">
        <f aca="false">IF(B55="","",TEXT(B55,"MMM")&amp;"'"&amp;TEXT(B55,"yy"))</f>
        <v>Dec'25</v>
      </c>
      <c r="E55" s="1" t="s">
        <v>55</v>
      </c>
      <c r="F55" s="1" t="s">
        <v>39</v>
      </c>
      <c r="G55" s="1" t="str">
        <f aca="false">IF(F55="Closed","Closed","Pending")</f>
        <v>Closed</v>
      </c>
      <c r="H55" s="1" t="s">
        <v>56</v>
      </c>
      <c r="I55" s="1" t="s">
        <v>82</v>
      </c>
      <c r="J55" s="1" t="s">
        <v>74</v>
      </c>
      <c r="K55" s="1" t="s">
        <v>59</v>
      </c>
      <c r="L55" s="23" t="s">
        <v>291</v>
      </c>
      <c r="M55" s="1" t="s">
        <v>234</v>
      </c>
      <c r="N55" s="1" t="s">
        <v>65</v>
      </c>
      <c r="O55" s="1" t="s">
        <v>106</v>
      </c>
      <c r="Q55" s="1" t="s">
        <v>86</v>
      </c>
      <c r="R55" s="1" t="s">
        <v>87</v>
      </c>
      <c r="U55" s="12" t="n">
        <v>0.991666666666667</v>
      </c>
      <c r="V55" s="11" t="n">
        <v>46015</v>
      </c>
      <c r="W55" s="12" t="n">
        <v>0.954861111111111</v>
      </c>
      <c r="X55" s="11" t="n">
        <v>46015</v>
      </c>
      <c r="Y55" s="12" t="n">
        <v>0.988888888888889</v>
      </c>
      <c r="Z55" s="1" t="s">
        <v>67</v>
      </c>
      <c r="AA55" s="1" t="s">
        <v>68</v>
      </c>
      <c r="AB55" s="2" t="n">
        <f aca="false">U55-C55</f>
        <v>0.00208333333333333</v>
      </c>
      <c r="AC55" s="14" t="n">
        <f aca="false">(V55+W55)-(B55+C55)</f>
        <v>0.965277777777778</v>
      </c>
      <c r="AD55" s="4" t="str">
        <f aca="false">INT((V55+W55)-(B55+C55)) &amp; ":" &amp;
TEXT(HOUR((V55+W55)-(B55+C55)), "00") &amp; ":" &amp;
TEXT(MINUTE((V55+W55)-(B55+C55)), "00")</f>
        <v>0:23:10</v>
      </c>
      <c r="AE55" s="1" t="n">
        <f aca="false">IFERROR(
LEFT(AD55,FIND(":",AD55)-1)
+ MID(AD55,FIND(":",AD55)+1,2)/24
+ RIGHT(AD55,2)/1440,
"")</f>
        <v>0.965277777777778</v>
      </c>
      <c r="AF55" s="4" t="str">
        <f aca="false">INT((X55+Y55)-(B55+C55)) &amp; ":" &amp;
TEXT(HOUR((X55+Y55)-(B55+C55)), "00") &amp; ":" &amp;
TEXT(MINUTE((X55+Y55)-(B55+C55)), "00")</f>
        <v>0:23:59</v>
      </c>
      <c r="AG55" s="4" t="str">
        <f aca="false" t="array" ref="AG55:AG55">INT(_xlfn.XLOOKUP(J55,{"Low","Medium","High","Urgent"},{48,24,12,8})/24) &amp; ":" &amp;
TEXT(MOD(_xlfn.XLOOKUP(J55,{"Low","Medium","High","Urgent"},{48,24,12,8}),24)/24,"hh:mm")</f>
        <v>2:00:00</v>
      </c>
      <c r="AH55" s="4" t="str">
        <f aca="false">IF(AD55&gt;AG55,"Not Met","Met")</f>
        <v>Met</v>
      </c>
      <c r="AI55" s="4" t="str">
        <f aca="false">IF(AB55&lt;TIME(0,30,0),"Met","Not Met")</f>
        <v>Met</v>
      </c>
      <c r="AN55" s="1" t="str">
        <f aca="false">TEXT(B55,"dd")</f>
        <v>23</v>
      </c>
      <c r="AO55" s="1" t="str">
        <f aca="false">TEXT(X55,"dd")</f>
        <v>24</v>
      </c>
      <c r="AP55" s="16" t="str">
        <f aca="false">INT(
  NETWORKDAYS(B55,V55)-1
  + IF(WEEKDAY(V55,2)&lt;6,MOD(V55+W55,1),0)
  - IF(WEEKDAY(B55,2)&lt;6,MOD(B55+C55,1),0)
)
&amp; ":" &amp;
TEXT(HOUR(
  NETWORKDAYS(B55,V55)-1
  + IF(WEEKDAY(V55,2)&lt;6,MOD(V55+W55,1),0)
  - IF(WEEKDAY(B55,2)&lt;6,MOD(B55+C55,1),0)
),"00")
&amp; ":" &amp;
TEXT(MINUTE(
  NETWORKDAYS(B55,V55)-1
  + IF(WEEKDAY(V55,2)&lt;6,MOD(V55+W55,1),0)
  - IF(WEEKDAY(B55,2)&lt;6,MOD(B55+C55,1),0)
),"00")</f>
        <v>0:23:09</v>
      </c>
      <c r="AQ55" s="0" t="n">
        <f aca="false">IFERROR(
LEFT(AP55,FIND(":",AP55)-1)
+ MID(AP55,FIND(":",AP55)+1,2)/24
+ RIGHT(AP55,2)/1440,
"")</f>
        <v>0.964583333333333</v>
      </c>
      <c r="AR55" s="0" t="n">
        <f aca="false">WEEKNUM(B55,1)</f>
        <v>52</v>
      </c>
      <c r="AS55" s="17" t="n">
        <f aca="false">IF(B55&gt;0, (B55+C55)-TIME(13,30,0), "")</f>
        <v>46014.4270833333</v>
      </c>
      <c r="AT55" s="18" t="n">
        <f aca="false">IF(B55&gt;0, (B55+C55)-TIME(13,30,0), "")</f>
        <v>46014.4270833333</v>
      </c>
      <c r="AU55" s="17" t="n">
        <f aca="false">IF(V55&gt;0, (V55+W55)-TIME(13,30,0), "")</f>
        <v>46015.3923611111</v>
      </c>
      <c r="AV55" s="18" t="n">
        <f aca="false">IF(V55&gt;0, (V55+W55)-TIME(13,30,0), "")</f>
        <v>46015.3923611111</v>
      </c>
      <c r="AW55" s="19" t="n">
        <f aca="false">24*(
MAX(0,
IF(NETWORKDAYS(AS55,AU55)=1,
MIN(MOD(AV55,1),TIME(17,30,0)) - MAX(MOD(AT55,1),TIME(8,30,0)),
(TIME(17,30,0)-MAX(MOD(AT55,1),TIME(8,30,0)))
+ (MIN(MOD(AV55,1),TIME(17,30,0))-TIME(8,30,0))
+ (NETWORKDAYS(AS55,AU55)-2)*9/24
)
)
)</f>
        <v>8.16666666666667</v>
      </c>
      <c r="AX55" s="19" t="n">
        <f aca="false">24*(
MAX(0,
IF(NETWORKDAYS(AS55,AU55)=1,
MIN(MOD(AV55,1),TIME(17,30,0)) - MAX(MOD(AT55,1),TIME(8,30,0)),
(TIME(17,30,0)-MAX(MOD(AT55,1),TIME(8,30,0)))
+ (MIN(MOD(AV55,1),TIME(17,30,0))-TIME(8,30,0))
+ (NETWORKDAYS(AS55,AU55)-2)* (TIME(17,30,0)-TIME(8,30,0))
)
)
)</f>
        <v>8.16666666666667</v>
      </c>
      <c r="AY55" s="20" t="n">
        <f aca="false">ROUND(
IF(AS55=AU55,
MAX(0,
(MIN(MOD(AV55,1),TIME(17,30,0))-
MAX(MOD(AT55,1),TIME(8,30,0)))*24
),
(
(MAX(0,TIME(17,30,0)-MAX(MOD(AT55,1),TIME(8,30,0)))*24)
+
(MAX(0,MIN(MOD(AV55,1),TIME(17,30,0))-TIME(8,30,0))*24)
+
(MAX(0,NETWORKDAYS(AS55+1,AU55-1))*9)
)
),
2)</f>
        <v>8.17</v>
      </c>
      <c r="AZ55" s="0" t="n">
        <f aca="false" t="array" ref="AZ55:AZ55">_xlfn.XLOOKUP(J55,{"Low","Medium","High"},{270,72,24})</f>
        <v>270</v>
      </c>
      <c r="BA55" s="0" t="str">
        <f aca="false">IF(AW55&gt;AZ55,"Not Met","Met")</f>
        <v>Met</v>
      </c>
      <c r="BB55" s="21" t="str">
        <f aca="false">IF(AS55="","",TEXT(AS55,"MMM")&amp;"'"&amp;TEXT(AS55,"yy"))</f>
        <v>Dec'25</v>
      </c>
      <c r="BC55" s="0" t="str">
        <f aca="false">IF(AU55="","",TEXT(AU55,"MMM")&amp;"'"&amp;TEXT(AU55,"yy"))</f>
        <v>Dec'25</v>
      </c>
    </row>
    <row r="56" customFormat="false" ht="15" hidden="false" customHeight="false" outlineLevel="0" collapsed="false">
      <c r="A56" s="23" t="s">
        <v>292</v>
      </c>
      <c r="B56" s="24" t="n">
        <v>46015</v>
      </c>
      <c r="C56" s="12" t="n">
        <v>0.00208333333333333</v>
      </c>
      <c r="D56" s="13" t="str">
        <f aca="false">IF(B56="","",TEXT(B56,"MMM")&amp;"'"&amp;TEXT(B56,"yy"))</f>
        <v>Dec'25</v>
      </c>
      <c r="E56" s="1" t="s">
        <v>55</v>
      </c>
      <c r="F56" s="1" t="s">
        <v>39</v>
      </c>
      <c r="G56" s="1" t="str">
        <f aca="false">IF(F56="Closed","Closed","Pending")</f>
        <v>Closed</v>
      </c>
      <c r="H56" s="1" t="s">
        <v>72</v>
      </c>
      <c r="I56" s="1" t="s">
        <v>168</v>
      </c>
      <c r="J56" s="1" t="s">
        <v>74</v>
      </c>
      <c r="K56" s="1" t="s">
        <v>59</v>
      </c>
      <c r="L56" s="23" t="s">
        <v>293</v>
      </c>
      <c r="M56" s="1" t="s">
        <v>261</v>
      </c>
      <c r="N56" s="1" t="s">
        <v>65</v>
      </c>
      <c r="O56" s="1" t="s">
        <v>106</v>
      </c>
      <c r="Q56" s="1" t="s">
        <v>86</v>
      </c>
      <c r="U56" s="12" t="n">
        <v>0.00486111111111111</v>
      </c>
      <c r="V56" s="11" t="n">
        <v>46017</v>
      </c>
      <c r="W56" s="12" t="n">
        <v>0.934722222222222</v>
      </c>
      <c r="X56" s="11" t="n">
        <v>46018</v>
      </c>
      <c r="Y56" s="12" t="n">
        <v>0.0215277777777778</v>
      </c>
      <c r="Z56" s="1" t="s">
        <v>67</v>
      </c>
      <c r="AA56" s="1" t="s">
        <v>68</v>
      </c>
      <c r="AB56" s="2" t="n">
        <f aca="false">U56-C56</f>
        <v>0.00277777777777778</v>
      </c>
      <c r="AC56" s="14" t="n">
        <f aca="false">(V56+W56)-(B56+C56)</f>
        <v>2.93263888888889</v>
      </c>
      <c r="AD56" s="4" t="str">
        <f aca="false">INT((V56+W56)-(B56+C56)) &amp; ":" &amp;
TEXT(HOUR((V56+W56)-(B56+C56)), "00") &amp; ":" &amp;
TEXT(MINUTE((V56+W56)-(B56+C56)), "00")</f>
        <v>2:22:23</v>
      </c>
      <c r="AE56" s="1" t="n">
        <f aca="false">IFERROR(
LEFT(AD56,FIND(":",AD56)-1)
+ MID(AD56,FIND(":",AD56)+1,2)/24
+ RIGHT(AD56,2)/1440,
"")</f>
        <v>2.93263888888889</v>
      </c>
      <c r="AF56" s="4" t="str">
        <f aca="false">INT((X56+Y56)-(B56+C56)) &amp; ":" &amp;
TEXT(HOUR((X56+Y56)-(B56+C56)), "00") &amp; ":" &amp;
TEXT(MINUTE((X56+Y56)-(B56+C56)), "00")</f>
        <v>3:00:28</v>
      </c>
      <c r="AG56" s="4" t="str">
        <f aca="false" t="array" ref="AG56:AG56">INT(_xlfn.XLOOKUP(J56,{"Low","Medium","High","Urgent"},{48,24,12,8})/24) &amp; ":" &amp;
TEXT(MOD(_xlfn.XLOOKUP(J56,{"Low","Medium","High","Urgent"},{48,24,12,8}),24)/24,"hh:mm")</f>
        <v>2:00:00</v>
      </c>
      <c r="AH56" s="4" t="str">
        <f aca="false">IF(AD56&gt;AG56,"Not Met","Met")</f>
        <v>Not Met</v>
      </c>
      <c r="AI56" s="4" t="str">
        <f aca="false">IF(AB56&lt;TIME(0,30,0),"Met","Not Met")</f>
        <v>Met</v>
      </c>
      <c r="AN56" s="1" t="str">
        <f aca="false">TEXT(B56,"dd")</f>
        <v>24</v>
      </c>
      <c r="AO56" s="1" t="str">
        <f aca="false">TEXT(X56,"dd")</f>
        <v>27</v>
      </c>
      <c r="AP56" s="16" t="str">
        <f aca="false">INT(
  NETWORKDAYS(B56,V56)-1
  + IF(WEEKDAY(V56,2)&lt;6,MOD(V56+W56,1),0)
  - IF(WEEKDAY(B56,2)&lt;6,MOD(B56+C56,1),0)
)
&amp; ":" &amp;
TEXT(HOUR(
  NETWORKDAYS(B56,V56)-1
  + IF(WEEKDAY(V56,2)&lt;6,MOD(V56+W56,1),0)
  - IF(WEEKDAY(B56,2)&lt;6,MOD(B56+C56,1),0)
),"00")
&amp; ":" &amp;
TEXT(MINUTE(
  NETWORKDAYS(B56,V56)-1
  + IF(WEEKDAY(V56,2)&lt;6,MOD(V56+W56,1),0)
  - IF(WEEKDAY(B56,2)&lt;6,MOD(B56+C56,1),0)
),"00")</f>
        <v>2:22:22</v>
      </c>
      <c r="AQ56" s="0" t="n">
        <f aca="false">IFERROR(
LEFT(AP56,FIND(":",AP56)-1)
+ MID(AP56,FIND(":",AP56)+1,2)/24
+ RIGHT(AP56,2)/1440,
"")</f>
        <v>2.93194444444444</v>
      </c>
      <c r="AR56" s="0" t="n">
        <f aca="false">WEEKNUM(B56,1)</f>
        <v>52</v>
      </c>
      <c r="AS56" s="17" t="n">
        <f aca="false">IF(B56&gt;0, (B56+C56)-TIME(13,30,0), "")</f>
        <v>46014.4395833333</v>
      </c>
      <c r="AT56" s="18" t="n">
        <f aca="false">IF(B56&gt;0, (B56+C56)-TIME(13,30,0), "")</f>
        <v>46014.4395833333</v>
      </c>
      <c r="AU56" s="17" t="n">
        <f aca="false">IF(V56&gt;0, (V56+W56)-TIME(13,30,0), "")</f>
        <v>46017.3722222222</v>
      </c>
      <c r="AV56" s="18" t="n">
        <f aca="false">IF(V56&gt;0, (V56+W56)-TIME(13,30,0), "")</f>
        <v>46017.3722222222</v>
      </c>
      <c r="AW56" s="19" t="n">
        <f aca="false">24*(
MAX(0,
IF(NETWORKDAYS(AS56,AU56)=1,
MIN(MOD(AV56,1),TIME(17,30,0)) - MAX(MOD(AT56,1),TIME(8,30,0)),
(TIME(17,30,0)-MAX(MOD(AT56,1),TIME(8,30,0)))
+ (MIN(MOD(AV56,1),TIME(17,30,0))-TIME(8,30,0))
+ (NETWORKDAYS(AS56,AU56)-2)*9/24
)
)
)</f>
        <v>25.3833333333333</v>
      </c>
      <c r="AX56" s="19" t="n">
        <f aca="false">24*(
MAX(0,
IF(NETWORKDAYS(AS56,AU56)=1,
MIN(MOD(AV56,1),TIME(17,30,0)) - MAX(MOD(AT56,1),TIME(8,30,0)),
(TIME(17,30,0)-MAX(MOD(AT56,1),TIME(8,30,0)))
+ (MIN(MOD(AV56,1),TIME(17,30,0))-TIME(8,30,0))
+ (NETWORKDAYS(AS56,AU56)-2)* (TIME(17,30,0)-TIME(8,30,0))
)
)
)</f>
        <v>25.3833333333333</v>
      </c>
      <c r="AY56" s="20" t="n">
        <f aca="false">ROUND(
IF(AS56=AU56,
MAX(0,
(MIN(MOD(AV56,1),TIME(17,30,0))-
MAX(MOD(AT56,1),TIME(8,30,0)))*24
),
(
(MAX(0,TIME(17,30,0)-MAX(MOD(AT56,1),TIME(8,30,0)))*24)
+
(MAX(0,MIN(MOD(AV56,1),TIME(17,30,0))-TIME(8,30,0))*24)
+
(MAX(0,NETWORKDAYS(AS56+1,AU56-1))*9)
)
),
2)</f>
        <v>25.38</v>
      </c>
      <c r="AZ56" s="0" t="n">
        <f aca="false" t="array" ref="AZ56:AZ56">_xlfn.XLOOKUP(J56,{"Low","Medium","High"},{270,72,24})</f>
        <v>270</v>
      </c>
      <c r="BA56" s="0" t="str">
        <f aca="false">IF(AW56&gt;AZ56,"Not Met","Met")</f>
        <v>Met</v>
      </c>
      <c r="BB56" s="21" t="str">
        <f aca="false">IF(AS56="","",TEXT(AS56,"MMM")&amp;"'"&amp;TEXT(AS56,"yy"))</f>
        <v>Dec'25</v>
      </c>
      <c r="BC56" s="0" t="str">
        <f aca="false">IF(AU56="","",TEXT(AU56,"MMM")&amp;"'"&amp;TEXT(AU56,"yy"))</f>
        <v>Dec'25</v>
      </c>
    </row>
    <row r="57" customFormat="false" ht="15" hidden="false" customHeight="false" outlineLevel="0" collapsed="false">
      <c r="A57" s="23" t="s">
        <v>294</v>
      </c>
      <c r="B57" s="24" t="n">
        <v>46016</v>
      </c>
      <c r="C57" s="12" t="n">
        <v>0.214583333333333</v>
      </c>
      <c r="D57" s="13" t="str">
        <f aca="false">IF(B57="","",TEXT(B57,"MMM")&amp;"'"&amp;TEXT(B57,"yy"))</f>
        <v>Dec'25</v>
      </c>
      <c r="E57" s="1" t="s">
        <v>55</v>
      </c>
      <c r="F57" s="1" t="s">
        <v>39</v>
      </c>
      <c r="G57" s="1" t="str">
        <f aca="false">IF(F57="Closed","Closed","Pending")</f>
        <v>Closed</v>
      </c>
      <c r="H57" s="1" t="s">
        <v>81</v>
      </c>
      <c r="I57" s="1" t="s">
        <v>82</v>
      </c>
      <c r="J57" s="1" t="s">
        <v>74</v>
      </c>
      <c r="K57" s="1" t="s">
        <v>59</v>
      </c>
      <c r="L57" s="23" t="s">
        <v>295</v>
      </c>
      <c r="M57" s="23" t="s">
        <v>296</v>
      </c>
      <c r="N57" s="1" t="s">
        <v>65</v>
      </c>
      <c r="O57" s="1" t="s">
        <v>106</v>
      </c>
      <c r="Q57" s="1" t="s">
        <v>86</v>
      </c>
      <c r="R57" s="1" t="s">
        <v>87</v>
      </c>
      <c r="U57" s="12" t="n">
        <v>0.249305555555556</v>
      </c>
      <c r="V57" s="11" t="n">
        <v>46028</v>
      </c>
      <c r="W57" s="12" t="n">
        <v>0.00972222222222222</v>
      </c>
      <c r="X57" s="11" t="n">
        <v>46028</v>
      </c>
      <c r="Y57" s="12" t="n">
        <v>0.0402777777777778</v>
      </c>
      <c r="Z57" s="1" t="s">
        <v>67</v>
      </c>
      <c r="AA57" s="1" t="s">
        <v>68</v>
      </c>
      <c r="AB57" s="2" t="n">
        <f aca="false">U57-C57</f>
        <v>0.0347222222222222</v>
      </c>
      <c r="AC57" s="14" t="n">
        <f aca="false">(V57+W57)-(B57+C57)</f>
        <v>11.7951388888889</v>
      </c>
      <c r="AD57" s="4" t="str">
        <f aca="false">INT((V57+W57)-(B57+C57)) &amp; ":" &amp;
TEXT(HOUR((V57+W57)-(B57+C57)), "00") &amp; ":" &amp;
TEXT(MINUTE((V57+W57)-(B57+C57)), "00")</f>
        <v>11:19:05</v>
      </c>
      <c r="AE57" s="1" t="n">
        <f aca="false">IFERROR(
LEFT(AD57,FIND(":",AD57)-1)
+ MID(AD57,FIND(":",AD57)+1,2)/24
+ RIGHT(AD57,2)/1440,
"")</f>
        <v>11.7951388888889</v>
      </c>
      <c r="AF57" s="4" t="str">
        <f aca="false">INT((X57+Y57)-(B57+C57)) &amp; ":" &amp;
TEXT(HOUR((X57+Y57)-(B57+C57)), "00") &amp; ":" &amp;
TEXT(MINUTE((X57+Y57)-(B57+C57)), "00")</f>
        <v>11:19:49</v>
      </c>
      <c r="AG57" s="4" t="str">
        <f aca="false" t="array" ref="AG57:AG57">INT(_xlfn.XLOOKUP(J57,{"Low","Medium","High","Urgent"},{48,24,12,8})/24) &amp; ":" &amp;
TEXT(MOD(_xlfn.XLOOKUP(J57,{"Low","Medium","High","Urgent"},{48,24,12,8}),24)/24,"hh:mm")</f>
        <v>2:00:00</v>
      </c>
      <c r="AH57" s="4" t="str">
        <f aca="false">IF(AD57&gt;AG57,"Not Met","Met")</f>
        <v>Met</v>
      </c>
      <c r="AI57" s="4" t="str">
        <f aca="false">IF(AB57&lt;TIME(0,30,0),"Met","Not Met")</f>
        <v>Not Met</v>
      </c>
      <c r="AN57" s="1" t="str">
        <f aca="false">TEXT(B57,"dd")</f>
        <v>25</v>
      </c>
      <c r="AO57" s="1" t="str">
        <f aca="false">TEXT(X57,"dd")</f>
        <v>06</v>
      </c>
      <c r="AP57" s="16" t="str">
        <f aca="false">INT(
  NETWORKDAYS(B57,V57)-1
  + IF(WEEKDAY(V57,2)&lt;6,MOD(V57+W57,1),0)
  - IF(WEEKDAY(B57,2)&lt;6,MOD(B57+C57,1),0)
)
&amp; ":" &amp;
TEXT(HOUR(
  NETWORKDAYS(B57,V57)-1
  + IF(WEEKDAY(V57,2)&lt;6,MOD(V57+W57,1),0)
  - IF(WEEKDAY(B57,2)&lt;6,MOD(B57+C57,1),0)
),"00")
&amp; ":" &amp;
TEXT(MINUTE(
  NETWORKDAYS(B57,V57)-1
  + IF(WEEKDAY(V57,2)&lt;6,MOD(V57+W57,1),0)
  - IF(WEEKDAY(B57,2)&lt;6,MOD(B57+C57,1),0)
),"00")</f>
        <v>7:19:05</v>
      </c>
      <c r="AQ57" s="0" t="n">
        <f aca="false">IFERROR(
LEFT(AP57,FIND(":",AP57)-1)
+ MID(AP57,FIND(":",AP57)+1,2)/24
+ RIGHT(AP57,2)/1440,
"")</f>
        <v>7.79513888888889</v>
      </c>
      <c r="AR57" s="0" t="n">
        <f aca="false">WEEKNUM(B57,1)</f>
        <v>52</v>
      </c>
      <c r="AS57" s="17" t="n">
        <f aca="false">IF(B57&gt;0, (B57+C57)-TIME(13,30,0), "")</f>
        <v>46015.6520833333</v>
      </c>
      <c r="AT57" s="18" t="n">
        <f aca="false">IF(B57&gt;0, (B57+C57)-TIME(13,30,0), "")</f>
        <v>46015.6520833333</v>
      </c>
      <c r="AU57" s="17" t="n">
        <f aca="false">IF(V57&gt;0, (V57+W57)-TIME(13,30,0), "")</f>
        <v>46027.4472222222</v>
      </c>
      <c r="AV57" s="18" t="n">
        <f aca="false">IF(V57&gt;0, (V57+W57)-TIME(13,30,0), "")</f>
        <v>46027.4472222222</v>
      </c>
      <c r="AW57" s="19" t="n">
        <f aca="false">24*(
MAX(0,
IF(NETWORKDAYS(AS57,AU57)=1,
MIN(MOD(AV57,1),TIME(17,30,0)) - MAX(MOD(AT57,1),TIME(8,30,0)),
(TIME(17,30,0)-MAX(MOD(AT57,1),TIME(8,30,0)))
+ (MIN(MOD(AV57,1),TIME(17,30,0))-TIME(8,30,0))
+ (NETWORKDAYS(AS57,AU57)-2)*9/24
)
)
)</f>
        <v>67.0833333333333</v>
      </c>
      <c r="AX57" s="19" t="n">
        <f aca="false">24*(
MAX(0,
IF(NETWORKDAYS(AS57,AU57)=1,
MIN(MOD(AV57,1),TIME(17,30,0)) - MAX(MOD(AT57,1),TIME(8,30,0)),
(TIME(17,30,0)-MAX(MOD(AT57,1),TIME(8,30,0)))
+ (MIN(MOD(AV57,1),TIME(17,30,0))-TIME(8,30,0))
+ (NETWORKDAYS(AS57,AU57)-2)* (TIME(17,30,0)-TIME(8,30,0))
)
)
)</f>
        <v>67.0833333333333</v>
      </c>
      <c r="AY57" s="20" t="n">
        <f aca="false">ROUND(
IF(AS57=AU57,
MAX(0,
(MIN(MOD(AV57,1),TIME(17,30,0))-
MAX(MOD(AT57,1),TIME(8,30,0)))*24
),
(
(MAX(0,TIME(17,30,0)-MAX(MOD(AT57,1),TIME(8,30,0)))*24)
+
(MAX(0,MIN(MOD(AV57,1),TIME(17,30,0))-TIME(8,30,0))*24)
+
(MAX(0,NETWORKDAYS(AS57+1,AU57-1))*9)
)
),
2)</f>
        <v>67.08</v>
      </c>
      <c r="AZ57" s="0" t="n">
        <f aca="false" t="array" ref="AZ57:AZ57">_xlfn.XLOOKUP(J57,{"Low","Medium","High"},{270,72,24})</f>
        <v>270</v>
      </c>
      <c r="BA57" s="0" t="str">
        <f aca="false">IF(AW57&gt;AZ57,"Not Met","Met")</f>
        <v>Met</v>
      </c>
      <c r="BB57" s="21" t="str">
        <f aca="false">IF(AS57="","",TEXT(AS57,"MMM")&amp;"'"&amp;TEXT(AS57,"yy"))</f>
        <v>Dec'25</v>
      </c>
      <c r="BC57" s="0" t="str">
        <f aca="false">IF(AU57="","",TEXT(AU57,"MMM")&amp;"'"&amp;TEXT(AU57,"yy"))</f>
        <v>Jan'26</v>
      </c>
    </row>
    <row r="58" customFormat="false" ht="15" hidden="false" customHeight="false" outlineLevel="0" collapsed="false">
      <c r="A58" s="1" t="s">
        <v>297</v>
      </c>
      <c r="B58" s="11" t="n">
        <v>46018</v>
      </c>
      <c r="C58" s="12" t="n">
        <v>0.190277777777778</v>
      </c>
      <c r="D58" s="13" t="str">
        <f aca="false">IF(B58="","",TEXT(B58,"MMM")&amp;"'"&amp;TEXT(B58,"yy"))</f>
        <v>Dec'25</v>
      </c>
      <c r="E58" s="1" t="s">
        <v>55</v>
      </c>
      <c r="F58" s="1" t="s">
        <v>39</v>
      </c>
      <c r="G58" s="1" t="str">
        <f aca="false">IF(F58="Closed","Closed","Pending")</f>
        <v>Closed</v>
      </c>
      <c r="H58" s="1" t="s">
        <v>72</v>
      </c>
      <c r="I58" s="1" t="s">
        <v>298</v>
      </c>
      <c r="J58" s="1" t="s">
        <v>74</v>
      </c>
      <c r="K58" s="1" t="s">
        <v>59</v>
      </c>
      <c r="L58" s="23" t="s">
        <v>299</v>
      </c>
      <c r="M58" s="23" t="s">
        <v>300</v>
      </c>
      <c r="N58" s="1" t="s">
        <v>62</v>
      </c>
      <c r="O58" s="1" t="s">
        <v>77</v>
      </c>
      <c r="Q58" s="1" t="s">
        <v>86</v>
      </c>
      <c r="R58" s="1" t="s">
        <v>87</v>
      </c>
      <c r="U58" s="12" t="n">
        <v>0.240277777777778</v>
      </c>
      <c r="V58" s="11" t="n">
        <v>46021</v>
      </c>
      <c r="W58" s="12" t="n">
        <v>0.894444444444445</v>
      </c>
      <c r="X58" s="11" t="n">
        <v>46025</v>
      </c>
      <c r="Y58" s="12" t="n">
        <v>0.244444444444444</v>
      </c>
      <c r="Z58" s="1" t="s">
        <v>108</v>
      </c>
      <c r="AA58" s="1" t="s">
        <v>68</v>
      </c>
      <c r="AB58" s="2" t="n">
        <f aca="false">U58-C58</f>
        <v>0.05</v>
      </c>
      <c r="AC58" s="14" t="n">
        <f aca="false">(V58+W58)-(B58+C58)</f>
        <v>3.70416666666667</v>
      </c>
      <c r="AD58" s="4" t="str">
        <f aca="false">INT((V58+W58)-(B58+C58)) &amp; ":" &amp;
TEXT(HOUR((V58+W58)-(B58+C58)), "00") &amp; ":" &amp;
TEXT(MINUTE((V58+W58)-(B58+C58)), "00")</f>
        <v>3:16:54</v>
      </c>
      <c r="AE58" s="1" t="n">
        <f aca="false">IFERROR(
LEFT(AD58,FIND(":",AD58)-1)
+ MID(AD58,FIND(":",AD58)+1,2)/24
+ RIGHT(AD58,2)/1440,
"")</f>
        <v>3.70416666666667</v>
      </c>
      <c r="AF58" s="4" t="str">
        <f aca="false">INT((X58+Y58)-(B58+C58)) &amp; ":" &amp;
TEXT(HOUR((X58+Y58)-(B58+C58)), "00") &amp; ":" &amp;
TEXT(MINUTE((X58+Y58)-(B58+C58)), "00")</f>
        <v>7:01:18</v>
      </c>
      <c r="AG58" s="4" t="str">
        <f aca="false" t="array" ref="AG58:AG58">INT(_xlfn.XLOOKUP(J58,{"Low","Medium","High","Urgent"},{48,24,12,8})/24) &amp; ":" &amp;
TEXT(MOD(_xlfn.XLOOKUP(J58,{"Low","Medium","High","Urgent"},{48,24,12,8}),24)/24,"hh:mm")</f>
        <v>2:00:00</v>
      </c>
      <c r="AH58" s="4" t="str">
        <f aca="false">IF(AD58&gt;AG58,"Not Met","Met")</f>
        <v>Not Met</v>
      </c>
      <c r="AI58" s="4" t="str">
        <f aca="false">IF(AB58&lt;TIME(0,30,0),"Met","Not Met")</f>
        <v>Not Met</v>
      </c>
      <c r="AN58" s="1" t="str">
        <f aca="false">TEXT(B58,"dd")</f>
        <v>27</v>
      </c>
      <c r="AO58" s="1" t="str">
        <f aca="false">TEXT(X58,"dd")</f>
        <v>03</v>
      </c>
      <c r="AP58" s="16" t="str">
        <f aca="false">INT(
  NETWORKDAYS(B58,V58)-1
  + IF(WEEKDAY(V58,2)&lt;6,MOD(V58+W58,1),0)
  - IF(WEEKDAY(B58,2)&lt;6,MOD(B58+C58,1),0)
)
&amp; ":" &amp;
TEXT(HOUR(
  NETWORKDAYS(B58,V58)-1
  + IF(WEEKDAY(V58,2)&lt;6,MOD(V58+W58,1),0)
  - IF(WEEKDAY(B58,2)&lt;6,MOD(B58+C58,1),0)
),"00")
&amp; ":" &amp;
TEXT(MINUTE(
  NETWORKDAYS(B58,V58)-1
  + IF(WEEKDAY(V58,2)&lt;6,MOD(V58+W58,1),0)
  - IF(WEEKDAY(B58,2)&lt;6,MOD(B58+C58,1),0)
),"00")</f>
        <v>1:21:27</v>
      </c>
      <c r="AQ58" s="0" t="n">
        <f aca="false">IFERROR(
LEFT(AP58,FIND(":",AP58)-1)
+ MID(AP58,FIND(":",AP58)+1,2)/24
+ RIGHT(AP58,2)/1440,
"")</f>
        <v>1.89375</v>
      </c>
      <c r="AR58" s="0" t="n">
        <f aca="false">WEEKNUM(B58,1)</f>
        <v>52</v>
      </c>
      <c r="AS58" s="17" t="n">
        <f aca="false">IF(B58&gt;0, (B58+C58)-TIME(13,30,0), "")</f>
        <v>46017.6277777778</v>
      </c>
      <c r="AT58" s="18" t="n">
        <f aca="false">IF(B58&gt;0, (B58+C58)-TIME(13,30,0), "")</f>
        <v>46017.6277777778</v>
      </c>
      <c r="AU58" s="17" t="n">
        <f aca="false">IF(V58&gt;0, (V58+W58)-TIME(13,30,0), "")</f>
        <v>46021.3319444444</v>
      </c>
      <c r="AV58" s="18" t="n">
        <f aca="false">IF(V58&gt;0, (V58+W58)-TIME(13,30,0), "")</f>
        <v>46021.3319444444</v>
      </c>
      <c r="AW58" s="19" t="n">
        <f aca="false">24*(
MAX(0,
IF(NETWORKDAYS(AS58,AU58)=1,
MIN(MOD(AV58,1),TIME(17,30,0)) - MAX(MOD(AT58,1),TIME(8,30,0)),
(TIME(17,30,0)-MAX(MOD(AT58,1),TIME(8,30,0)))
+ (MIN(MOD(AV58,1),TIME(17,30,0))-TIME(8,30,0))
+ (NETWORKDAYS(AS58,AU58)-2)*9/24
)
)
)</f>
        <v>10.8999999998989</v>
      </c>
      <c r="AX58" s="19" t="n">
        <f aca="false">24*(
MAX(0,
IF(NETWORKDAYS(AS58,AU58)=1,
MIN(MOD(AV58,1),TIME(17,30,0)) - MAX(MOD(AT58,1),TIME(8,30,0)),
(TIME(17,30,0)-MAX(MOD(AT58,1),TIME(8,30,0)))
+ (MIN(MOD(AV58,1),TIME(17,30,0))-TIME(8,30,0))
+ (NETWORKDAYS(AS58,AU58)-2)* (TIME(17,30,0)-TIME(8,30,0))
)
)
)</f>
        <v>10.8999999998989</v>
      </c>
      <c r="AY58" s="20" t="n">
        <f aca="false">ROUND(
IF(AS58=AU58,
MAX(0,
(MIN(MOD(AV58,1),TIME(17,30,0))-
MAX(MOD(AT58,1),TIME(8,30,0)))*24
),
(
(MAX(0,TIME(17,30,0)-MAX(MOD(AT58,1),TIME(8,30,0)))*24)
+
(MAX(0,MIN(MOD(AV58,1),TIME(17,30,0))-TIME(8,30,0))*24)
+
(MAX(0,NETWORKDAYS(AS58+1,AU58-1))*9)
)
),
2)</f>
        <v>11.43</v>
      </c>
      <c r="AZ58" s="0" t="n">
        <f aca="false" t="array" ref="AZ58:AZ58">_xlfn.XLOOKUP(J58,{"Low","Medium","High"},{270,72,24})</f>
        <v>270</v>
      </c>
      <c r="BA58" s="0" t="str">
        <f aca="false">IF(AW58&gt;AZ58,"Not Met","Met")</f>
        <v>Met</v>
      </c>
      <c r="BB58" s="21" t="str">
        <f aca="false">IF(AS58="","",TEXT(AS58,"MMM")&amp;"'"&amp;TEXT(AS58,"yy"))</f>
        <v>Dec'25</v>
      </c>
      <c r="BC58" s="0" t="str">
        <f aca="false">IF(AU58="","",TEXT(AU58,"MMM")&amp;"'"&amp;TEXT(AU58,"yy"))</f>
        <v>Dec'25</v>
      </c>
    </row>
    <row r="59" customFormat="false" ht="15" hidden="false" customHeight="false" outlineLevel="0" collapsed="false">
      <c r="A59" s="23" t="s">
        <v>301</v>
      </c>
      <c r="B59" s="24" t="n">
        <v>46020</v>
      </c>
      <c r="C59" s="12" t="n">
        <v>0.806944444444445</v>
      </c>
      <c r="D59" s="13" t="str">
        <f aca="false">IF(B59="","",TEXT(B59,"MMM")&amp;"'"&amp;TEXT(B59,"yy"))</f>
        <v>Dec'25</v>
      </c>
      <c r="E59" s="1" t="s">
        <v>55</v>
      </c>
      <c r="F59" s="1" t="s">
        <v>39</v>
      </c>
      <c r="G59" s="1" t="str">
        <f aca="false">IF(F59="Closed","Closed","Pending")</f>
        <v>Closed</v>
      </c>
      <c r="H59" s="23" t="s">
        <v>185</v>
      </c>
      <c r="I59" s="1" t="s">
        <v>302</v>
      </c>
      <c r="J59" s="1" t="s">
        <v>74</v>
      </c>
      <c r="K59" s="1" t="s">
        <v>59</v>
      </c>
      <c r="L59" s="23" t="s">
        <v>303</v>
      </c>
      <c r="M59" s="1" t="s">
        <v>304</v>
      </c>
      <c r="N59" s="1" t="s">
        <v>62</v>
      </c>
      <c r="O59" s="1" t="s">
        <v>106</v>
      </c>
      <c r="Q59" s="1" t="s">
        <v>65</v>
      </c>
      <c r="R59" s="1" t="s">
        <v>87</v>
      </c>
      <c r="U59" s="11" t="n">
        <v>46021.1444444444</v>
      </c>
      <c r="V59" s="11" t="n">
        <v>46036</v>
      </c>
      <c r="W59" s="12" t="n">
        <v>0.978472222222222</v>
      </c>
      <c r="X59" s="11" t="n">
        <v>46037</v>
      </c>
      <c r="Y59" s="12" t="n">
        <v>0.471527777777778</v>
      </c>
      <c r="Z59" s="1" t="s">
        <v>108</v>
      </c>
      <c r="AA59" s="1" t="s">
        <v>68</v>
      </c>
      <c r="AB59" s="2" t="n">
        <v>0.3375</v>
      </c>
      <c r="AC59" s="14" t="n">
        <f aca="false">(V59+W59)-(B59+C59)</f>
        <v>16.1715277777778</v>
      </c>
      <c r="AD59" s="4" t="str">
        <f aca="false">INT((V59+W59)-(B59+C59)) &amp; ":" &amp;
TEXT(HOUR((V59+W59)-(B59+C59)), "00") &amp; ":" &amp;
TEXT(MINUTE((V59+W59)-(B59+C59)), "00")</f>
        <v>16:04:07</v>
      </c>
      <c r="AE59" s="1" t="n">
        <f aca="false">IFERROR(
LEFT(AD59,FIND(":",AD59)-1)
+ MID(AD59,FIND(":",AD59)+1,2)/24
+ RIGHT(AD59,2)/1440,
"")</f>
        <v>16.1715277777778</v>
      </c>
      <c r="AF59" s="4" t="str">
        <f aca="false">INT((X59+Y59)-(B59+C59)) &amp; ":" &amp;
TEXT(HOUR((X59+Y59)-(B59+C59)), "00") &amp; ":" &amp;
TEXT(MINUTE((X59+Y59)-(B59+C59)), "00")</f>
        <v>16:15:57</v>
      </c>
      <c r="AG59" s="4" t="str">
        <f aca="false" t="array" ref="AG59:AG59">INT(_xlfn.XLOOKUP(J59,{"Low","Medium","High","Urgent"},{48,24,12,8})/24) &amp; ":" &amp;
TEXT(MOD(_xlfn.XLOOKUP(J59,{"Low","Medium","High","Urgent"},{48,24,12,8}),24)/24,"hh:mm")</f>
        <v>2:00:00</v>
      </c>
      <c r="AH59" s="4" t="str">
        <f aca="false">IF(AD59&gt;AG59,"Not Met","Met")</f>
        <v>Met</v>
      </c>
      <c r="AI59" s="4" t="str">
        <f aca="false">IF(AB59&lt;TIME(0,30,0),"Met","Not Met")</f>
        <v>Not Met</v>
      </c>
      <c r="AN59" s="1" t="str">
        <f aca="false">TEXT(B59,"dd")</f>
        <v>29</v>
      </c>
      <c r="AO59" s="1" t="str">
        <f aca="false">TEXT(X59,"dd")</f>
        <v>15</v>
      </c>
      <c r="AP59" s="16" t="str">
        <f aca="false">INT(
  NETWORKDAYS(B59,V59)-1
  + IF(WEEKDAY(V59,2)&lt;6,MOD(V59+W59,1),0)
  - IF(WEEKDAY(B59,2)&lt;6,MOD(B59+C59,1),0)
)
&amp; ":" &amp;
TEXT(HOUR(
  NETWORKDAYS(B59,V59)-1
  + IF(WEEKDAY(V59,2)&lt;6,MOD(V59+W59,1),0)
  - IF(WEEKDAY(B59,2)&lt;6,MOD(B59+C59,1),0)
),"00")
&amp; ":" &amp;
TEXT(MINUTE(
  NETWORKDAYS(B59,V59)-1
  + IF(WEEKDAY(V59,2)&lt;6,MOD(V59+W59,1),0)
  - IF(WEEKDAY(B59,2)&lt;6,MOD(B59+C59,1),0)
),"00")</f>
        <v>12:04:07</v>
      </c>
      <c r="AQ59" s="0" t="n">
        <f aca="false">IFERROR(
LEFT(AP59,FIND(":",AP59)-1)
+ MID(AP59,FIND(":",AP59)+1,2)/24
+ RIGHT(AP59,2)/1440,
"")</f>
        <v>12.1715277777778</v>
      </c>
      <c r="AR59" s="0" t="n">
        <f aca="false">WEEKNUM(B59,1)</f>
        <v>1</v>
      </c>
      <c r="AS59" s="17" t="n">
        <f aca="false">IF(B59&gt;0, (B59+C59)-TIME(13,30,0), "")</f>
        <v>46020.2444444444</v>
      </c>
      <c r="AT59" s="18" t="n">
        <f aca="false">IF(B59&gt;0, (B59+C59)-TIME(13,30,0), "")</f>
        <v>46020.2444444444</v>
      </c>
      <c r="AU59" s="17" t="n">
        <f aca="false">IF(V59&gt;0, (V59+W59)-TIME(13,30,0), "")</f>
        <v>46036.4159722222</v>
      </c>
      <c r="AV59" s="18" t="n">
        <f aca="false">IF(V59&gt;0, (V59+W59)-TIME(13,30,0), "")</f>
        <v>46036.4159722222</v>
      </c>
      <c r="AW59" s="19" t="n">
        <f aca="false">24*(
MAX(0,
IF(NETWORKDAYS(AS59,AU59)=1,
MIN(MOD(AV59,1),TIME(17,30,0)) - MAX(MOD(AT59,1),TIME(8,30,0)),
(TIME(17,30,0)-MAX(MOD(AT59,1),TIME(8,30,0)))
+ (MIN(MOD(AV59,1),TIME(17,30,0))-TIME(8,30,0))
+ (NETWORKDAYS(AS59,AU59)-2)*9/24
)
)
)</f>
        <v>109.483333333333</v>
      </c>
      <c r="AX59" s="19" t="n">
        <f aca="false">24*(
MAX(0,
IF(NETWORKDAYS(AS59,AU59)=1,
MIN(MOD(AV59,1),TIME(17,30,0)) - MAX(MOD(AT59,1),TIME(8,30,0)),
(TIME(17,30,0)-MAX(MOD(AT59,1),TIME(8,30,0)))
+ (MIN(MOD(AV59,1),TIME(17,30,0))-TIME(8,30,0))
+ (NETWORKDAYS(AS59,AU59)-2)* (TIME(17,30,0)-TIME(8,30,0))
)
)
)</f>
        <v>109.483333333333</v>
      </c>
      <c r="AY59" s="20" t="n">
        <f aca="false">ROUND(
IF(AS59=AU59,
MAX(0,
(MIN(MOD(AV59,1),TIME(17,30,0))-
MAX(MOD(AT59,1),TIME(8,30,0)))*24
),
(
(MAX(0,TIME(17,30,0)-MAX(MOD(AT59,1),TIME(8,30,0)))*24)
+
(MAX(0,MIN(MOD(AV59,1),TIME(17,30,0))-TIME(8,30,0))*24)
+
(MAX(0,NETWORKDAYS(AS59+1,AU59-1))*9)
)
),
2)</f>
        <v>109.48</v>
      </c>
      <c r="AZ59" s="0" t="n">
        <f aca="false" t="array" ref="AZ59:AZ59">_xlfn.XLOOKUP(J59,{"Low","Medium","High"},{270,72,24})</f>
        <v>270</v>
      </c>
      <c r="BA59" s="0" t="str">
        <f aca="false">IF(AW59&gt;AZ59,"Not Met","Met")</f>
        <v>Met</v>
      </c>
      <c r="BB59" s="21" t="str">
        <f aca="false">IF(AS59="","",TEXT(AS59,"MMM")&amp;"'"&amp;TEXT(AS59,"yy"))</f>
        <v>Dec'25</v>
      </c>
      <c r="BC59" s="0" t="str">
        <f aca="false">IF(AU59="","",TEXT(AU59,"MMM")&amp;"'"&amp;TEXT(AU59,"yy"))</f>
        <v>Jan'26</v>
      </c>
    </row>
    <row r="60" customFormat="false" ht="15" hidden="false" customHeight="false" outlineLevel="0" collapsed="false">
      <c r="A60" s="23" t="s">
        <v>305</v>
      </c>
      <c r="B60" s="24" t="n">
        <v>46021</v>
      </c>
      <c r="C60" s="12" t="n">
        <v>0.272222222222222</v>
      </c>
      <c r="D60" s="13" t="str">
        <f aca="false">IF(B60="","",TEXT(B60,"MMM")&amp;"'"&amp;TEXT(B60,"yy"))</f>
        <v>Dec'25</v>
      </c>
      <c r="E60" s="1" t="s">
        <v>55</v>
      </c>
      <c r="F60" s="1" t="s">
        <v>39</v>
      </c>
      <c r="G60" s="1" t="str">
        <f aca="false">IF(F60="Closed","Closed","Pending")</f>
        <v>Closed</v>
      </c>
      <c r="H60" s="23" t="s">
        <v>56</v>
      </c>
      <c r="I60" s="1" t="s">
        <v>206</v>
      </c>
      <c r="J60" s="1" t="s">
        <v>74</v>
      </c>
      <c r="K60" s="1" t="s">
        <v>59</v>
      </c>
      <c r="L60" s="23" t="s">
        <v>306</v>
      </c>
      <c r="M60" s="1" t="s">
        <v>307</v>
      </c>
      <c r="N60" s="1" t="s">
        <v>62</v>
      </c>
      <c r="O60" s="1" t="s">
        <v>63</v>
      </c>
      <c r="S60" s="1" t="s">
        <v>101</v>
      </c>
      <c r="U60" s="12" t="n">
        <v>0.894444444444445</v>
      </c>
      <c r="V60" s="11" t="n">
        <v>46035</v>
      </c>
      <c r="W60" s="12" t="n">
        <v>0.921527777777778</v>
      </c>
      <c r="X60" s="11" t="n">
        <v>46035</v>
      </c>
      <c r="Y60" s="12" t="n">
        <v>0.949305555555556</v>
      </c>
      <c r="Z60" s="1" t="s">
        <v>108</v>
      </c>
      <c r="AA60" s="1" t="s">
        <v>68</v>
      </c>
      <c r="AB60" s="2" t="n">
        <f aca="false">U60-C60</f>
        <v>0.622222222222222</v>
      </c>
      <c r="AC60" s="14" t="n">
        <f aca="false">(V60+W60)-(B60+C60)</f>
        <v>14.6493055555556</v>
      </c>
      <c r="AD60" s="4" t="str">
        <f aca="false">INT((V60+W60)-(B60+C60)) &amp; ":" &amp;
TEXT(HOUR((V60+W60)-(B60+C60)), "00") &amp; ":" &amp;
TEXT(MINUTE((V60+W60)-(B60+C60)), "00")</f>
        <v>14:15:35</v>
      </c>
      <c r="AE60" s="1" t="n">
        <f aca="false">IFERROR(
LEFT(AD60,FIND(":",AD60)-1)
+ MID(AD60,FIND(":",AD60)+1,2)/24
+ RIGHT(AD60,2)/1440,
"")</f>
        <v>14.6493055555556</v>
      </c>
      <c r="AF60" s="4" t="str">
        <f aca="false">INT((X60+Y60)-(B60+C60)) &amp; ":" &amp;
TEXT(HOUR((X60+Y60)-(B60+C60)), "00") &amp; ":" &amp;
TEXT(MINUTE((X60+Y60)-(B60+C60)), "00")</f>
        <v>14:16:15</v>
      </c>
      <c r="AG60" s="4" t="str">
        <f aca="false" t="array" ref="AG60:AG60">INT(_xlfn.XLOOKUP(J60,{"Low","Medium","High","Urgent"},{48,24,12,8})/24) &amp; ":" &amp;
TEXT(MOD(_xlfn.XLOOKUP(J60,{"Low","Medium","High","Urgent"},{48,24,12,8}),24)/24,"hh:mm")</f>
        <v>2:00:00</v>
      </c>
      <c r="AH60" s="4" t="str">
        <f aca="false">IF(AD60&gt;AG60,"Not Met","Met")</f>
        <v>Met</v>
      </c>
      <c r="AI60" s="4" t="str">
        <f aca="false">IF(AB60&lt;TIME(0,30,0),"Met","Not Met")</f>
        <v>Not Met</v>
      </c>
      <c r="AN60" s="1" t="str">
        <f aca="false">TEXT(B60,"dd")</f>
        <v>30</v>
      </c>
      <c r="AO60" s="1" t="str">
        <f aca="false">TEXT(X60,"dd")</f>
        <v>13</v>
      </c>
      <c r="AP60" s="16" t="str">
        <f aca="false">INT(
  NETWORKDAYS(B60,V60)-1
  + IF(WEEKDAY(V60,2)&lt;6,MOD(V60+W60,1),0)
  - IF(WEEKDAY(B60,2)&lt;6,MOD(B60+C60,1),0)
)
&amp; ":" &amp;
TEXT(HOUR(
  NETWORKDAYS(B60,V60)-1
  + IF(WEEKDAY(V60,2)&lt;6,MOD(V60+W60,1),0)
  - IF(WEEKDAY(B60,2)&lt;6,MOD(B60+C60,1),0)
),"00")
&amp; ":" &amp;
TEXT(MINUTE(
  NETWORKDAYS(B60,V60)-1
  + IF(WEEKDAY(V60,2)&lt;6,MOD(V60+W60,1),0)
  - IF(WEEKDAY(B60,2)&lt;6,MOD(B60+C60,1),0)
),"00")</f>
        <v>10:15:34</v>
      </c>
      <c r="AQ60" s="0" t="n">
        <f aca="false">IFERROR(
LEFT(AP60,FIND(":",AP60)-1)
+ MID(AP60,FIND(":",AP60)+1,2)/24
+ RIGHT(AP60,2)/1440,
"")</f>
        <v>10.6486111111111</v>
      </c>
      <c r="AR60" s="0" t="n">
        <f aca="false">WEEKNUM(B60,1)</f>
        <v>1</v>
      </c>
      <c r="AS60" s="17" t="n">
        <f aca="false">IF(B60&gt;0, (B60+C60)-TIME(13,30,0), "")</f>
        <v>46020.7097222222</v>
      </c>
      <c r="AT60" s="18" t="n">
        <f aca="false">IF(B60&gt;0, (B60+C60)-TIME(13,30,0), "")</f>
        <v>46020.7097222222</v>
      </c>
      <c r="AU60" s="17" t="n">
        <f aca="false">IF(V60&gt;0, (V60+W60)-TIME(13,30,0), "")</f>
        <v>46035.3590277778</v>
      </c>
      <c r="AV60" s="18" t="n">
        <f aca="false">IF(V60&gt;0, (V60+W60)-TIME(13,30,0), "")</f>
        <v>46035.3590277778</v>
      </c>
      <c r="AW60" s="19" t="n">
        <f aca="false">24*(
MAX(0,
IF(NETWORKDAYS(AS60,AU60)=1,
MIN(MOD(AV60,1),TIME(17,30,0)) - MAX(MOD(AT60,1),TIME(8,30,0)),
(TIME(17,30,0)-MAX(MOD(AT60,1),TIME(8,30,0)))
+ (MIN(MOD(AV60,1),TIME(17,30,0))-TIME(8,30,0))
+ (NETWORKDAYS(AS60,AU60)-2)*9/24
)
)
)</f>
        <v>90.5833333333333</v>
      </c>
      <c r="AX60" s="19" t="n">
        <f aca="false">24*(
MAX(0,
IF(NETWORKDAYS(AS60,AU60)=1,
MIN(MOD(AV60,1),TIME(17,30,0)) - MAX(MOD(AT60,1),TIME(8,30,0)),
(TIME(17,30,0)-MAX(MOD(AT60,1),TIME(8,30,0)))
+ (MIN(MOD(AV60,1),TIME(17,30,0))-TIME(8,30,0))
+ (NETWORKDAYS(AS60,AU60)-2)* (TIME(17,30,0)-TIME(8,30,0))
)
)
)</f>
        <v>90.5833333333333</v>
      </c>
      <c r="AY60" s="20" t="n">
        <f aca="false">ROUND(
IF(AS60=AU60,
MAX(0,
(MIN(MOD(AV60,1),TIME(17,30,0))-
MAX(MOD(AT60,1),TIME(8,30,0)))*24
),
(
(MAX(0,TIME(17,30,0)-MAX(MOD(AT60,1),TIME(8,30,0)))*24)
+
(MAX(0,MIN(MOD(AV60,1),TIME(17,30,0))-TIME(8,30,0))*24)
+
(MAX(0,NETWORKDAYS(AS60+1,AU60-1))*9)
)
),
2)</f>
        <v>90.58</v>
      </c>
      <c r="AZ60" s="0" t="n">
        <f aca="false" t="array" ref="AZ60:AZ60">_xlfn.XLOOKUP(J60,{"Low","Medium","High"},{270,72,24})</f>
        <v>270</v>
      </c>
      <c r="BA60" s="0" t="str">
        <f aca="false">IF(AW60&gt;AZ60,"Not Met","Met")</f>
        <v>Met</v>
      </c>
      <c r="BB60" s="21" t="str">
        <f aca="false">IF(AS60="","",TEXT(AS60,"MMM")&amp;"'"&amp;TEXT(AS60,"yy"))</f>
        <v>Dec'25</v>
      </c>
      <c r="BC60" s="0" t="str">
        <f aca="false">IF(AU60="","",TEXT(AU60,"MMM")&amp;"'"&amp;TEXT(AU60,"yy"))</f>
        <v>Jan'26</v>
      </c>
    </row>
    <row r="61" customFormat="false" ht="15" hidden="false" customHeight="false" outlineLevel="0" collapsed="false">
      <c r="A61" s="23" t="s">
        <v>308</v>
      </c>
      <c r="B61" s="24" t="n">
        <v>46022</v>
      </c>
      <c r="C61" s="12" t="n">
        <v>0.0305555555555556</v>
      </c>
      <c r="D61" s="13" t="str">
        <f aca="false">IF(B61="","",TEXT(B61,"MMM")&amp;"'"&amp;TEXT(B61,"yy"))</f>
        <v>Dec'25</v>
      </c>
      <c r="E61" s="1" t="s">
        <v>55</v>
      </c>
      <c r="F61" s="1" t="s">
        <v>39</v>
      </c>
      <c r="G61" s="1" t="str">
        <f aca="false">IF(F61="Closed","Closed","Pending")</f>
        <v>Closed</v>
      </c>
      <c r="H61" s="23" t="s">
        <v>185</v>
      </c>
      <c r="I61" s="1" t="s">
        <v>186</v>
      </c>
      <c r="J61" s="1" t="s">
        <v>74</v>
      </c>
      <c r="K61" s="1" t="s">
        <v>59</v>
      </c>
      <c r="L61" s="23" t="s">
        <v>309</v>
      </c>
      <c r="M61" s="1" t="s">
        <v>310</v>
      </c>
      <c r="N61" s="1" t="s">
        <v>62</v>
      </c>
      <c r="O61" s="1" t="s">
        <v>77</v>
      </c>
      <c r="U61" s="12" t="n">
        <v>0.0375</v>
      </c>
      <c r="V61" s="11" t="n">
        <v>46022</v>
      </c>
      <c r="W61" s="12" t="n">
        <v>0.918055555555556</v>
      </c>
      <c r="X61" s="11" t="n">
        <v>46028</v>
      </c>
      <c r="Y61" s="12" t="n">
        <v>0.0159722222222222</v>
      </c>
      <c r="Z61" s="1" t="s">
        <v>108</v>
      </c>
      <c r="AA61" s="1" t="s">
        <v>68</v>
      </c>
      <c r="AB61" s="2" t="n">
        <f aca="false">U61-C61</f>
        <v>0.00694444444444444</v>
      </c>
      <c r="AC61" s="14" t="n">
        <f aca="false">(V61+W61)-(B61+C61)</f>
        <v>0.8875</v>
      </c>
      <c r="AD61" s="4" t="str">
        <f aca="false">INT((V61+W61)-(B61+C61)) &amp; ":" &amp;
TEXT(HOUR((V61+W61)-(B61+C61)), "00") &amp; ":" &amp;
TEXT(MINUTE((V61+W61)-(B61+C61)), "00")</f>
        <v>0:21:18</v>
      </c>
      <c r="AE61" s="1" t="n">
        <f aca="false">IFERROR(
LEFT(AD61,FIND(":",AD61)-1)
+ MID(AD61,FIND(":",AD61)+1,2)/24
+ RIGHT(AD61,2)/1440,
"")</f>
        <v>0.8875</v>
      </c>
      <c r="AF61" s="4" t="str">
        <f aca="false">INT((X61+Y61)-(B61+C61)) &amp; ":" &amp;
TEXT(HOUR((X61+Y61)-(B61+C61)), "00") &amp; ":" &amp;
TEXT(MINUTE((X61+Y61)-(B61+C61)), "00")</f>
        <v>5:23:39</v>
      </c>
      <c r="AG61" s="4" t="str">
        <f aca="false" t="array" ref="AG61:AG61">INT(_xlfn.XLOOKUP(J61,{"Low","Medium","High","Urgent"},{48,24,12,8})/24) &amp; ":" &amp;
TEXT(MOD(_xlfn.XLOOKUP(J61,{"Low","Medium","High","Urgent"},{48,24,12,8}),24)/24,"hh:mm")</f>
        <v>2:00:00</v>
      </c>
      <c r="AH61" s="4" t="str">
        <f aca="false">IF(AD61&gt;AG61,"Not Met","Met")</f>
        <v>Met</v>
      </c>
      <c r="AI61" s="4" t="str">
        <f aca="false">IF(AB61&lt;TIME(0,30,0),"Met","Not Met")</f>
        <v>Met</v>
      </c>
      <c r="AN61" s="1" t="str">
        <f aca="false">TEXT(B61,"dd")</f>
        <v>31</v>
      </c>
      <c r="AO61" s="1" t="str">
        <f aca="false">TEXT(X61,"dd")</f>
        <v>06</v>
      </c>
      <c r="AP61" s="16" t="str">
        <f aca="false">INT(
  NETWORKDAYS(B61,V61)-1
  + IF(WEEKDAY(V61,2)&lt;6,MOD(V61+W61,1),0)
  - IF(WEEKDAY(B61,2)&lt;6,MOD(B61+C61,1),0)
)
&amp; ":" &amp;
TEXT(HOUR(
  NETWORKDAYS(B61,V61)-1
  + IF(WEEKDAY(V61,2)&lt;6,MOD(V61+W61,1),0)
  - IF(WEEKDAY(B61,2)&lt;6,MOD(B61+C61,1),0)
),"00")
&amp; ":" &amp;
TEXT(MINUTE(
  NETWORKDAYS(B61,V61)-1
  + IF(WEEKDAY(V61,2)&lt;6,MOD(V61+W61,1),0)
  - IF(WEEKDAY(B61,2)&lt;6,MOD(B61+C61,1),0)
),"00")</f>
        <v>0:21:18</v>
      </c>
      <c r="AQ61" s="0" t="n">
        <f aca="false">IFERROR(
LEFT(AP61,FIND(":",AP61)-1)
+ MID(AP61,FIND(":",AP61)+1,2)/24
+ RIGHT(AP61,2)/1440,
"")</f>
        <v>0.8875</v>
      </c>
      <c r="AR61" s="0" t="n">
        <f aca="false">WEEKNUM(B61,1)</f>
        <v>1</v>
      </c>
      <c r="AS61" s="17" t="n">
        <f aca="false">IF(B61&gt;0, (B61+C61)-TIME(13,30,0), "")</f>
        <v>46021.4680555556</v>
      </c>
      <c r="AT61" s="18" t="n">
        <f aca="false">IF(B61&gt;0, (B61+C61)-TIME(13,30,0), "")</f>
        <v>46021.4680555556</v>
      </c>
      <c r="AU61" s="17" t="n">
        <f aca="false">IF(V61&gt;0, (V61+W61)-TIME(13,30,0), "")</f>
        <v>46022.3555555556</v>
      </c>
      <c r="AV61" s="18" t="n">
        <f aca="false">IF(V61&gt;0, (V61+W61)-TIME(13,30,0), "")</f>
        <v>46022.3555555556</v>
      </c>
      <c r="AW61" s="19" t="n">
        <f aca="false">24*(
MAX(0,
IF(NETWORKDAYS(AS61,AU61)=1,
MIN(MOD(AV61,1),TIME(17,30,0)) - MAX(MOD(AT61,1),TIME(8,30,0)),
(TIME(17,30,0)-MAX(MOD(AT61,1),TIME(8,30,0)))
+ (MIN(MOD(AV61,1),TIME(17,30,0))-TIME(8,30,0))
+ (NETWORKDAYS(AS61,AU61)-2)*9/24
)
)
)</f>
        <v>6.3</v>
      </c>
      <c r="AX61" s="19" t="n">
        <f aca="false">24*(
MAX(0,
IF(NETWORKDAYS(AS61,AU61)=1,
MIN(MOD(AV61,1),TIME(17,30,0)) - MAX(MOD(AT61,1),TIME(8,30,0)),
(TIME(17,30,0)-MAX(MOD(AT61,1),TIME(8,30,0)))
+ (MIN(MOD(AV61,1),TIME(17,30,0))-TIME(8,30,0))
+ (NETWORKDAYS(AS61,AU61)-2)* (TIME(17,30,0)-TIME(8,30,0))
)
)
)</f>
        <v>6.3</v>
      </c>
      <c r="AY61" s="20" t="n">
        <f aca="false">ROUND(
IF(AS61=AU61,
MAX(0,
(MIN(MOD(AV61,1),TIME(17,30,0))-
MAX(MOD(AT61,1),TIME(8,30,0)))*24
),
(
(MAX(0,TIME(17,30,0)-MAX(MOD(AT61,1),TIME(8,30,0)))*24)
+
(MAX(0,MIN(MOD(AV61,1),TIME(17,30,0))-TIME(8,30,0))*24)
+
(MAX(0,NETWORKDAYS(AS61+1,AU61-1))*9)
)
),
2)</f>
        <v>6.3</v>
      </c>
      <c r="AZ61" s="0" t="n">
        <f aca="false" t="array" ref="AZ61:AZ61">_xlfn.XLOOKUP(J61,{"Low","Medium","High"},{270,72,24})</f>
        <v>270</v>
      </c>
      <c r="BA61" s="0" t="str">
        <f aca="false">IF(AW61&gt;AZ61,"Not Met","Met")</f>
        <v>Met</v>
      </c>
      <c r="BB61" s="21" t="str">
        <f aca="false">IF(AS61="","",TEXT(AS61,"MMM")&amp;"'"&amp;TEXT(AS61,"yy"))</f>
        <v>Dec'25</v>
      </c>
      <c r="BC61" s="0" t="str">
        <f aca="false">IF(AU61="","",TEXT(AU61,"MMM")&amp;"'"&amp;TEXT(AU61,"yy"))</f>
        <v>Dec'25</v>
      </c>
    </row>
    <row r="62" customFormat="false" ht="15" hidden="false" customHeight="false" outlineLevel="0" collapsed="false">
      <c r="A62" s="23" t="s">
        <v>311</v>
      </c>
      <c r="B62" s="24" t="n">
        <v>46022</v>
      </c>
      <c r="C62" s="12" t="n">
        <v>0.115972222222222</v>
      </c>
      <c r="D62" s="13" t="str">
        <f aca="false">IF(B62="","",TEXT(B62,"MMM")&amp;"'"&amp;TEXT(B62,"yy"))</f>
        <v>Dec'25</v>
      </c>
      <c r="E62" s="1" t="s">
        <v>55</v>
      </c>
      <c r="F62" s="1" t="s">
        <v>39</v>
      </c>
      <c r="G62" s="1" t="str">
        <f aca="false">IF(F62="Closed","Closed","Pending")</f>
        <v>Closed</v>
      </c>
      <c r="H62" s="23" t="s">
        <v>72</v>
      </c>
      <c r="I62" s="1" t="s">
        <v>135</v>
      </c>
      <c r="J62" s="1" t="s">
        <v>74</v>
      </c>
      <c r="K62" s="1" t="s">
        <v>59</v>
      </c>
      <c r="L62" s="23" t="s">
        <v>312</v>
      </c>
      <c r="M62" s="1" t="s">
        <v>313</v>
      </c>
      <c r="N62" s="1" t="s">
        <v>62</v>
      </c>
      <c r="O62" s="1" t="s">
        <v>77</v>
      </c>
      <c r="Q62" s="1" t="s">
        <v>65</v>
      </c>
      <c r="R62" s="1" t="s">
        <v>87</v>
      </c>
      <c r="U62" s="12" t="n">
        <v>0.118055555555556</v>
      </c>
      <c r="V62" s="11" t="n">
        <v>46022</v>
      </c>
      <c r="W62" s="12" t="n">
        <v>0.924305555555556</v>
      </c>
      <c r="X62" s="11" t="n">
        <v>46035</v>
      </c>
      <c r="Y62" s="12" t="n">
        <v>0.0319444444444444</v>
      </c>
      <c r="Z62" s="1" t="s">
        <v>108</v>
      </c>
      <c r="AA62" s="1" t="s">
        <v>68</v>
      </c>
      <c r="AB62" s="2" t="n">
        <f aca="false">U62-C62</f>
        <v>0.00208333333333333</v>
      </c>
      <c r="AC62" s="14" t="n">
        <f aca="false">(V62+W62)-(B62+C62)</f>
        <v>0.808333333333333</v>
      </c>
      <c r="AD62" s="4" t="str">
        <f aca="false">INT((V62+W62)-(B62+C62)) &amp; ":" &amp;
TEXT(HOUR((V62+W62)-(B62+C62)), "00") &amp; ":" &amp;
TEXT(MINUTE((V62+W62)-(B62+C62)), "00")</f>
        <v>0:19:24</v>
      </c>
      <c r="AE62" s="1" t="n">
        <f aca="false">IFERROR(
LEFT(AD62,FIND(":",AD62)-1)
+ MID(AD62,FIND(":",AD62)+1,2)/24
+ RIGHT(AD62,2)/1440,
"")</f>
        <v>0.808333333333333</v>
      </c>
      <c r="AF62" s="4" t="str">
        <f aca="false">INT((X62+Y62)-(B62+C62)) &amp; ":" &amp;
TEXT(HOUR((X62+Y62)-(B62+C62)), "00") &amp; ":" &amp;
TEXT(MINUTE((X62+Y62)-(B62+C62)), "00")</f>
        <v>12:21:59</v>
      </c>
      <c r="AG62" s="4" t="str">
        <f aca="false" t="array" ref="AG62:AG62">INT(_xlfn.XLOOKUP(J62,{"Low","Medium","High","Urgent"},{48,24,12,8})/24) &amp; ":" &amp;
TEXT(MOD(_xlfn.XLOOKUP(J62,{"Low","Medium","High","Urgent"},{48,24,12,8}),24)/24,"hh:mm")</f>
        <v>2:00:00</v>
      </c>
      <c r="AH62" s="4" t="str">
        <f aca="false">IF(AD62&gt;AG62,"Not Met","Met")</f>
        <v>Met</v>
      </c>
      <c r="AI62" s="4" t="str">
        <f aca="false">IF(AB62&lt;TIME(0,30,0),"Met","Not Met")</f>
        <v>Met</v>
      </c>
      <c r="AN62" s="1" t="str">
        <f aca="false">TEXT(B62,"dd")</f>
        <v>31</v>
      </c>
      <c r="AO62" s="1" t="str">
        <f aca="false">TEXT(X62,"dd")</f>
        <v>13</v>
      </c>
      <c r="AP62" s="16" t="str">
        <f aca="false">INT(
  NETWORKDAYS(B62,V62)-1
  + IF(WEEKDAY(V62,2)&lt;6,MOD(V62+W62,1),0)
  - IF(WEEKDAY(B62,2)&lt;6,MOD(B62+C62,1),0)
)
&amp; ":" &amp;
TEXT(HOUR(
  NETWORKDAYS(B62,V62)-1
  + IF(WEEKDAY(V62,2)&lt;6,MOD(V62+W62,1),0)
  - IF(WEEKDAY(B62,2)&lt;6,MOD(B62+C62,1),0)
),"00")
&amp; ":" &amp;
TEXT(MINUTE(
  NETWORKDAYS(B62,V62)-1
  + IF(WEEKDAY(V62,2)&lt;6,MOD(V62+W62,1),0)
  - IF(WEEKDAY(B62,2)&lt;6,MOD(B62+C62,1),0)
),"00")</f>
        <v>0:19:24</v>
      </c>
      <c r="AQ62" s="0" t="n">
        <f aca="false">IFERROR(
LEFT(AP62,FIND(":",AP62)-1)
+ MID(AP62,FIND(":",AP62)+1,2)/24
+ RIGHT(AP62,2)/1440,
"")</f>
        <v>0.808333333333333</v>
      </c>
      <c r="AR62" s="0" t="n">
        <f aca="false">WEEKNUM(B62,1)</f>
        <v>1</v>
      </c>
      <c r="AS62" s="17" t="n">
        <f aca="false">IF(B62&gt;0, (B62+C62)-TIME(13,30,0), "")</f>
        <v>46021.5534722222</v>
      </c>
      <c r="AT62" s="18" t="n">
        <f aca="false">IF(B62&gt;0, (B62+C62)-TIME(13,30,0), "")</f>
        <v>46021.5534722222</v>
      </c>
      <c r="AU62" s="17" t="n">
        <f aca="false">IF(V62&gt;0, (V62+W62)-TIME(13,30,0), "")</f>
        <v>46022.3618055556</v>
      </c>
      <c r="AV62" s="18" t="n">
        <f aca="false">IF(V62&gt;0, (V62+W62)-TIME(13,30,0), "")</f>
        <v>46022.3618055556</v>
      </c>
      <c r="AW62" s="19" t="n">
        <f aca="false">24*(
MAX(0,
IF(NETWORKDAYS(AS62,AU62)=1,
MIN(MOD(AV62,1),TIME(17,30,0)) - MAX(MOD(AT62,1),TIME(8,30,0)),
(TIME(17,30,0)-MAX(MOD(AT62,1),TIME(8,30,0)))
+ (MIN(MOD(AV62,1),TIME(17,30,0))-TIME(8,30,0))
+ (NETWORKDAYS(AS62,AU62)-2)*9/24
)
)
)</f>
        <v>4.4</v>
      </c>
      <c r="AX62" s="19" t="n">
        <f aca="false">24*(
MAX(0,
IF(NETWORKDAYS(AS62,AU62)=1,
MIN(MOD(AV62,1),TIME(17,30,0)) - MAX(MOD(AT62,1),TIME(8,30,0)),
(TIME(17,30,0)-MAX(MOD(AT62,1),TIME(8,30,0)))
+ (MIN(MOD(AV62,1),TIME(17,30,0))-TIME(8,30,0))
+ (NETWORKDAYS(AS62,AU62)-2)* (TIME(17,30,0)-TIME(8,30,0))
)
)
)</f>
        <v>4.4</v>
      </c>
      <c r="AY62" s="20" t="n">
        <f aca="false">ROUND(
IF(AS62=AU62,
MAX(0,
(MIN(MOD(AV62,1),TIME(17,30,0))-
MAX(MOD(AT62,1),TIME(8,30,0)))*24
),
(
(MAX(0,TIME(17,30,0)-MAX(MOD(AT62,1),TIME(8,30,0)))*24)
+
(MAX(0,MIN(MOD(AV62,1),TIME(17,30,0))-TIME(8,30,0))*24)
+
(MAX(0,NETWORKDAYS(AS62+1,AU62-1))*9)
)
),
2)</f>
        <v>4.4</v>
      </c>
      <c r="AZ62" s="0" t="n">
        <f aca="false" t="array" ref="AZ62:AZ62">_xlfn.XLOOKUP(J62,{"Low","Medium","High"},{270,72,24})</f>
        <v>270</v>
      </c>
      <c r="BA62" s="0" t="str">
        <f aca="false">IF(AW62&gt;AZ62,"Not Met","Met")</f>
        <v>Met</v>
      </c>
      <c r="BB62" s="21" t="str">
        <f aca="false">IF(AS62="","",TEXT(AS62,"MMM")&amp;"'"&amp;TEXT(AS62,"yy"))</f>
        <v>Dec'25</v>
      </c>
      <c r="BC62" s="0" t="str">
        <f aca="false">IF(AU62="","",TEXT(AU62,"MMM")&amp;"'"&amp;TEXT(AU62,"yy"))</f>
        <v>Dec'25</v>
      </c>
    </row>
    <row r="63" customFormat="false" ht="15" hidden="false" customHeight="false" outlineLevel="0" collapsed="false">
      <c r="A63" s="23" t="s">
        <v>314</v>
      </c>
      <c r="B63" s="24" t="n">
        <v>46022</v>
      </c>
      <c r="C63" s="12" t="n">
        <v>0.195138888888889</v>
      </c>
      <c r="D63" s="13" t="str">
        <f aca="false">IF(B63="","",TEXT(B63,"MMM")&amp;"'"&amp;TEXT(B63,"yy"))</f>
        <v>Dec'25</v>
      </c>
      <c r="E63" s="1" t="s">
        <v>55</v>
      </c>
      <c r="F63" s="1" t="s">
        <v>39</v>
      </c>
      <c r="G63" s="1" t="str">
        <f aca="false">IF(F63="Closed","Closed","Pending")</f>
        <v>Closed</v>
      </c>
      <c r="H63" s="23" t="s">
        <v>56</v>
      </c>
      <c r="I63" s="1" t="s">
        <v>315</v>
      </c>
      <c r="J63" s="1" t="s">
        <v>58</v>
      </c>
      <c r="K63" s="1" t="s">
        <v>59</v>
      </c>
      <c r="L63" s="23" t="s">
        <v>316</v>
      </c>
      <c r="M63" s="1" t="s">
        <v>317</v>
      </c>
      <c r="N63" s="1" t="s">
        <v>62</v>
      </c>
      <c r="O63" s="1" t="s">
        <v>77</v>
      </c>
      <c r="Q63" s="1" t="s">
        <v>86</v>
      </c>
      <c r="U63" s="12" t="n">
        <v>0.902083333333333</v>
      </c>
      <c r="V63" s="11" t="n">
        <v>46022</v>
      </c>
      <c r="W63" s="12" t="n">
        <v>0.927777777777778</v>
      </c>
      <c r="X63" s="11" t="n">
        <v>46030</v>
      </c>
      <c r="Y63" s="12" t="n">
        <v>0.0256944444444444</v>
      </c>
      <c r="Z63" s="1" t="s">
        <v>108</v>
      </c>
      <c r="AA63" s="1" t="s">
        <v>68</v>
      </c>
      <c r="AB63" s="2" t="n">
        <f aca="false">U63-C63</f>
        <v>0.706944444444445</v>
      </c>
      <c r="AC63" s="14" t="n">
        <f aca="false">(V63+W63)-(B63+C63)</f>
        <v>0.732638888888889</v>
      </c>
      <c r="AD63" s="4" t="str">
        <f aca="false">INT((V63+W63)-(B63+C63)) &amp; ":" &amp;
TEXT(HOUR((V63+W63)-(B63+C63)), "00") &amp; ":" &amp;
TEXT(MINUTE((V63+W63)-(B63+C63)), "00")</f>
        <v>0:17:35</v>
      </c>
      <c r="AE63" s="1" t="n">
        <f aca="false">IFERROR(
LEFT(AD63,FIND(":",AD63)-1)
+ MID(AD63,FIND(":",AD63)+1,2)/24
+ RIGHT(AD63,2)/1440,
"")</f>
        <v>0.732638888888889</v>
      </c>
      <c r="AF63" s="4" t="str">
        <f aca="false">INT((X63+Y63)-(B63+C63)) &amp; ":" &amp;
TEXT(HOUR((X63+Y63)-(B63+C63)), "00") &amp; ":" &amp;
TEXT(MINUTE((X63+Y63)-(B63+C63)), "00")</f>
        <v>7:19:56</v>
      </c>
      <c r="AG63" s="4" t="str">
        <f aca="false" t="array" ref="AG63:AG63">INT(_xlfn.XLOOKUP(J63,{"Low","Medium","High","Urgent"},{48,24,12,8})/24) &amp; ":" &amp;
TEXT(MOD(_xlfn.XLOOKUP(J63,{"Low","Medium","High","Urgent"},{48,24,12,8}),24)/24,"hh:mm")</f>
        <v>1:00:00</v>
      </c>
      <c r="AH63" s="4" t="str">
        <f aca="false">IF(AD63&gt;AG63,"Not Met","Met")</f>
        <v>Met</v>
      </c>
      <c r="AI63" s="4" t="str">
        <f aca="false">IF(AB63&lt;TIME(0,30,0),"Met","Not Met")</f>
        <v>Not Met</v>
      </c>
      <c r="AN63" s="1" t="str">
        <f aca="false">TEXT(B63,"dd")</f>
        <v>31</v>
      </c>
      <c r="AO63" s="1" t="str">
        <f aca="false">TEXT(X63,"dd")</f>
        <v>08</v>
      </c>
      <c r="AP63" s="16" t="str">
        <f aca="false">INT(
  NETWORKDAYS(B63,V63)-1
  + IF(WEEKDAY(V63,2)&lt;6,MOD(V63+W63,1),0)
  - IF(WEEKDAY(B63,2)&lt;6,MOD(B63+C63,1),0)
)
&amp; ":" &amp;
TEXT(HOUR(
  NETWORKDAYS(B63,V63)-1
  + IF(WEEKDAY(V63,2)&lt;6,MOD(V63+W63,1),0)
  - IF(WEEKDAY(B63,2)&lt;6,MOD(B63+C63,1),0)
),"00")
&amp; ":" &amp;
TEXT(MINUTE(
  NETWORKDAYS(B63,V63)-1
  + IF(WEEKDAY(V63,2)&lt;6,MOD(V63+W63,1),0)
  - IF(WEEKDAY(B63,2)&lt;6,MOD(B63+C63,1),0)
),"00")</f>
        <v>0:17:34</v>
      </c>
      <c r="AQ63" s="0" t="n">
        <f aca="false">IFERROR(
LEFT(AP63,FIND(":",AP63)-1)
+ MID(AP63,FIND(":",AP63)+1,2)/24
+ RIGHT(AP63,2)/1440,
"")</f>
        <v>0.731944444444445</v>
      </c>
      <c r="AR63" s="0" t="n">
        <f aca="false">WEEKNUM(B63,1)</f>
        <v>1</v>
      </c>
      <c r="AS63" s="17" t="n">
        <f aca="false">IF(B63&gt;0, (B63+C63)-TIME(13,30,0), "")</f>
        <v>46021.6326388889</v>
      </c>
      <c r="AT63" s="18" t="n">
        <f aca="false">IF(B63&gt;0, (B63+C63)-TIME(13,30,0), "")</f>
        <v>46021.6326388889</v>
      </c>
      <c r="AU63" s="17" t="n">
        <f aca="false">IF(V63&gt;0, (V63+W63)-TIME(13,30,0), "")</f>
        <v>46022.3652777778</v>
      </c>
      <c r="AV63" s="18" t="n">
        <f aca="false">IF(V63&gt;0, (V63+W63)-TIME(13,30,0), "")</f>
        <v>46022.3652777778</v>
      </c>
      <c r="AW63" s="19" t="n">
        <f aca="false">24*(
MAX(0,
IF(NETWORKDAYS(AS63,AU63)=1,
MIN(MOD(AV63,1),TIME(17,30,0)) - MAX(MOD(AT63,1),TIME(8,30,0)),
(TIME(17,30,0)-MAX(MOD(AT63,1),TIME(8,30,0)))
+ (MIN(MOD(AV63,1),TIME(17,30,0))-TIME(8,30,0))
+ (NETWORKDAYS(AS63,AU63)-2)*9/24
)
)
)</f>
        <v>2.58333333333333</v>
      </c>
      <c r="AX63" s="19" t="n">
        <f aca="false">24*(
MAX(0,
IF(NETWORKDAYS(AS63,AU63)=1,
MIN(MOD(AV63,1),TIME(17,30,0)) - MAX(MOD(AT63,1),TIME(8,30,0)),
(TIME(17,30,0)-MAX(MOD(AT63,1),TIME(8,30,0)))
+ (MIN(MOD(AV63,1),TIME(17,30,0))-TIME(8,30,0))
+ (NETWORKDAYS(AS63,AU63)-2)* (TIME(17,30,0)-TIME(8,30,0))
)
)
)</f>
        <v>2.58333333333333</v>
      </c>
      <c r="AY63" s="20" t="n">
        <f aca="false">ROUND(
IF(AS63=AU63,
MAX(0,
(MIN(MOD(AV63,1),TIME(17,30,0))-
MAX(MOD(AT63,1),TIME(8,30,0)))*24
),
(
(MAX(0,TIME(17,30,0)-MAX(MOD(AT63,1),TIME(8,30,0)))*24)
+
(MAX(0,MIN(MOD(AV63,1),TIME(17,30,0))-TIME(8,30,0))*24)
+
(MAX(0,NETWORKDAYS(AS63+1,AU63-1))*9)
)
),
2)</f>
        <v>2.58</v>
      </c>
      <c r="AZ63" s="0" t="n">
        <f aca="false" t="array" ref="AZ63:AZ63">_xlfn.XLOOKUP(J63,{"Low","Medium","High"},{270,72,24})</f>
        <v>72</v>
      </c>
      <c r="BA63" s="0" t="str">
        <f aca="false">IF(AW63&gt;AZ63,"Not Met","Met")</f>
        <v>Met</v>
      </c>
      <c r="BB63" s="21" t="str">
        <f aca="false">IF(AS63="","",TEXT(AS63,"MMM")&amp;"'"&amp;TEXT(AS63,"yy"))</f>
        <v>Dec'25</v>
      </c>
      <c r="BC63" s="0" t="str">
        <f aca="false">IF(AU63="","",TEXT(AU63,"MMM")&amp;"'"&amp;TEXT(AU63,"yy"))</f>
        <v>Dec'25</v>
      </c>
    </row>
    <row r="64" customFormat="false" ht="15" hidden="false" customHeight="false" outlineLevel="0" collapsed="false">
      <c r="A64" s="23" t="s">
        <v>318</v>
      </c>
      <c r="B64" s="24" t="n">
        <v>46022</v>
      </c>
      <c r="C64" s="12" t="n">
        <v>0.0611111111111111</v>
      </c>
      <c r="D64" s="13" t="str">
        <f aca="false">IF(B64="","",TEXT(B64,"MMM")&amp;"'"&amp;TEXT(B64,"yy"))</f>
        <v>Dec'25</v>
      </c>
      <c r="E64" s="1" t="s">
        <v>55</v>
      </c>
      <c r="F64" s="1" t="s">
        <v>39</v>
      </c>
      <c r="G64" s="1" t="str">
        <f aca="false">IF(F64="Closed","Closed","Pending")</f>
        <v>Closed</v>
      </c>
      <c r="H64" s="23" t="s">
        <v>72</v>
      </c>
      <c r="I64" s="1" t="s">
        <v>319</v>
      </c>
      <c r="J64" s="1" t="s">
        <v>74</v>
      </c>
      <c r="K64" s="1" t="s">
        <v>59</v>
      </c>
      <c r="L64" s="23" t="s">
        <v>320</v>
      </c>
      <c r="M64" s="1" t="s">
        <v>321</v>
      </c>
      <c r="N64" s="1" t="s">
        <v>62</v>
      </c>
      <c r="O64" s="1" t="s">
        <v>77</v>
      </c>
      <c r="Q64" s="1" t="s">
        <v>86</v>
      </c>
      <c r="R64" s="1" t="s">
        <v>87</v>
      </c>
      <c r="U64" s="12" t="n">
        <v>0.114583333333333</v>
      </c>
      <c r="V64" s="11" t="n">
        <v>46027</v>
      </c>
      <c r="W64" s="12" t="n">
        <v>0.95</v>
      </c>
      <c r="X64" s="11" t="n">
        <v>46035</v>
      </c>
      <c r="Y64" s="12" t="n">
        <v>0.14375</v>
      </c>
      <c r="Z64" s="1" t="s">
        <v>108</v>
      </c>
      <c r="AA64" s="1" t="s">
        <v>68</v>
      </c>
      <c r="AB64" s="2" t="n">
        <f aca="false">U64-C64</f>
        <v>0.0534722222222222</v>
      </c>
      <c r="AC64" s="14" t="n">
        <f aca="false">(V64+W64)-(B64+C64)</f>
        <v>5.88888888888889</v>
      </c>
      <c r="AD64" s="4" t="str">
        <f aca="false">INT((V64+W64)-(B64+C64)) &amp; ":" &amp;
TEXT(HOUR((V64+W64)-(B64+C64)), "00") &amp; ":" &amp;
TEXT(MINUTE((V64+W64)-(B64+C64)), "00")</f>
        <v>5:21:20</v>
      </c>
      <c r="AE64" s="1" t="n">
        <f aca="false">IFERROR(
LEFT(AD64,FIND(":",AD64)-1)
+ MID(AD64,FIND(":",AD64)+1,2)/24
+ RIGHT(AD64,2)/1440,
"")</f>
        <v>5.88888888888889</v>
      </c>
      <c r="AF64" s="4" t="str">
        <f aca="false">INT((X64+Y64)-(B64+C64)) &amp; ":" &amp;
TEXT(HOUR((X64+Y64)-(B64+C64)), "00") &amp; ":" &amp;
TEXT(MINUTE((X64+Y64)-(B64+C64)), "00")</f>
        <v>13:01:59</v>
      </c>
      <c r="AG64" s="4" t="str">
        <f aca="false" t="array" ref="AG64:AG64">INT(_xlfn.XLOOKUP(J64,{"Low","Medium","High","Urgent"},{48,24,12,8})/24) &amp; ":" &amp;
TEXT(MOD(_xlfn.XLOOKUP(J64,{"Low","Medium","High","Urgent"},{48,24,12,8}),24)/24,"hh:mm")</f>
        <v>2:00:00</v>
      </c>
      <c r="AH64" s="4" t="str">
        <f aca="false">IF(AD64&gt;AG64,"Not Met","Met")</f>
        <v>Not Met</v>
      </c>
      <c r="AI64" s="4" t="str">
        <f aca="false">IF(AB64&lt;TIME(0,30,0),"Met","Not Met")</f>
        <v>Not Met</v>
      </c>
      <c r="AN64" s="1" t="str">
        <f aca="false">TEXT(B64,"dd")</f>
        <v>31</v>
      </c>
      <c r="AO64" s="1" t="str">
        <f aca="false">TEXT(X64,"dd")</f>
        <v>13</v>
      </c>
      <c r="AP64" s="16" t="str">
        <f aca="false">INT(
  NETWORKDAYS(B64,V64)-1
  + IF(WEEKDAY(V64,2)&lt;6,MOD(V64+W64,1),0)
  - IF(WEEKDAY(B64,2)&lt;6,MOD(B64+C64,1),0)
)
&amp; ":" &amp;
TEXT(HOUR(
  NETWORKDAYS(B64,V64)-1
  + IF(WEEKDAY(V64,2)&lt;6,MOD(V64+W64,1),0)
  - IF(WEEKDAY(B64,2)&lt;6,MOD(B64+C64,1),0)
),"00")
&amp; ":" &amp;
TEXT(MINUTE(
  NETWORKDAYS(B64,V64)-1
  + IF(WEEKDAY(V64,2)&lt;6,MOD(V64+W64,1),0)
  - IF(WEEKDAY(B64,2)&lt;6,MOD(B64+C64,1),0)
),"00")</f>
        <v>3:21:19</v>
      </c>
      <c r="AQ64" s="0" t="n">
        <f aca="false">IFERROR(
LEFT(AP64,FIND(":",AP64)-1)
+ MID(AP64,FIND(":",AP64)+1,2)/24
+ RIGHT(AP64,2)/1440,
"")</f>
        <v>3.88819444444444</v>
      </c>
      <c r="AR64" s="0" t="n">
        <f aca="false">WEEKNUM(B64,1)</f>
        <v>1</v>
      </c>
      <c r="AS64" s="17" t="n">
        <f aca="false">IF(B64&gt;0, (B64+C64)-TIME(13,30,0), "")</f>
        <v>46021.4986111111</v>
      </c>
      <c r="AT64" s="18" t="n">
        <f aca="false">IF(B64&gt;0, (B64+C64)-TIME(13,30,0), "")</f>
        <v>46021.4986111111</v>
      </c>
      <c r="AU64" s="17" t="n">
        <f aca="false">IF(V64&gt;0, (V64+W64)-TIME(13,30,0), "")</f>
        <v>46027.3875</v>
      </c>
      <c r="AV64" s="18" t="n">
        <f aca="false">IF(V64&gt;0, (V64+W64)-TIME(13,30,0), "")</f>
        <v>46027.3875</v>
      </c>
      <c r="AW64" s="19" t="n">
        <f aca="false">24*(
MAX(0,
IF(NETWORKDAYS(AS64,AU64)=1,
MIN(MOD(AV64,1),TIME(17,30,0)) - MAX(MOD(AT64,1),TIME(8,30,0)),
(TIME(17,30,0)-MAX(MOD(AT64,1),TIME(8,30,0)))
+ (MIN(MOD(AV64,1),TIME(17,30,0))-TIME(8,30,0))
+ (NETWORKDAYS(AS64,AU64)-2)*9/24
)
)
)</f>
        <v>33.3333333333333</v>
      </c>
      <c r="AX64" s="19" t="n">
        <f aca="false">24*(
MAX(0,
IF(NETWORKDAYS(AS64,AU64)=1,
MIN(MOD(AV64,1),TIME(17,30,0)) - MAX(MOD(AT64,1),TIME(8,30,0)),
(TIME(17,30,0)-MAX(MOD(AT64,1),TIME(8,30,0)))
+ (MIN(MOD(AV64,1),TIME(17,30,0))-TIME(8,30,0))
+ (NETWORKDAYS(AS64,AU64)-2)* (TIME(17,30,0)-TIME(8,30,0))
)
)
)</f>
        <v>33.3333333333333</v>
      </c>
      <c r="AY64" s="20" t="n">
        <f aca="false">ROUND(
IF(AS64=AU64,
MAX(0,
(MIN(MOD(AV64,1),TIME(17,30,0))-
MAX(MOD(AT64,1),TIME(8,30,0)))*24
),
(
(MAX(0,TIME(17,30,0)-MAX(MOD(AT64,1),TIME(8,30,0)))*24)
+
(MAX(0,MIN(MOD(AV64,1),TIME(17,30,0))-TIME(8,30,0))*24)
+
(MAX(0,NETWORKDAYS(AS64+1,AU64-1))*9)
)
),
2)</f>
        <v>33.33</v>
      </c>
      <c r="AZ64" s="0" t="n">
        <f aca="false" t="array" ref="AZ64:AZ64">_xlfn.XLOOKUP(J64,{"Low","Medium","High"},{270,72,24})</f>
        <v>270</v>
      </c>
      <c r="BA64" s="0" t="str">
        <f aca="false">IF(AW64&gt;AZ64,"Not Met","Met")</f>
        <v>Met</v>
      </c>
      <c r="BB64" s="21" t="str">
        <f aca="false">IF(AS64="","",TEXT(AS64,"MMM")&amp;"'"&amp;TEXT(AS64,"yy"))</f>
        <v>Dec'25</v>
      </c>
      <c r="BC64" s="0" t="str">
        <f aca="false">IF(AU64="","",TEXT(AU64,"MMM")&amp;"'"&amp;TEXT(AU64,"yy"))</f>
        <v>Jan'26</v>
      </c>
    </row>
    <row r="65" customFormat="false" ht="15" hidden="false" customHeight="false" outlineLevel="0" collapsed="false">
      <c r="A65" s="23" t="s">
        <v>322</v>
      </c>
      <c r="B65" s="24" t="n">
        <v>46022</v>
      </c>
      <c r="C65" s="12" t="n">
        <v>0.0680555555555556</v>
      </c>
      <c r="D65" s="13" t="str">
        <f aca="false">IF(B65="","",TEXT(B65,"MMM")&amp;"'"&amp;TEXT(B65,"yy"))</f>
        <v>Dec'25</v>
      </c>
      <c r="E65" s="1" t="s">
        <v>55</v>
      </c>
      <c r="F65" s="1" t="s">
        <v>39</v>
      </c>
      <c r="G65" s="1" t="str">
        <f aca="false">IF(F65="Closed","Closed","Pending")</f>
        <v>Closed</v>
      </c>
      <c r="H65" s="23" t="s">
        <v>72</v>
      </c>
      <c r="I65" s="1" t="s">
        <v>323</v>
      </c>
      <c r="J65" s="1" t="s">
        <v>74</v>
      </c>
      <c r="K65" s="1" t="s">
        <v>59</v>
      </c>
      <c r="L65" s="23" t="s">
        <v>324</v>
      </c>
      <c r="M65" s="1" t="s">
        <v>325</v>
      </c>
      <c r="N65" s="1" t="s">
        <v>65</v>
      </c>
      <c r="O65" s="1" t="s">
        <v>77</v>
      </c>
      <c r="Q65" s="1" t="s">
        <v>86</v>
      </c>
      <c r="U65" s="12" t="n">
        <v>0.114583333333333</v>
      </c>
      <c r="V65" s="11" t="n">
        <v>46027</v>
      </c>
      <c r="W65" s="12" t="n">
        <v>0.959722222222222</v>
      </c>
      <c r="X65" s="11" t="n">
        <v>46030</v>
      </c>
      <c r="Y65" s="12" t="n">
        <v>0.0354166666666667</v>
      </c>
      <c r="Z65" s="1" t="s">
        <v>108</v>
      </c>
      <c r="AA65" s="1" t="s">
        <v>68</v>
      </c>
      <c r="AB65" s="2" t="n">
        <f aca="false">U65-C65</f>
        <v>0.0465277777777778</v>
      </c>
      <c r="AC65" s="14" t="n">
        <f aca="false">(V65+W65)-(B65+C65)</f>
        <v>5.89166666666667</v>
      </c>
      <c r="AD65" s="4" t="str">
        <f aca="false">INT((V65+W65)-(B65+C65)) &amp; ":" &amp;
TEXT(HOUR((V65+W65)-(B65+C65)), "00") &amp; ":" &amp;
TEXT(MINUTE((V65+W65)-(B65+C65)), "00")</f>
        <v>5:21:24</v>
      </c>
      <c r="AE65" s="1" t="n">
        <f aca="false">IFERROR(
LEFT(AD65,FIND(":",AD65)-1)
+ MID(AD65,FIND(":",AD65)+1,2)/24
+ RIGHT(AD65,2)/1440,
"")</f>
        <v>5.89166666666667</v>
      </c>
      <c r="AF65" s="4" t="str">
        <f aca="false">INT((X65+Y65)-(B65+C65)) &amp; ":" &amp;
TEXT(HOUR((X65+Y65)-(B65+C65)), "00") &amp; ":" &amp;
TEXT(MINUTE((X65+Y65)-(B65+C65)), "00")</f>
        <v>7:23:13</v>
      </c>
      <c r="AG65" s="4" t="str">
        <f aca="false" t="array" ref="AG65:AG65">INT(_xlfn.XLOOKUP(J65,{"Low","Medium","High","Urgent"},{48,24,12,8})/24) &amp; ":" &amp;
TEXT(MOD(_xlfn.XLOOKUP(J65,{"Low","Medium","High","Urgent"},{48,24,12,8}),24)/24,"hh:mm")</f>
        <v>2:00:00</v>
      </c>
      <c r="AH65" s="4" t="str">
        <f aca="false">IF(AD65&gt;AG65,"Not Met","Met")</f>
        <v>Not Met</v>
      </c>
      <c r="AI65" s="4" t="str">
        <f aca="false">IF(AB65&lt;TIME(0,30,0),"Met","Not Met")</f>
        <v>Not Met</v>
      </c>
      <c r="AN65" s="1" t="str">
        <f aca="false">TEXT(B65,"dd")</f>
        <v>31</v>
      </c>
      <c r="AO65" s="1" t="str">
        <f aca="false">TEXT(X65,"dd")</f>
        <v>08</v>
      </c>
      <c r="AP65" s="16" t="str">
        <f aca="false">INT(
  NETWORKDAYS(B65,V65)-1
  + IF(WEEKDAY(V65,2)&lt;6,MOD(V65+W65,1),0)
  - IF(WEEKDAY(B65,2)&lt;6,MOD(B65+C65,1),0)
)
&amp; ":" &amp;
TEXT(HOUR(
  NETWORKDAYS(B65,V65)-1
  + IF(WEEKDAY(V65,2)&lt;6,MOD(V65+W65,1),0)
  - IF(WEEKDAY(B65,2)&lt;6,MOD(B65+C65,1),0)
),"00")
&amp; ":" &amp;
TEXT(MINUTE(
  NETWORKDAYS(B65,V65)-1
  + IF(WEEKDAY(V65,2)&lt;6,MOD(V65+W65,1),0)
  - IF(WEEKDAY(B65,2)&lt;6,MOD(B65+C65,1),0)
),"00")</f>
        <v>3:21:23</v>
      </c>
      <c r="AQ65" s="0" t="n">
        <f aca="false">IFERROR(
LEFT(AP65,FIND(":",AP65)-1)
+ MID(AP65,FIND(":",AP65)+1,2)/24
+ RIGHT(AP65,2)/1440,
"")</f>
        <v>3.89097222222222</v>
      </c>
      <c r="AR65" s="0" t="n">
        <f aca="false">WEEKNUM(B65,1)</f>
        <v>1</v>
      </c>
      <c r="AS65" s="17" t="n">
        <f aca="false">IF(B65&gt;0, (B65+C65)-TIME(13,30,0), "")</f>
        <v>46021.5055555556</v>
      </c>
      <c r="AT65" s="18" t="n">
        <f aca="false">IF(B65&gt;0, (B65+C65)-TIME(13,30,0), "")</f>
        <v>46021.5055555556</v>
      </c>
      <c r="AU65" s="17" t="n">
        <f aca="false">IF(V65&gt;0, (V65+W65)-TIME(13,30,0), "")</f>
        <v>46027.3972222222</v>
      </c>
      <c r="AV65" s="18" t="n">
        <f aca="false">IF(V65&gt;0, (V65+W65)-TIME(13,30,0), "")</f>
        <v>46027.3972222222</v>
      </c>
      <c r="AW65" s="19" t="n">
        <f aca="false">24*(
MAX(0,
IF(NETWORKDAYS(AS65,AU65)=1,
MIN(MOD(AV65,1),TIME(17,30,0)) - MAX(MOD(AT65,1),TIME(8,30,0)),
(TIME(17,30,0)-MAX(MOD(AT65,1),TIME(8,30,0)))
+ (MIN(MOD(AV65,1),TIME(17,30,0))-TIME(8,30,0))
+ (NETWORKDAYS(AS65,AU65)-2)*9/24
)
)
)</f>
        <v>33.4</v>
      </c>
      <c r="AX65" s="19" t="n">
        <f aca="false">24*(
MAX(0,
IF(NETWORKDAYS(AS65,AU65)=1,
MIN(MOD(AV65,1),TIME(17,30,0)) - MAX(MOD(AT65,1),TIME(8,30,0)),
(TIME(17,30,0)-MAX(MOD(AT65,1),TIME(8,30,0)))
+ (MIN(MOD(AV65,1),TIME(17,30,0))-TIME(8,30,0))
+ (NETWORKDAYS(AS65,AU65)-2)* (TIME(17,30,0)-TIME(8,30,0))
)
)
)</f>
        <v>33.4</v>
      </c>
      <c r="AY65" s="20" t="n">
        <f aca="false">ROUND(
IF(AS65=AU65,
MAX(0,
(MIN(MOD(AV65,1),TIME(17,30,0))-
MAX(MOD(AT65,1),TIME(8,30,0)))*24
),
(
(MAX(0,TIME(17,30,0)-MAX(MOD(AT65,1),TIME(8,30,0)))*24)
+
(MAX(0,MIN(MOD(AV65,1),TIME(17,30,0))-TIME(8,30,0))*24)
+
(MAX(0,NETWORKDAYS(AS65+1,AU65-1))*9)
)
),
2)</f>
        <v>33.4</v>
      </c>
      <c r="AZ65" s="0" t="n">
        <f aca="false" t="array" ref="AZ65:AZ65">_xlfn.XLOOKUP(J65,{"Low","Medium","High"},{270,72,24})</f>
        <v>270</v>
      </c>
      <c r="BA65" s="0" t="str">
        <f aca="false">IF(AW65&gt;AZ65,"Not Met","Met")</f>
        <v>Met</v>
      </c>
      <c r="BB65" s="21" t="str">
        <f aca="false">IF(AS65="","",TEXT(AS65,"MMM")&amp;"'"&amp;TEXT(AS65,"yy"))</f>
        <v>Dec'25</v>
      </c>
      <c r="BC65" s="0" t="str">
        <f aca="false">IF(AU65="","",TEXT(AU65,"MMM")&amp;"'"&amp;TEXT(AU65,"yy"))</f>
        <v>Jan'26</v>
      </c>
    </row>
    <row r="66" customFormat="false" ht="15" hidden="false" customHeight="false" outlineLevel="0" collapsed="false">
      <c r="A66" s="23" t="s">
        <v>326</v>
      </c>
      <c r="B66" s="11" t="n">
        <v>46022</v>
      </c>
      <c r="C66" s="12" t="n">
        <v>0.958333333333333</v>
      </c>
      <c r="D66" s="13" t="str">
        <f aca="false">IF(B66="","",TEXT(B66,"MMM")&amp;"'"&amp;TEXT(B66,"yy"))</f>
        <v>Dec'25</v>
      </c>
      <c r="E66" s="1" t="s">
        <v>55</v>
      </c>
      <c r="F66" s="1" t="s">
        <v>39</v>
      </c>
      <c r="G66" s="1" t="str">
        <f aca="false">IF(F66="Closed","Closed","Pending")</f>
        <v>Closed</v>
      </c>
      <c r="H66" s="23" t="s">
        <v>72</v>
      </c>
      <c r="I66" s="1" t="s">
        <v>327</v>
      </c>
      <c r="J66" s="1" t="s">
        <v>74</v>
      </c>
      <c r="K66" s="1" t="s">
        <v>59</v>
      </c>
      <c r="L66" s="1" t="s">
        <v>328</v>
      </c>
      <c r="M66" s="23" t="s">
        <v>329</v>
      </c>
      <c r="N66" s="1" t="s">
        <v>62</v>
      </c>
      <c r="O66" s="1" t="s">
        <v>77</v>
      </c>
      <c r="Q66" s="1" t="s">
        <v>65</v>
      </c>
      <c r="R66" s="1" t="s">
        <v>87</v>
      </c>
      <c r="U66" s="12" t="n">
        <v>0.974305555555556</v>
      </c>
      <c r="V66" s="11" t="n">
        <v>46028</v>
      </c>
      <c r="W66" s="12" t="n">
        <v>0.00902777777777778</v>
      </c>
      <c r="X66" s="11" t="n">
        <v>46034</v>
      </c>
      <c r="Y66" s="12" t="n">
        <v>0.995138888888889</v>
      </c>
      <c r="Z66" s="1" t="s">
        <v>108</v>
      </c>
      <c r="AA66" s="1" t="s">
        <v>68</v>
      </c>
      <c r="AB66" s="2" t="n">
        <f aca="false">U66-C66</f>
        <v>0.0159722222222222</v>
      </c>
      <c r="AC66" s="14" t="n">
        <f aca="false">(V66+W66)-(B66+C66)</f>
        <v>5.05069444444445</v>
      </c>
      <c r="AD66" s="4" t="str">
        <f aca="false">INT((V66+W66)-(B66+C66)) &amp; ":" &amp;
TEXT(HOUR((V66+W66)-(B66+C66)), "00") &amp; ":" &amp;
TEXT(MINUTE((V66+W66)-(B66+C66)), "00")</f>
        <v>5:01:13</v>
      </c>
      <c r="AE66" s="1" t="n">
        <f aca="false">IFERROR(
LEFT(AD66,FIND(":",AD66)-1)
+ MID(AD66,FIND(":",AD66)+1,2)/24
+ RIGHT(AD66,2)/1440,
"")</f>
        <v>5.05069444444445</v>
      </c>
      <c r="AF66" s="4" t="str">
        <f aca="false">INT((X66+Y66)-(B66+C66)) &amp; ":" &amp;
TEXT(HOUR((X66+Y66)-(B66+C66)), "00") &amp; ":" &amp;
TEXT(MINUTE((X66+Y66)-(B66+C66)), "00")</f>
        <v>12:00:53</v>
      </c>
      <c r="AG66" s="4" t="str">
        <f aca="false" t="array" ref="AG66:AG66">INT(_xlfn.XLOOKUP(J66,{"Low","Medium","High","Urgent"},{48,24,12,8})/24) &amp; ":" &amp;
TEXT(MOD(_xlfn.XLOOKUP(J66,{"Low","Medium","High","Urgent"},{48,24,12,8}),24)/24,"hh:mm")</f>
        <v>2:00:00</v>
      </c>
      <c r="AH66" s="4" t="str">
        <f aca="false">IF(AD66&gt;AG66,"Not Met","Met")</f>
        <v>Not Met</v>
      </c>
      <c r="AI66" s="4" t="str">
        <f aca="false">IF(AB66&lt;TIME(0,30,0),"Met","Not Met")</f>
        <v>Met</v>
      </c>
      <c r="AN66" s="1" t="str">
        <f aca="false">TEXT(B66,"dd")</f>
        <v>31</v>
      </c>
      <c r="AO66" s="1" t="str">
        <f aca="false">TEXT(X66,"dd")</f>
        <v>12</v>
      </c>
      <c r="AP66" s="16" t="str">
        <f aca="false">INT(
  NETWORKDAYS(B66,V66)-1
  + IF(WEEKDAY(V66,2)&lt;6,MOD(V66+W66,1),0)
  - IF(WEEKDAY(B66,2)&lt;6,MOD(B66+C66,1),0)
)
&amp; ":" &amp;
TEXT(HOUR(
  NETWORKDAYS(B66,V66)-1
  + IF(WEEKDAY(V66,2)&lt;6,MOD(V66+W66,1),0)
  - IF(WEEKDAY(B66,2)&lt;6,MOD(B66+C66,1),0)
),"00")
&amp; ":" &amp;
TEXT(MINUTE(
  NETWORKDAYS(B66,V66)-1
  + IF(WEEKDAY(V66,2)&lt;6,MOD(V66+W66,1),0)
  - IF(WEEKDAY(B66,2)&lt;6,MOD(B66+C66,1),0)
),"00")</f>
        <v>3:01:12</v>
      </c>
      <c r="AQ66" s="0" t="n">
        <f aca="false">IFERROR(
LEFT(AP66,FIND(":",AP66)-1)
+ MID(AP66,FIND(":",AP66)+1,2)/24
+ RIGHT(AP66,2)/1440,
"")</f>
        <v>3.05</v>
      </c>
      <c r="AR66" s="0" t="n">
        <f aca="false">WEEKNUM(B66,1)</f>
        <v>1</v>
      </c>
      <c r="AS66" s="17" t="n">
        <f aca="false">IF(B66&gt;0, (B66+C66)-TIME(13,30,0), "")</f>
        <v>46022.3958333333</v>
      </c>
      <c r="AT66" s="18" t="n">
        <f aca="false">IF(B66&gt;0, (B66+C66)-TIME(13,30,0), "")</f>
        <v>46022.3958333333</v>
      </c>
      <c r="AU66" s="17" t="n">
        <f aca="false">IF(V66&gt;0, (V66+W66)-TIME(13,30,0), "")</f>
        <v>46027.4465277778</v>
      </c>
      <c r="AV66" s="18" t="n">
        <f aca="false">IF(V66&gt;0, (V66+W66)-TIME(13,30,0), "")</f>
        <v>46027.4465277778</v>
      </c>
      <c r="AW66" s="19" t="n">
        <f aca="false">24*(
MAX(0,
IF(NETWORKDAYS(AS66,AU66)=1,
MIN(MOD(AV66,1),TIME(17,30,0)) - MAX(MOD(AT66,1),TIME(8,30,0)),
(TIME(17,30,0)-MAX(MOD(AT66,1),TIME(8,30,0)))
+ (MIN(MOD(AV66,1),TIME(17,30,0))-TIME(8,30,0))
+ (NETWORKDAYS(AS66,AU66)-2)*9/24
)
)
)</f>
        <v>28.2166666666667</v>
      </c>
      <c r="AX66" s="19" t="n">
        <f aca="false">24*(
MAX(0,
IF(NETWORKDAYS(AS66,AU66)=1,
MIN(MOD(AV66,1),TIME(17,30,0)) - MAX(MOD(AT66,1),TIME(8,30,0)),
(TIME(17,30,0)-MAX(MOD(AT66,1),TIME(8,30,0)))
+ (MIN(MOD(AV66,1),TIME(17,30,0))-TIME(8,30,0))
+ (NETWORKDAYS(AS66,AU66)-2)* (TIME(17,30,0)-TIME(8,30,0))
)
)
)</f>
        <v>28.2166666666667</v>
      </c>
      <c r="AY66" s="20" t="n">
        <f aca="false">ROUND(
IF(AS66=AU66,
MAX(0,
(MIN(MOD(AV66,1),TIME(17,30,0))-
MAX(MOD(AT66,1),TIME(8,30,0)))*24
),
(
(MAX(0,TIME(17,30,0)-MAX(MOD(AT66,1),TIME(8,30,0)))*24)
+
(MAX(0,MIN(MOD(AV66,1),TIME(17,30,0))-TIME(8,30,0))*24)
+
(MAX(0,NETWORKDAYS(AS66+1,AU66-1))*9)
)
),
2)</f>
        <v>28.22</v>
      </c>
      <c r="AZ66" s="0" t="n">
        <f aca="false" t="array" ref="AZ66:AZ66">_xlfn.XLOOKUP(J66,{"Low","Medium","High"},{270,72,24})</f>
        <v>270</v>
      </c>
      <c r="BA66" s="0" t="str">
        <f aca="false">IF(AW66&gt;AZ66,"Not Met","Met")</f>
        <v>Met</v>
      </c>
      <c r="BB66" s="21" t="str">
        <f aca="false">IF(AS66="","",TEXT(AS66,"MMM")&amp;"'"&amp;TEXT(AS66,"yy"))</f>
        <v>Dec'25</v>
      </c>
      <c r="BC66" s="0" t="str">
        <f aca="false">IF(AU66="","",TEXT(AU66,"MMM")&amp;"'"&amp;TEXT(AU66,"yy"))</f>
        <v>Jan'26</v>
      </c>
    </row>
    <row r="67" customFormat="false" ht="15" hidden="false" customHeight="false" outlineLevel="0" collapsed="false">
      <c r="A67" s="23" t="s">
        <v>330</v>
      </c>
      <c r="B67" s="11" t="n">
        <v>46022</v>
      </c>
      <c r="C67" s="12" t="n">
        <v>0.9875</v>
      </c>
      <c r="D67" s="13" t="str">
        <f aca="false">IF(B67="","",TEXT(B67,"MMM")&amp;"'"&amp;TEXT(B67,"yy"))</f>
        <v>Dec'25</v>
      </c>
      <c r="E67" s="1" t="s">
        <v>55</v>
      </c>
      <c r="F67" s="1" t="s">
        <v>39</v>
      </c>
      <c r="G67" s="1" t="str">
        <f aca="false">IF(F67="Closed","Closed","Pending")</f>
        <v>Closed</v>
      </c>
      <c r="H67" s="23" t="s">
        <v>56</v>
      </c>
      <c r="I67" s="1" t="s">
        <v>331</v>
      </c>
      <c r="J67" s="1" t="s">
        <v>74</v>
      </c>
      <c r="K67" s="1" t="s">
        <v>59</v>
      </c>
      <c r="L67" s="23" t="s">
        <v>332</v>
      </c>
      <c r="M67" s="23" t="s">
        <v>333</v>
      </c>
      <c r="N67" s="1" t="s">
        <v>65</v>
      </c>
      <c r="O67" s="1" t="s">
        <v>77</v>
      </c>
      <c r="Q67" s="1" t="s">
        <v>65</v>
      </c>
      <c r="U67" s="25" t="n">
        <v>46027.0340277778</v>
      </c>
      <c r="V67" s="11" t="n">
        <v>46027</v>
      </c>
      <c r="W67" s="12" t="n">
        <v>0.979861111111111</v>
      </c>
      <c r="X67" s="11" t="n">
        <v>46028</v>
      </c>
      <c r="Y67" s="12" t="n">
        <v>0.0152777777777778</v>
      </c>
      <c r="Z67" s="1" t="s">
        <v>108</v>
      </c>
      <c r="AA67" s="1" t="s">
        <v>68</v>
      </c>
      <c r="AB67" s="2" t="n">
        <v>0.0465277777777778</v>
      </c>
      <c r="AC67" s="14" t="n">
        <f aca="false">(V67+W67)-(B67+C67)</f>
        <v>4.99236111111111</v>
      </c>
      <c r="AD67" s="4" t="str">
        <f aca="false">INT((V67+W67)-(B67+C67)) &amp; ":" &amp;
TEXT(HOUR((V67+W67)-(B67+C67)), "00") &amp; ":" &amp;
TEXT(MINUTE((V67+W67)-(B67+C67)), "00")</f>
        <v>4:23:49</v>
      </c>
      <c r="AE67" s="1" t="n">
        <f aca="false">IFERROR(
LEFT(AD67,FIND(":",AD67)-1)
+ MID(AD67,FIND(":",AD67)+1,2)/24
+ RIGHT(AD67,2)/1440,
"")</f>
        <v>4.99236111111111</v>
      </c>
      <c r="AF67" s="4" t="str">
        <f aca="false">INT((X67+Y67)-(B67+C67)) &amp; ":" &amp;
TEXT(HOUR((X67+Y67)-(B67+C67)), "00") &amp; ":" &amp;
TEXT(MINUTE((X67+Y67)-(B67+C67)), "00")</f>
        <v>5:00:40</v>
      </c>
      <c r="AG67" s="4" t="str">
        <f aca="false" t="array" ref="AG67:AG67">INT(_xlfn.XLOOKUP(J67,{"Low","Medium","High","Urgent"},{48,24,12,8})/24) &amp; ":" &amp;
TEXT(MOD(_xlfn.XLOOKUP(J67,{"Low","Medium","High","Urgent"},{48,24,12,8}),24)/24,"hh:mm")</f>
        <v>2:00:00</v>
      </c>
      <c r="AH67" s="4" t="str">
        <f aca="false">IF(AD67&gt;AG67,"Not Met","Met")</f>
        <v>Not Met</v>
      </c>
      <c r="AI67" s="4" t="str">
        <f aca="false">IF(AB67&lt;TIME(0,30,0),"Met","Not Met")</f>
        <v>Not Met</v>
      </c>
      <c r="AN67" s="1" t="str">
        <f aca="false">TEXT(B67,"dd")</f>
        <v>31</v>
      </c>
      <c r="AO67" s="1" t="str">
        <f aca="false">TEXT(X67,"dd")</f>
        <v>06</v>
      </c>
      <c r="AP67" s="16" t="str">
        <f aca="false">INT(
  NETWORKDAYS(B67,V67)-1
  + IF(WEEKDAY(V67,2)&lt;6,MOD(V67+W67,1),0)
  - IF(WEEKDAY(B67,2)&lt;6,MOD(B67+C67,1),0)
)
&amp; ":" &amp;
TEXT(HOUR(
  NETWORKDAYS(B67,V67)-1
  + IF(WEEKDAY(V67,2)&lt;6,MOD(V67+W67,1),0)
  - IF(WEEKDAY(B67,2)&lt;6,MOD(B67+C67,1),0)
),"00")
&amp; ":" &amp;
TEXT(MINUTE(
  NETWORKDAYS(B67,V67)-1
  + IF(WEEKDAY(V67,2)&lt;6,MOD(V67+W67,1),0)
  - IF(WEEKDAY(B67,2)&lt;6,MOD(B67+C67,1),0)
),"00")</f>
        <v>2:23:48</v>
      </c>
      <c r="AQ67" s="0" t="n">
        <f aca="false">IFERROR(
LEFT(AP67,FIND(":",AP67)-1)
+ MID(AP67,FIND(":",AP67)+1,2)/24
+ RIGHT(AP67,2)/1440,
"")</f>
        <v>2.99166666666667</v>
      </c>
      <c r="AR67" s="0" t="n">
        <f aca="false">WEEKNUM(B67,1)</f>
        <v>1</v>
      </c>
      <c r="AS67" s="17" t="n">
        <f aca="false">IF(B67&gt;0, (B67+C67)-TIME(13,30,0), "")</f>
        <v>46022.425</v>
      </c>
      <c r="AT67" s="18" t="n">
        <f aca="false">IF(B67&gt;0, (B67+C67)-TIME(13,30,0), "")</f>
        <v>46022.425</v>
      </c>
      <c r="AU67" s="17" t="n">
        <f aca="false">IF(V67&gt;0, (V67+W67)-TIME(13,30,0), "")</f>
        <v>46027.4173611111</v>
      </c>
      <c r="AV67" s="18" t="n">
        <f aca="false">IF(V67&gt;0, (V67+W67)-TIME(13,30,0), "")</f>
        <v>46027.4173611111</v>
      </c>
      <c r="AW67" s="19" t="n">
        <f aca="false">24*(
MAX(0,
IF(NETWORKDAYS(AS67,AU67)=1,
MIN(MOD(AV67,1),TIME(17,30,0)) - MAX(MOD(AT67,1),TIME(8,30,0)),
(TIME(17,30,0)-MAX(MOD(AT67,1),TIME(8,30,0)))
+ (MIN(MOD(AV67,1),TIME(17,30,0))-TIME(8,30,0))
+ (NETWORKDAYS(AS67,AU67)-2)*9/24
)
)
)</f>
        <v>26.8166666666667</v>
      </c>
      <c r="AX67" s="19" t="n">
        <f aca="false">24*(
MAX(0,
IF(NETWORKDAYS(AS67,AU67)=1,
MIN(MOD(AV67,1),TIME(17,30,0)) - MAX(MOD(AT67,1),TIME(8,30,0)),
(TIME(17,30,0)-MAX(MOD(AT67,1),TIME(8,30,0)))
+ (MIN(MOD(AV67,1),TIME(17,30,0))-TIME(8,30,0))
+ (NETWORKDAYS(AS67,AU67)-2)* (TIME(17,30,0)-TIME(8,30,0))
)
)
)</f>
        <v>26.8166666666667</v>
      </c>
      <c r="AY67" s="20" t="n">
        <f aca="false">ROUND(
IF(AS67=AU67,
MAX(0,
(MIN(MOD(AV67,1),TIME(17,30,0))-
MAX(MOD(AT67,1),TIME(8,30,0)))*24
),
(
(MAX(0,TIME(17,30,0)-MAX(MOD(AT67,1),TIME(8,30,0)))*24)
+
(MAX(0,MIN(MOD(AV67,1),TIME(17,30,0))-TIME(8,30,0))*24)
+
(MAX(0,NETWORKDAYS(AS67+1,AU67-1))*9)
)
),
2)</f>
        <v>26.82</v>
      </c>
      <c r="AZ67" s="0" t="n">
        <f aca="false" t="array" ref="AZ67:AZ67">_xlfn.XLOOKUP(J67,{"Low","Medium","High"},{270,72,24})</f>
        <v>270</v>
      </c>
      <c r="BA67" s="0" t="str">
        <f aca="false">IF(AW67&gt;AZ67,"Not Met","Met")</f>
        <v>Met</v>
      </c>
      <c r="BB67" s="21" t="str">
        <f aca="false">IF(AS67="","",TEXT(AS67,"MMM")&amp;"'"&amp;TEXT(AS67,"yy"))</f>
        <v>Dec'25</v>
      </c>
      <c r="BC67" s="0" t="str">
        <f aca="false">IF(AU67="","",TEXT(AU67,"MMM")&amp;"'"&amp;TEXT(AU67,"yy"))</f>
        <v>Jan'26</v>
      </c>
    </row>
    <row r="68" customFormat="false" ht="15" hidden="false" customHeight="false" outlineLevel="0" collapsed="false">
      <c r="A68" s="23" t="s">
        <v>334</v>
      </c>
      <c r="B68" s="11" t="n">
        <v>46023</v>
      </c>
      <c r="C68" s="12" t="n">
        <v>0.119444444444444</v>
      </c>
      <c r="D68" s="13" t="str">
        <f aca="false">IF(B68="","",TEXT(B68,"MMM")&amp;"'"&amp;TEXT(B68,"yy"))</f>
        <v>Jan'26</v>
      </c>
      <c r="E68" s="1" t="s">
        <v>55</v>
      </c>
      <c r="F68" s="1" t="s">
        <v>39</v>
      </c>
      <c r="G68" s="1" t="str">
        <f aca="false">IF(F68="Closed","Closed","Pending")</f>
        <v>Closed</v>
      </c>
      <c r="H68" s="1" t="s">
        <v>81</v>
      </c>
      <c r="I68" s="1" t="s">
        <v>82</v>
      </c>
      <c r="J68" s="1" t="s">
        <v>74</v>
      </c>
      <c r="K68" s="1" t="s">
        <v>59</v>
      </c>
      <c r="L68" s="23" t="s">
        <v>245</v>
      </c>
      <c r="M68" s="23" t="s">
        <v>335</v>
      </c>
      <c r="N68" s="1" t="s">
        <v>65</v>
      </c>
      <c r="O68" s="1" t="s">
        <v>77</v>
      </c>
      <c r="P68" s="1" t="s">
        <v>336</v>
      </c>
      <c r="Q68" s="1" t="s">
        <v>65</v>
      </c>
      <c r="R68" s="1" t="s">
        <v>79</v>
      </c>
      <c r="U68" s="12" t="n">
        <v>0.898611111111111</v>
      </c>
      <c r="V68" s="11" t="n">
        <v>46024</v>
      </c>
      <c r="W68" s="12" t="n">
        <v>0.948611111111111</v>
      </c>
      <c r="X68" s="11" t="n">
        <v>46025</v>
      </c>
      <c r="Y68" s="12" t="n">
        <v>0.24375</v>
      </c>
      <c r="Z68" s="1" t="s">
        <v>108</v>
      </c>
      <c r="AA68" s="1" t="s">
        <v>68</v>
      </c>
      <c r="AB68" s="2" t="e">
        <f aca="false">U68-G68</f>
        <v>#VALUE!</v>
      </c>
      <c r="AC68" s="14" t="n">
        <f aca="false">(V68+W68)-(B68+C68)</f>
        <v>1.82916666666667</v>
      </c>
      <c r="AD68" s="4" t="str">
        <f aca="false">INT((V68+W68)-(B68+C68)) &amp; ":" &amp;
TEXT(HOUR((V68+W68)-(B68+C68)), "00") &amp; ":" &amp;
TEXT(MINUTE((V68+W68)-(B68+C68)), "00")</f>
        <v>1:19:54</v>
      </c>
      <c r="AE68" s="1" t="n">
        <f aca="false">IFERROR(
LEFT(AD68,FIND(":",AD68)-1)
+ MID(AD68,FIND(":",AD68)+1,2)/24
+ RIGHT(AD68,2)/1440,
"")</f>
        <v>1.82916666666667</v>
      </c>
      <c r="AF68" s="4" t="str">
        <f aca="false">INT((X68+Y68)-(B68+C68)) &amp; ":" &amp;
TEXT(HOUR((X68+Y68)-(B68+C68)), "00") &amp; ":" &amp;
TEXT(MINUTE((X68+Y68)-(B68+C68)), "00")</f>
        <v>2:02:59</v>
      </c>
      <c r="AG68" s="4" t="str">
        <f aca="false" t="array" ref="AG68:AG68">INT(_xlfn.XLOOKUP(J68,{"Low","Medium","High","Urgent"},{48,24,12,8})/24) &amp; ":" &amp;
TEXT(MOD(_xlfn.XLOOKUP(J68,{"Low","Medium","High","Urgent"},{48,24,12,8}),24)/24,"hh:mm")</f>
        <v>2:00:00</v>
      </c>
      <c r="AH68" s="4" t="str">
        <f aca="false">IF(AD68&gt;AG68,"Not Met","Met")</f>
        <v>Met</v>
      </c>
      <c r="AI68" s="4" t="e">
        <f aca="false">IF(AB68&lt;TIME(0,30,0),"Met","Not Met")</f>
        <v>#VALUE!</v>
      </c>
      <c r="AN68" s="1" t="str">
        <f aca="false">TEXT(B68,"dd")</f>
        <v>01</v>
      </c>
      <c r="AO68" s="1" t="str">
        <f aca="false">TEXT(X68,"dd")</f>
        <v>03</v>
      </c>
      <c r="AP68" s="16" t="str">
        <f aca="false">INT(
  NETWORKDAYS(B68,V68)-1
  + IF(WEEKDAY(V68,2)&lt;6,MOD(V68+W68,1),0)
  - IF(WEEKDAY(B68,2)&lt;6,MOD(B68+C68,1),0)
)
&amp; ":" &amp;
TEXT(HOUR(
  NETWORKDAYS(B68,V68)-1
  + IF(WEEKDAY(V68,2)&lt;6,MOD(V68+W68,1),0)
  - IF(WEEKDAY(B68,2)&lt;6,MOD(B68+C68,1),0)
),"00")
&amp; ":" &amp;
TEXT(MINUTE(
  NETWORKDAYS(B68,V68)-1
  + IF(WEEKDAY(V68,2)&lt;6,MOD(V68+W68,1),0)
  - IF(WEEKDAY(B68,2)&lt;6,MOD(B68+C68,1),0)
),"00")</f>
        <v>1:19:54</v>
      </c>
      <c r="AQ68" s="0" t="n">
        <f aca="false">IFERROR(
LEFT(AP68,FIND(":",AP68)-1)
+ MID(AP68,FIND(":",AP68)+1,2)/24
+ RIGHT(AP68,2)/1440,
"")</f>
        <v>1.82916666666667</v>
      </c>
      <c r="AR68" s="0" t="n">
        <f aca="false">WEEKNUM(B68,1)</f>
        <v>1</v>
      </c>
      <c r="AS68" s="17" t="n">
        <f aca="false">IF(B68&gt;0, (B68+C68)-TIME(13,30,0), "")</f>
        <v>46022.5569444444</v>
      </c>
      <c r="AT68" s="18" t="n">
        <f aca="false">IF(B68&gt;0, (B68+C68)-TIME(13,30,0), "")</f>
        <v>46022.5569444444</v>
      </c>
      <c r="AU68" s="17" t="n">
        <f aca="false">IF(V68&gt;0, (V68+W68)-TIME(13,30,0), "")</f>
        <v>46024.3861111111</v>
      </c>
      <c r="AV68" s="18" t="n">
        <f aca="false">IF(V68&gt;0, (V68+W68)-TIME(13,30,0), "")</f>
        <v>46024.3861111111</v>
      </c>
      <c r="AW68" s="19" t="n">
        <f aca="false">24*(
MAX(0,
IF(NETWORKDAYS(AS68,AU68)=1,
MIN(MOD(AV68,1),TIME(17,30,0)) - MAX(MOD(AT68,1),TIME(8,30,0)),
(TIME(17,30,0)-MAX(MOD(AT68,1),TIME(8,30,0)))
+ (MIN(MOD(AV68,1),TIME(17,30,0))-TIME(8,30,0))
+ (NETWORKDAYS(AS68,AU68)-2)*9/24
)
)
)</f>
        <v>13.9000000000853</v>
      </c>
      <c r="AX68" s="19" t="n">
        <f aca="false">24*(
MAX(0,
IF(NETWORKDAYS(AS68,AU68)=1,
MIN(MOD(AV68,1),TIME(17,30,0)) - MAX(MOD(AT68,1),TIME(8,30,0)),
(TIME(17,30,0)-MAX(MOD(AT68,1),TIME(8,30,0)))
+ (MIN(MOD(AV68,1),TIME(17,30,0))-TIME(8,30,0))
+ (NETWORKDAYS(AS68,AU68)-2)* (TIME(17,30,0)-TIME(8,30,0))
)
)
)</f>
        <v>13.9000000000853</v>
      </c>
      <c r="AY68" s="20" t="n">
        <f aca="false">ROUND(
IF(AS68=AU68,
MAX(0,
(MIN(MOD(AV68,1),TIME(17,30,0))-
MAX(MOD(AT68,1),TIME(8,30,0)))*24
),
(
(MAX(0,TIME(17,30,0)-MAX(MOD(AT68,1),TIME(8,30,0)))*24)
+
(MAX(0,MIN(MOD(AV68,1),TIME(17,30,0))-TIME(8,30,0))*24)
+
(MAX(0,NETWORKDAYS(AS68+1,AU68-1))*9)
)
),
2)</f>
        <v>13.9</v>
      </c>
      <c r="AZ68" s="0" t="n">
        <f aca="false" t="array" ref="AZ68:AZ68">_xlfn.XLOOKUP(J68,{"Low","Medium","High"},{270,72,24})</f>
        <v>270</v>
      </c>
      <c r="BA68" s="0" t="str">
        <f aca="false">IF(AW68&gt;AZ68,"Not Met","Met")</f>
        <v>Met</v>
      </c>
      <c r="BB68" s="21" t="str">
        <f aca="false">IF(AS68="","",TEXT(AS68,"MMM")&amp;"'"&amp;TEXT(AS68,"yy"))</f>
        <v>Dec'25</v>
      </c>
      <c r="BC68" s="0" t="str">
        <f aca="false">IF(AU68="","",TEXT(AU68,"MMM")&amp;"'"&amp;TEXT(AU68,"yy"))</f>
        <v>Jan'26</v>
      </c>
    </row>
    <row r="69" customFormat="false" ht="15" hidden="false" customHeight="false" outlineLevel="0" collapsed="false">
      <c r="A69" s="30" t="s">
        <v>337</v>
      </c>
      <c r="B69" s="31" t="n">
        <v>46024</v>
      </c>
      <c r="C69" s="32" t="n">
        <v>0.993055555555556</v>
      </c>
      <c r="D69" s="13" t="str">
        <f aca="false">IF(B69="","",TEXT(B69,"MMM")&amp;"'"&amp;TEXT(B69,"yy"))</f>
        <v>Jan'26</v>
      </c>
      <c r="E69" s="26" t="s">
        <v>55</v>
      </c>
      <c r="F69" s="26" t="s">
        <v>39</v>
      </c>
      <c r="G69" s="33" t="str">
        <f aca="false">IF(F69="Closed","Closed","Pending")</f>
        <v>Closed</v>
      </c>
      <c r="H69" s="34" t="s">
        <v>72</v>
      </c>
      <c r="I69" s="26" t="s">
        <v>323</v>
      </c>
      <c r="J69" s="26" t="s">
        <v>74</v>
      </c>
      <c r="K69" s="1" t="s">
        <v>59</v>
      </c>
      <c r="L69" s="23" t="s">
        <v>338</v>
      </c>
      <c r="M69" s="23" t="s">
        <v>339</v>
      </c>
      <c r="N69" s="1" t="s">
        <v>62</v>
      </c>
      <c r="O69" s="1" t="s">
        <v>63</v>
      </c>
      <c r="Q69" s="1" t="s">
        <v>229</v>
      </c>
      <c r="R69" s="1" t="s">
        <v>87</v>
      </c>
      <c r="U69" s="12" t="n">
        <v>0.995138888888889</v>
      </c>
      <c r="V69" s="11" t="n">
        <v>46027</v>
      </c>
      <c r="W69" s="12" t="n">
        <v>0.985416666666667</v>
      </c>
      <c r="X69" s="11" t="n">
        <v>46037</v>
      </c>
      <c r="Y69" s="12" t="n">
        <v>0.0118055555555556</v>
      </c>
      <c r="Z69" s="1" t="s">
        <v>108</v>
      </c>
      <c r="AA69" s="1" t="s">
        <v>89</v>
      </c>
      <c r="AB69" s="2" t="e">
        <f aca="false">U69-G69</f>
        <v>#VALUE!</v>
      </c>
      <c r="AC69" s="14" t="n">
        <f aca="false">(V69+W69)-(B69+C69)</f>
        <v>2.99236111111111</v>
      </c>
      <c r="AD69" s="4" t="str">
        <f aca="false">INT((V69+W69)-(B69+C69)) &amp; ":" &amp;
TEXT(HOUR((V69+W69)-(B69+C69)), "00") &amp; ":" &amp;
TEXT(MINUTE((V69+W69)-(B69+C69)), "00")</f>
        <v>2:23:49</v>
      </c>
      <c r="AE69" s="1" t="n">
        <f aca="false">IFERROR(
LEFT(AD69,FIND(":",AD69)-1)
+ MID(AD69,FIND(":",AD69)+1,2)/24
+ RIGHT(AD69,2)/1440,
"")</f>
        <v>2.99236111111111</v>
      </c>
      <c r="AF69" s="4" t="str">
        <f aca="false">INT((X69+Y69)-(B69+C69)) &amp; ":" &amp;
TEXT(HOUR((X69+Y69)-(B69+C69)), "00") &amp; ":" &amp;
TEXT(MINUTE((X69+Y69)-(B69+C69)), "00")</f>
        <v>12:00:27</v>
      </c>
      <c r="AG69" s="4" t="str">
        <f aca="false" t="array" ref="AG69:AG69">INT(_xlfn.XLOOKUP(J69,{"Low","Medium","High","Urgent"},{48,24,12,8})/24) &amp; ":" &amp;
TEXT(MOD(_xlfn.XLOOKUP(J69,{"Low","Medium","High","Urgent"},{48,24,12,8}),24)/24,"hh:mm")</f>
        <v>2:00:00</v>
      </c>
      <c r="AH69" s="4" t="str">
        <f aca="false">IF(AD69&gt;AG69,"Not Met","Met")</f>
        <v>Not Met</v>
      </c>
      <c r="AI69" s="4" t="e">
        <f aca="false">IF(AB69&lt;TIME(0,30,0),"Met","Not Met")</f>
        <v>#VALUE!</v>
      </c>
      <c r="AN69" s="1" t="str">
        <f aca="false">TEXT(B69,"dd")</f>
        <v>02</v>
      </c>
      <c r="AO69" s="1" t="str">
        <f aca="false">TEXT(X69,"dd")</f>
        <v>15</v>
      </c>
      <c r="AP69" s="16" t="str">
        <f aca="false">INT(
  NETWORKDAYS(B69,V69)-1
  + IF(WEEKDAY(V69,2)&lt;6,MOD(V69+W69,1),0)
  - IF(WEEKDAY(B69,2)&lt;6,MOD(B69+C69,1),0)
)
&amp; ":" &amp;
TEXT(HOUR(
  NETWORKDAYS(B69,V69)-1
  + IF(WEEKDAY(V69,2)&lt;6,MOD(V69+W69,1),0)
  - IF(WEEKDAY(B69,2)&lt;6,MOD(B69+C69,1),0)
),"00")
&amp; ":" &amp;
TEXT(MINUTE(
  NETWORKDAYS(B69,V69)-1
  + IF(WEEKDAY(V69,2)&lt;6,MOD(V69+W69,1),0)
  - IF(WEEKDAY(B69,2)&lt;6,MOD(B69+C69,1),0)
),"00")</f>
        <v>0:23:49</v>
      </c>
      <c r="AQ69" s="0" t="n">
        <f aca="false">IFERROR(
LEFT(AP69,FIND(":",AP69)-1)
+ MID(AP69,FIND(":",AP69)+1,2)/24
+ RIGHT(AP69,2)/1440,
"")</f>
        <v>0.992361111111111</v>
      </c>
      <c r="AR69" s="0" t="n">
        <f aca="false">WEEKNUM(B69,1)</f>
        <v>1</v>
      </c>
      <c r="AS69" s="17" t="n">
        <f aca="false">IF(B69&gt;0, (B69+C69)-TIME(13,30,0), "")</f>
        <v>46024.4305555556</v>
      </c>
      <c r="AT69" s="18" t="n">
        <f aca="false">IF(B69&gt;0, (B69+C69)-TIME(13,30,0), "")</f>
        <v>46024.4305555556</v>
      </c>
      <c r="AU69" s="17" t="n">
        <f aca="false">IF(V69&gt;0, (V69+W69)-TIME(13,30,0), "")</f>
        <v>46027.4229166667</v>
      </c>
      <c r="AV69" s="18" t="n">
        <f aca="false">IF(V69&gt;0, (V69+W69)-TIME(13,30,0), "")</f>
        <v>46027.4229166667</v>
      </c>
      <c r="AW69" s="19" t="n">
        <f aca="false">24*(
MAX(0,
IF(NETWORKDAYS(AS69,AU69)=1,
MIN(MOD(AV69,1),TIME(17,30,0)) - MAX(MOD(AT69,1),TIME(8,30,0)),
(TIME(17,30,0)-MAX(MOD(AT69,1),TIME(8,30,0)))
+ (MIN(MOD(AV69,1),TIME(17,30,0))-TIME(8,30,0))
+ (NETWORKDAYS(AS69,AU69)-2)*9/24
)
)
)</f>
        <v>8.81666666666667</v>
      </c>
      <c r="AX69" s="19" t="n">
        <f aca="false">24*(
MAX(0,
IF(NETWORKDAYS(AS69,AU69)=1,
MIN(MOD(AV69,1),TIME(17,30,0)) - MAX(MOD(AT69,1),TIME(8,30,0)),
(TIME(17,30,0)-MAX(MOD(AT69,1),TIME(8,30,0)))
+ (MIN(MOD(AV69,1),TIME(17,30,0))-TIME(8,30,0))
+ (NETWORKDAYS(AS69,AU69)-2)* (TIME(17,30,0)-TIME(8,30,0))
)
)
)</f>
        <v>8.81666666666667</v>
      </c>
      <c r="AY69" s="20" t="n">
        <f aca="false">ROUND(
IF(AS69=AU69,
MAX(0,
(MIN(MOD(AV69,1),TIME(17,30,0))-
MAX(MOD(AT69,1),TIME(8,30,0)))*24
),
(
(MAX(0,TIME(17,30,0)-MAX(MOD(AT69,1),TIME(8,30,0)))*24)
+
(MAX(0,MIN(MOD(AV69,1),TIME(17,30,0))-TIME(8,30,0))*24)
+
(MAX(0,NETWORKDAYS(AS69+1,AU69-1))*9)
)
),
2)</f>
        <v>8.82</v>
      </c>
      <c r="AZ69" s="0" t="n">
        <f aca="false" t="array" ref="AZ69:AZ69">_xlfn.XLOOKUP(J69,{"Low","Medium","High"},{270,72,24})</f>
        <v>270</v>
      </c>
      <c r="BA69" s="0" t="str">
        <f aca="false">IF(AW69&gt;AZ69,"Not Met","Met")</f>
        <v>Met</v>
      </c>
      <c r="BB69" s="21" t="str">
        <f aca="false">IF(AS69="","",TEXT(AS69,"MMM")&amp;"'"&amp;TEXT(AS69,"yy"))</f>
        <v>Jan'26</v>
      </c>
      <c r="BC69" s="0" t="str">
        <f aca="false">IF(AU69="","",TEXT(AU69,"MMM")&amp;"'"&amp;TEXT(AU69,"yy"))</f>
        <v>Jan'26</v>
      </c>
    </row>
    <row r="70" customFormat="false" ht="15" hidden="false" customHeight="false" outlineLevel="0" collapsed="false">
      <c r="A70" s="23" t="s">
        <v>340</v>
      </c>
      <c r="B70" s="24" t="n">
        <v>46025</v>
      </c>
      <c r="C70" s="12" t="n">
        <v>0.188888888888889</v>
      </c>
      <c r="D70" s="13" t="str">
        <f aca="false">IF(B70="","",TEXT(B70,"MMM")&amp;"'"&amp;TEXT(B70,"yy"))</f>
        <v>Jan'26</v>
      </c>
      <c r="E70" s="1" t="s">
        <v>55</v>
      </c>
      <c r="F70" s="23" t="s">
        <v>39</v>
      </c>
      <c r="G70" s="1" t="str">
        <f aca="false">IF(F70="Closed","Closed","Pending")</f>
        <v>Closed</v>
      </c>
      <c r="H70" s="23" t="s">
        <v>72</v>
      </c>
      <c r="I70" s="1" t="s">
        <v>298</v>
      </c>
      <c r="J70" s="1" t="s">
        <v>74</v>
      </c>
      <c r="K70" s="35" t="s">
        <v>59</v>
      </c>
      <c r="L70" s="23" t="s">
        <v>341</v>
      </c>
      <c r="M70" s="23" t="s">
        <v>342</v>
      </c>
      <c r="N70" s="1" t="s">
        <v>62</v>
      </c>
      <c r="O70" s="1" t="s">
        <v>63</v>
      </c>
      <c r="Q70" s="1" t="s">
        <v>63</v>
      </c>
      <c r="R70" s="1" t="s">
        <v>87</v>
      </c>
      <c r="U70" s="12" t="n">
        <v>0.248611111111111</v>
      </c>
      <c r="V70" s="11" t="n">
        <v>46196</v>
      </c>
      <c r="W70" s="12" t="n">
        <v>0.899305555555556</v>
      </c>
      <c r="X70" s="11" t="n">
        <v>46198</v>
      </c>
      <c r="Y70" s="12" t="n">
        <v>0.902083333333333</v>
      </c>
      <c r="Z70" s="1" t="s">
        <v>343</v>
      </c>
      <c r="AA70" s="1" t="s">
        <v>68</v>
      </c>
      <c r="AB70" s="2" t="e">
        <f aca="false">U70-G70</f>
        <v>#VALUE!</v>
      </c>
      <c r="AC70" s="14" t="n">
        <f aca="false">(V70+W70)-(B70+C70)</f>
        <v>171.710416666667</v>
      </c>
      <c r="AD70" s="4" t="str">
        <f aca="false">INT((V70+W70)-(B70+C70)) &amp; ":" &amp;
TEXT(HOUR((V70+W70)-(B70+C70)), "00") &amp; ":" &amp;
TEXT(MINUTE((V70+W70)-(B70+C70)), "00")</f>
        <v>171:17:03</v>
      </c>
      <c r="AE70" s="1" t="n">
        <f aca="false">IFERROR(
LEFT(AD70,FIND(":",AD70)-1)
+ MID(AD70,FIND(":",AD70)+1,2)/24
+ RIGHT(AD70,2)/1440,
"")</f>
        <v>171.710416666667</v>
      </c>
      <c r="AF70" s="4" t="str">
        <f aca="false">INT((X70+Y70)-(B70+C70)) &amp; ":" &amp;
TEXT(HOUR((X70+Y70)-(B70+C70)), "00") &amp; ":" &amp;
TEXT(MINUTE((X70+Y70)-(B70+C70)), "00")</f>
        <v>173:17:07</v>
      </c>
      <c r="AG70" s="4" t="str">
        <f aca="false" t="array" ref="AG70:AG70">INT(_xlfn.XLOOKUP(J70,{"Low","Medium","High","Urgent"},{48,24,12,8})/24) &amp; ":" &amp;
TEXT(MOD(_xlfn.XLOOKUP(J70,{"Low","Medium","High","Urgent"},{48,24,12,8}),24)/24,"hh:mm")</f>
        <v>2:00:00</v>
      </c>
      <c r="AH70" s="4" t="str">
        <f aca="false">IF(AD70&gt;AG70,"Not Met","Met")</f>
        <v>Met</v>
      </c>
      <c r="AI70" s="4" t="e">
        <f aca="false">IF(AB70&lt;TIME(0,30,0),"Met","Not Met")</f>
        <v>#VALUE!</v>
      </c>
      <c r="AN70" s="1" t="str">
        <f aca="false">TEXT(B70,"dd")</f>
        <v>03</v>
      </c>
      <c r="AO70" s="1" t="str">
        <f aca="false">TEXT(X70,"dd")</f>
        <v>25</v>
      </c>
      <c r="AP70" s="16" t="str">
        <f aca="false">INT(
  NETWORKDAYS(B70,V70)-1
  + IF(WEEKDAY(V70,2)&lt;6,MOD(V70+W70,1),0)
  - IF(WEEKDAY(B70,2)&lt;6,MOD(B70+C70,1),0)
)
&amp; ":" &amp;
TEXT(HOUR(
  NETWORKDAYS(B70,V70)-1
  + IF(WEEKDAY(V70,2)&lt;6,MOD(V70+W70,1),0)
  - IF(WEEKDAY(B70,2)&lt;6,MOD(B70+C70,1),0)
),"00")
&amp; ":" &amp;
TEXT(MINUTE(
  NETWORKDAYS(B70,V70)-1
  + IF(WEEKDAY(V70,2)&lt;6,MOD(V70+W70,1),0)
  - IF(WEEKDAY(B70,2)&lt;6,MOD(B70+C70,1),0)
),"00")</f>
        <v>121:21:34</v>
      </c>
      <c r="AQ70" s="0" t="n">
        <f aca="false">IFERROR(
LEFT(AP70,FIND(":",AP70)-1)
+ MID(AP70,FIND(":",AP70)+1,2)/24
+ RIGHT(AP70,2)/1440,
"")</f>
        <v>121.898611111111</v>
      </c>
      <c r="AR70" s="0" t="n">
        <f aca="false">WEEKNUM(B70,1)</f>
        <v>1</v>
      </c>
      <c r="AS70" s="17" t="n">
        <f aca="false">IF(B70&gt;0, (B70+C70)-TIME(13,30,0), "")</f>
        <v>46024.6263888889</v>
      </c>
      <c r="AT70" s="18" t="n">
        <f aca="false">IF(B70&gt;0, (B70+C70)-TIME(13,30,0), "")</f>
        <v>46024.6263888889</v>
      </c>
      <c r="AU70" s="17" t="n">
        <f aca="false">IF(V70&gt;0, (V70+W70)-TIME(13,30,0), "")</f>
        <v>46196.3368055556</v>
      </c>
      <c r="AV70" s="18" t="n">
        <f aca="false">IF(V70&gt;0, (V70+W70)-TIME(13,30,0), "")</f>
        <v>46196.3368055556</v>
      </c>
      <c r="AW70" s="19" t="n">
        <f aca="false">24*(
MAX(0,
IF(NETWORKDAYS(AS70,AU70)=1,
MIN(MOD(AV70,1),TIME(17,30,0)) - MAX(MOD(AT70,1),TIME(8,30,0)),
(TIME(17,30,0)-MAX(MOD(AT70,1),TIME(8,30,0)))
+ (MIN(MOD(AV70,1),TIME(17,30,0))-TIME(8,30,0))
+ (NETWORKDAYS(AS70,AU70)-2)*9/24
)
)
)</f>
        <v>1091.05</v>
      </c>
      <c r="AX70" s="19" t="n">
        <f aca="false">24*(
MAX(0,
IF(NETWORKDAYS(AS70,AU70)=1,
MIN(MOD(AV70,1),TIME(17,30,0)) - MAX(MOD(AT70,1),TIME(8,30,0)),
(TIME(17,30,0)-MAX(MOD(AT70,1),TIME(8,30,0)))
+ (MIN(MOD(AV70,1),TIME(17,30,0))-TIME(8,30,0))
+ (NETWORKDAYS(AS70,AU70)-2)* (TIME(17,30,0)-TIME(8,30,0))
)
)
)</f>
        <v>1091.05</v>
      </c>
      <c r="AY70" s="20" t="n">
        <f aca="false">ROUND(
IF(AS70=AU70,
MAX(0,
(MIN(MOD(AV70,1),TIME(17,30,0))-
MAX(MOD(AT70,1),TIME(8,30,0)))*24
),
(
(MAX(0,TIME(17,30,0)-MAX(MOD(AT70,1),TIME(8,30,0)))*24)
+
(MAX(0,MIN(MOD(AV70,1),TIME(17,30,0))-TIME(8,30,0))*24)
+
(MAX(0,NETWORKDAYS(AS70+1,AU70-1))*9)
)
),
2)</f>
        <v>1091.47</v>
      </c>
      <c r="AZ70" s="0" t="n">
        <f aca="false" t="array" ref="AZ70:AZ70">_xlfn.XLOOKUP(J70,{"Low","Medium","High"},{270,72,24})</f>
        <v>270</v>
      </c>
      <c r="BA70" s="0" t="str">
        <f aca="false">IF(AW70&gt;AZ70,"Not Met","Met")</f>
        <v>Not Met</v>
      </c>
      <c r="BB70" s="21" t="str">
        <f aca="false">IF(AS70="","",TEXT(AS70,"MMM")&amp;"'"&amp;TEXT(AS70,"yy"))</f>
        <v>Jan'26</v>
      </c>
      <c r="BC70" s="0" t="str">
        <f aca="false">IF(AU70="","",TEXT(AU70,"MMM")&amp;"'"&amp;TEXT(AU70,"yy"))</f>
        <v>Jun'26</v>
      </c>
      <c r="BE70" s="0" t="s">
        <v>144</v>
      </c>
    </row>
    <row r="71" customFormat="false" ht="15" hidden="false" customHeight="false" outlineLevel="0" collapsed="false">
      <c r="A71" s="36" t="s">
        <v>344</v>
      </c>
      <c r="B71" s="36" t="n">
        <v>46025</v>
      </c>
      <c r="C71" s="37" t="n">
        <v>0.220138888888889</v>
      </c>
      <c r="D71" s="13" t="str">
        <f aca="false">IF(B71="","",TEXT(B71,"MMM")&amp;"'"&amp;TEXT(B71,"yy"))</f>
        <v>Jan'26</v>
      </c>
      <c r="E71" s="29" t="s">
        <v>55</v>
      </c>
      <c r="F71" s="29" t="s">
        <v>39</v>
      </c>
      <c r="G71" s="38" t="str">
        <f aca="false">IF(F71="Closed","Closed","Pending")</f>
        <v>Closed</v>
      </c>
      <c r="H71" s="39" t="s">
        <v>56</v>
      </c>
      <c r="I71" s="29" t="s">
        <v>82</v>
      </c>
      <c r="J71" s="29" t="s">
        <v>74</v>
      </c>
      <c r="K71" s="1" t="s">
        <v>59</v>
      </c>
      <c r="L71" s="23" t="s">
        <v>345</v>
      </c>
      <c r="M71" s="23" t="s">
        <v>346</v>
      </c>
      <c r="N71" s="1" t="s">
        <v>62</v>
      </c>
      <c r="O71" s="1" t="s">
        <v>77</v>
      </c>
      <c r="Q71" s="1" t="s">
        <v>86</v>
      </c>
      <c r="R71" s="1" t="s">
        <v>87</v>
      </c>
      <c r="U71" s="12" t="n">
        <v>0.248611111111111</v>
      </c>
      <c r="V71" s="11" t="n">
        <v>46029</v>
      </c>
      <c r="W71" s="12" t="n">
        <v>0.0256944444444444</v>
      </c>
      <c r="X71" s="11" t="n">
        <v>46029</v>
      </c>
      <c r="Y71" s="12" t="n">
        <v>0.0388888888888889</v>
      </c>
      <c r="Z71" s="1" t="s">
        <v>108</v>
      </c>
      <c r="AA71" s="1" t="s">
        <v>68</v>
      </c>
      <c r="AB71" s="2" t="e">
        <f aca="false">U71-G71</f>
        <v>#VALUE!</v>
      </c>
      <c r="AC71" s="14" t="n">
        <f aca="false">(V71+W71)-(B71+C71)</f>
        <v>3.80555555555556</v>
      </c>
      <c r="AD71" s="4" t="str">
        <f aca="false">INT((V71+W71)-(B71+C71)) &amp; ":" &amp;
TEXT(HOUR((V71+W71)-(B71+C71)), "00") &amp; ":" &amp;
TEXT(MINUTE((V71+W71)-(B71+C71)), "00")</f>
        <v>3:19:20</v>
      </c>
      <c r="AE71" s="1" t="n">
        <f aca="false">IFERROR(
LEFT(AD71,FIND(":",AD71)-1)
+ MID(AD71,FIND(":",AD71)+1,2)/24
+ RIGHT(AD71,2)/1440,
"")</f>
        <v>3.80555555555556</v>
      </c>
      <c r="AF71" s="4" t="str">
        <f aca="false">INT((X71+Y71)-(B71+C71)) &amp; ":" &amp;
TEXT(HOUR((X71+Y71)-(B71+C71)), "00") &amp; ":" &amp;
TEXT(MINUTE((X71+Y71)-(B71+C71)), "00")</f>
        <v>3:19:39</v>
      </c>
      <c r="AG71" s="4" t="str">
        <f aca="false" t="array" ref="AG71:AG71">INT(_xlfn.XLOOKUP(J71,{"Low","Medium","High","Urgent"},{48,24,12,8})/24) &amp; ":" &amp;
TEXT(MOD(_xlfn.XLOOKUP(J71,{"Low","Medium","High","Urgent"},{48,24,12,8}),24)/24,"hh:mm")</f>
        <v>2:00:00</v>
      </c>
      <c r="AH71" s="4" t="str">
        <f aca="false">IF(AD71&gt;AG71,"Not Met","Met")</f>
        <v>Not Met</v>
      </c>
      <c r="AI71" s="4" t="e">
        <f aca="false">IF(AB71&lt;TIME(0,30,0),"Met","Not Met")</f>
        <v>#VALUE!</v>
      </c>
      <c r="AN71" s="1" t="str">
        <f aca="false">TEXT(B71,"dd")</f>
        <v>03</v>
      </c>
      <c r="AO71" s="1" t="str">
        <f aca="false">TEXT(X71,"dd")</f>
        <v>07</v>
      </c>
      <c r="AP71" s="16" t="str">
        <f aca="false">INT(
  NETWORKDAYS(B71,V71)-1
  + IF(WEEKDAY(V71,2)&lt;6,MOD(V71+W71,1),0)
  - IF(WEEKDAY(B71,2)&lt;6,MOD(B71+C71,1),0)
)
&amp; ":" &amp;
TEXT(HOUR(
  NETWORKDAYS(B71,V71)-1
  + IF(WEEKDAY(V71,2)&lt;6,MOD(V71+W71,1),0)
  - IF(WEEKDAY(B71,2)&lt;6,MOD(B71+C71,1),0)
),"00")
&amp; ":" &amp;
TEXT(MINUTE(
  NETWORKDAYS(B71,V71)-1
  + IF(WEEKDAY(V71,2)&lt;6,MOD(V71+W71,1),0)
  - IF(WEEKDAY(B71,2)&lt;6,MOD(B71+C71,1),0)
),"00")</f>
        <v>2:00:36</v>
      </c>
      <c r="AQ71" s="0" t="n">
        <f aca="false">IFERROR(
LEFT(AP71,FIND(":",AP71)-1)
+ MID(AP71,FIND(":",AP71)+1,2)/24
+ RIGHT(AP71,2)/1440,
"")</f>
        <v>2.025</v>
      </c>
      <c r="AR71" s="0" t="n">
        <f aca="false">WEEKNUM(B71,1)</f>
        <v>1</v>
      </c>
      <c r="AS71" s="17" t="n">
        <f aca="false">IF(B71&gt;0, (B71+C71)-TIME(13,30,0), "")</f>
        <v>46024.6576388889</v>
      </c>
      <c r="AT71" s="18" t="n">
        <f aca="false">IF(B71&gt;0, (B71+C71)-TIME(13,30,0), "")</f>
        <v>46024.6576388889</v>
      </c>
      <c r="AU71" s="17" t="n">
        <f aca="false">IF(V71&gt;0, (V71+W71)-TIME(13,30,0), "")</f>
        <v>46028.4631944444</v>
      </c>
      <c r="AV71" s="18" t="n">
        <f aca="false">IF(V71&gt;0, (V71+W71)-TIME(13,30,0), "")</f>
        <v>46028.4631944444</v>
      </c>
      <c r="AW71" s="19" t="n">
        <f aca="false">24*(
MAX(0,
IF(NETWORKDAYS(AS71,AU71)=1,
MIN(MOD(AV71,1),TIME(17,30,0)) - MAX(MOD(AT71,1),TIME(8,30,0)),
(TIME(17,30,0)-MAX(MOD(AT71,1),TIME(8,30,0)))
+ (MIN(MOD(AV71,1),TIME(17,30,0))-TIME(8,30,0))
+ (NETWORKDAYS(AS71,AU71)-2)*9/24
)
)
)</f>
        <v>13.3333333332478</v>
      </c>
      <c r="AX71" s="19" t="n">
        <f aca="false">24*(
MAX(0,
IF(NETWORKDAYS(AS71,AU71)=1,
MIN(MOD(AV71,1),TIME(17,30,0)) - MAX(MOD(AT71,1),TIME(8,30,0)),
(TIME(17,30,0)-MAX(MOD(AT71,1),TIME(8,30,0)))
+ (MIN(MOD(AV71,1),TIME(17,30,0))-TIME(8,30,0))
+ (NETWORKDAYS(AS71,AU71)-2)* (TIME(17,30,0)-TIME(8,30,0))
)
)
)</f>
        <v>13.3333333332478</v>
      </c>
      <c r="AY71" s="20" t="n">
        <f aca="false">ROUND(
IF(AS71=AU71,
MAX(0,
(MIN(MOD(AV71,1),TIME(17,30,0))-
MAX(MOD(AT71,1),TIME(8,30,0)))*24
),
(
(MAX(0,TIME(17,30,0)-MAX(MOD(AT71,1),TIME(8,30,0)))*24)
+
(MAX(0,MIN(MOD(AV71,1),TIME(17,30,0))-TIME(8,30,0))*24)
+
(MAX(0,NETWORKDAYS(AS71+1,AU71-1))*9)
)
),
2)</f>
        <v>13.33</v>
      </c>
      <c r="AZ71" s="0" t="n">
        <f aca="false" t="array" ref="AZ71:AZ71">_xlfn.XLOOKUP(J71,{"Low","Medium","High"},{270,72,24})</f>
        <v>270</v>
      </c>
      <c r="BA71" s="0" t="str">
        <f aca="false">IF(AW71&gt;AZ71,"Not Met","Met")</f>
        <v>Met</v>
      </c>
      <c r="BB71" s="21" t="str">
        <f aca="false">IF(AS71="","",TEXT(AS71,"MMM")&amp;"'"&amp;TEXT(AS71,"yy"))</f>
        <v>Jan'26</v>
      </c>
      <c r="BC71" s="0" t="str">
        <f aca="false">IF(AU71="","",TEXT(AU71,"MMM")&amp;"'"&amp;TEXT(AU71,"yy"))</f>
        <v>Jan'26</v>
      </c>
    </row>
    <row r="72" customFormat="false" ht="15" hidden="false" customHeight="false" outlineLevel="0" collapsed="false">
      <c r="A72" s="31" t="s">
        <v>347</v>
      </c>
      <c r="B72" s="31" t="n">
        <v>46027</v>
      </c>
      <c r="C72" s="32" t="n">
        <v>0.858333333333333</v>
      </c>
      <c r="D72" s="13" t="str">
        <f aca="false">IF(B72="","",TEXT(B72,"MMM")&amp;"'"&amp;TEXT(B72,"yy"))</f>
        <v>Jan'26</v>
      </c>
      <c r="E72" s="26" t="s">
        <v>55</v>
      </c>
      <c r="F72" s="26" t="s">
        <v>39</v>
      </c>
      <c r="G72" s="33" t="str">
        <f aca="false">IF(F72="Closed","Closed","Pending")</f>
        <v>Closed</v>
      </c>
      <c r="H72" s="34" t="s">
        <v>348</v>
      </c>
      <c r="I72" s="26" t="s">
        <v>349</v>
      </c>
      <c r="J72" s="26" t="s">
        <v>74</v>
      </c>
      <c r="K72" s="1" t="s">
        <v>59</v>
      </c>
      <c r="L72" s="23" t="s">
        <v>350</v>
      </c>
      <c r="M72" s="23" t="s">
        <v>261</v>
      </c>
      <c r="N72" s="1" t="s">
        <v>65</v>
      </c>
      <c r="O72" s="1" t="s">
        <v>106</v>
      </c>
      <c r="Q72" s="1" t="s">
        <v>65</v>
      </c>
      <c r="R72" s="1" t="s">
        <v>351</v>
      </c>
      <c r="U72" s="12" t="n">
        <v>0.904166666666667</v>
      </c>
      <c r="V72" s="11" t="n">
        <v>46035</v>
      </c>
      <c r="W72" s="12" t="n">
        <v>0.927777777777778</v>
      </c>
      <c r="X72" s="11" t="n">
        <v>46036</v>
      </c>
      <c r="Y72" s="12" t="n">
        <v>0.127777777777778</v>
      </c>
      <c r="Z72" s="1" t="s">
        <v>67</v>
      </c>
      <c r="AA72" s="1" t="s">
        <v>68</v>
      </c>
      <c r="AB72" s="2" t="e">
        <f aca="false">U72-G72</f>
        <v>#VALUE!</v>
      </c>
      <c r="AC72" s="14" t="n">
        <f aca="false">(V72+W72)-(B72+C72)</f>
        <v>8.06944444444445</v>
      </c>
      <c r="AD72" s="4" t="str">
        <f aca="false">INT((V72+W72)-(B72+C72)) &amp; ":" &amp;
TEXT(HOUR((V72+W72)-(B72+C72)), "00") &amp; ":" &amp;
TEXT(MINUTE((V72+W72)-(B72+C72)), "00")</f>
        <v>8:01:40</v>
      </c>
      <c r="AE72" s="1" t="n">
        <f aca="false">IFERROR(
LEFT(AD72,FIND(":",AD72)-1)
+ MID(AD72,FIND(":",AD72)+1,2)/24
+ RIGHT(AD72,2)/1440,
"")</f>
        <v>8.06944444444445</v>
      </c>
      <c r="AF72" s="4" t="str">
        <f aca="false">INT((X72+Y72)-(B72+C72)) &amp; ":" &amp;
TEXT(HOUR((X72+Y72)-(B72+C72)), "00") &amp; ":" &amp;
TEXT(MINUTE((X72+Y72)-(B72+C72)), "00")</f>
        <v>8:06:28</v>
      </c>
      <c r="AG72" s="4" t="str">
        <f aca="false" t="array" ref="AG72:AG72">INT(_xlfn.XLOOKUP(J72,{"Low","Medium","High","Urgent"},{48,24,12,8})/24) &amp; ":" &amp;
TEXT(MOD(_xlfn.XLOOKUP(J72,{"Low","Medium","High","Urgent"},{48,24,12,8}),24)/24,"hh:mm")</f>
        <v>2:00:00</v>
      </c>
      <c r="AH72" s="4" t="str">
        <f aca="false">IF(AD72&gt;AG72,"Not Met","Met")</f>
        <v>Not Met</v>
      </c>
      <c r="AI72" s="4" t="e">
        <f aca="false">IF(AB72&lt;TIME(0,30,0),"Met","Not Met")</f>
        <v>#VALUE!</v>
      </c>
      <c r="AN72" s="1" t="str">
        <f aca="false">TEXT(B72,"dd")</f>
        <v>05</v>
      </c>
      <c r="AO72" s="1" t="str">
        <f aca="false">TEXT(X72,"dd")</f>
        <v>14</v>
      </c>
      <c r="AP72" s="16" t="str">
        <f aca="false">INT(
  NETWORKDAYS(B72,V72)-1
  + IF(WEEKDAY(V72,2)&lt;6,MOD(V72+W72,1),0)
  - IF(WEEKDAY(B72,2)&lt;6,MOD(B72+C72,1),0)
)
&amp; ":" &amp;
TEXT(HOUR(
  NETWORKDAYS(B72,V72)-1
  + IF(WEEKDAY(V72,2)&lt;6,MOD(V72+W72,1),0)
  - IF(WEEKDAY(B72,2)&lt;6,MOD(B72+C72,1),0)
),"00")
&amp; ":" &amp;
TEXT(MINUTE(
  NETWORKDAYS(B72,V72)-1
  + IF(WEEKDAY(V72,2)&lt;6,MOD(V72+W72,1),0)
  - IF(WEEKDAY(B72,2)&lt;6,MOD(B72+C72,1),0)
),"00")</f>
        <v>6:01:40</v>
      </c>
      <c r="AQ72" s="0" t="n">
        <f aca="false">IFERROR(
LEFT(AP72,FIND(":",AP72)-1)
+ MID(AP72,FIND(":",AP72)+1,2)/24
+ RIGHT(AP72,2)/1440,
"")</f>
        <v>6.06944444444445</v>
      </c>
      <c r="AR72" s="0" t="n">
        <f aca="false">WEEKNUM(B72,1)</f>
        <v>2</v>
      </c>
      <c r="AS72" s="17" t="n">
        <f aca="false">IF(B72&gt;0, (B72+C72)-TIME(13,30,0), "")</f>
        <v>46027.2958333333</v>
      </c>
      <c r="AT72" s="18" t="n">
        <f aca="false">IF(B72&gt;0, (B72+C72)-TIME(13,30,0), "")</f>
        <v>46027.2958333333</v>
      </c>
      <c r="AU72" s="17" t="n">
        <f aca="false">IF(V72&gt;0, (V72+W72)-TIME(13,30,0), "")</f>
        <v>46035.3652777778</v>
      </c>
      <c r="AV72" s="18" t="n">
        <f aca="false">IF(V72&gt;0, (V72+W72)-TIME(13,30,0), "")</f>
        <v>46035.3652777778</v>
      </c>
      <c r="AW72" s="19" t="n">
        <f aca="false">24*(
MAX(0,
IF(NETWORKDAYS(AS72,AU72)=1,
MIN(MOD(AV72,1),TIME(17,30,0)) - MAX(MOD(AT72,1),TIME(8,30,0)),
(TIME(17,30,0)-MAX(MOD(AT72,1),TIME(8,30,0)))
+ (MIN(MOD(AV72,1),TIME(17,30,0))-TIME(8,30,0))
+ (NETWORKDAYS(AS72,AU72)-2)*9/24
)
)
)</f>
        <v>54.2666666666667</v>
      </c>
      <c r="AX72" s="19" t="n">
        <f aca="false">24*(
MAX(0,
IF(NETWORKDAYS(AS72,AU72)=1,
MIN(MOD(AV72,1),TIME(17,30,0)) - MAX(MOD(AT72,1),TIME(8,30,0)),
(TIME(17,30,0)-MAX(MOD(AT72,1),TIME(8,30,0)))
+ (MIN(MOD(AV72,1),TIME(17,30,0))-TIME(8,30,0))
+ (NETWORKDAYS(AS72,AU72)-2)* (TIME(17,30,0)-TIME(8,30,0))
)
)
)</f>
        <v>54.2666666666667</v>
      </c>
      <c r="AY72" s="20" t="n">
        <f aca="false">ROUND(
IF(AS72=AU72,
MAX(0,
(MIN(MOD(AV72,1),TIME(17,30,0))-
MAX(MOD(AT72,1),TIME(8,30,0)))*24
),
(
(MAX(0,TIME(17,30,0)-MAX(MOD(AT72,1),TIME(8,30,0)))*24)
+
(MAX(0,MIN(MOD(AV72,1),TIME(17,30,0))-TIME(8,30,0))*24)
+
(MAX(0,NETWORKDAYS(AS72+1,AU72-1))*9)
)
),
2)</f>
        <v>54.27</v>
      </c>
      <c r="AZ72" s="0" t="n">
        <f aca="false" t="array" ref="AZ72:AZ72">_xlfn.XLOOKUP(J72,{"Low","Medium","High"},{270,72,24})</f>
        <v>270</v>
      </c>
      <c r="BA72" s="0" t="str">
        <f aca="false">IF(AW72&gt;AZ72,"Not Met","Met")</f>
        <v>Met</v>
      </c>
      <c r="BB72" s="21" t="str">
        <f aca="false">IF(AS72="","",TEXT(AS72,"MMM")&amp;"'"&amp;TEXT(AS72,"yy"))</f>
        <v>Jan'26</v>
      </c>
      <c r="BC72" s="0" t="str">
        <f aca="false">IF(AU72="","",TEXT(AU72,"MMM")&amp;"'"&amp;TEXT(AU72,"yy"))</f>
        <v>Jan'26</v>
      </c>
    </row>
    <row r="73" customFormat="false" ht="15" hidden="false" customHeight="false" outlineLevel="0" collapsed="false">
      <c r="A73" s="24" t="s">
        <v>352</v>
      </c>
      <c r="B73" s="24" t="n">
        <v>46028</v>
      </c>
      <c r="C73" s="12" t="n">
        <v>0.0270833333333333</v>
      </c>
      <c r="D73" s="13" t="str">
        <f aca="false">IF(B73="","",TEXT(B73,"MMM")&amp;"'"&amp;TEXT(B73,"yy"))</f>
        <v>Jan'26</v>
      </c>
      <c r="E73" s="1" t="s">
        <v>55</v>
      </c>
      <c r="F73" s="1" t="s">
        <v>39</v>
      </c>
      <c r="G73" s="1" t="str">
        <f aca="false">IF(F73="Closed","Closed","Pending")</f>
        <v>Closed</v>
      </c>
      <c r="H73" s="23" t="s">
        <v>56</v>
      </c>
      <c r="I73" s="1" t="s">
        <v>353</v>
      </c>
      <c r="J73" s="1" t="s">
        <v>58</v>
      </c>
      <c r="K73" s="35" t="s">
        <v>59</v>
      </c>
      <c r="L73" s="23" t="s">
        <v>354</v>
      </c>
      <c r="M73" s="23" t="s">
        <v>355</v>
      </c>
      <c r="N73" s="1" t="s">
        <v>65</v>
      </c>
      <c r="O73" s="1" t="s">
        <v>77</v>
      </c>
      <c r="Q73" s="1" t="s">
        <v>65</v>
      </c>
      <c r="U73" s="12" t="n">
        <v>0.954166666666667</v>
      </c>
      <c r="V73" s="11" t="n">
        <v>46031</v>
      </c>
      <c r="W73" s="12" t="n">
        <v>0.01875</v>
      </c>
      <c r="X73" s="11" t="n">
        <v>46042</v>
      </c>
      <c r="Y73" s="12" t="n">
        <v>0.0361111111111111</v>
      </c>
      <c r="Z73" s="1" t="s">
        <v>67</v>
      </c>
      <c r="AA73" s="1" t="s">
        <v>68</v>
      </c>
      <c r="AB73" s="2" t="e">
        <f aca="false">U73-G73</f>
        <v>#VALUE!</v>
      </c>
      <c r="AC73" s="14" t="n">
        <f aca="false">(V73+W73)-(B73+C73)</f>
        <v>2.99166666666667</v>
      </c>
      <c r="AD73" s="4" t="str">
        <f aca="false">INT((V73+W73)-(B73+C73)) &amp; ":" &amp;
TEXT(HOUR((V73+W73)-(B73+C73)), "00") &amp; ":" &amp;
TEXT(MINUTE((V73+W73)-(B73+C73)), "00")</f>
        <v>2:23:48</v>
      </c>
      <c r="AE73" s="1" t="n">
        <f aca="false">IFERROR(
LEFT(AD73,FIND(":",AD73)-1)
+ MID(AD73,FIND(":",AD73)+1,2)/24
+ RIGHT(AD73,2)/1440,
"")</f>
        <v>2.99166666666667</v>
      </c>
      <c r="AF73" s="4" t="str">
        <f aca="false">INT((X73+Y73)-(B73+C73)) &amp; ":" &amp;
TEXT(HOUR((X73+Y73)-(B73+C73)), "00") &amp; ":" &amp;
TEXT(MINUTE((X73+Y73)-(B73+C73)), "00")</f>
        <v>14:00:13</v>
      </c>
      <c r="AG73" s="4" t="str">
        <f aca="false" t="array" ref="AG73:AG73">INT(_xlfn.XLOOKUP(J73,{"Low","Medium","High","Urgent"},{48,24,12,8})/24) &amp; ":" &amp;
TEXT(MOD(_xlfn.XLOOKUP(J73,{"Low","Medium","High","Urgent"},{48,24,12,8}),24)/24,"hh:mm")</f>
        <v>1:00:00</v>
      </c>
      <c r="AH73" s="4" t="str">
        <f aca="false">IF(AD73&gt;AG73,"Not Met","Met")</f>
        <v>Not Met</v>
      </c>
      <c r="AI73" s="4" t="e">
        <f aca="false">IF(AB73&lt;TIME(0,30,0),"Met","Not Met")</f>
        <v>#VALUE!</v>
      </c>
      <c r="AN73" s="1" t="str">
        <f aca="false">TEXT(B73,"dd")</f>
        <v>06</v>
      </c>
      <c r="AO73" s="1" t="str">
        <f aca="false">TEXT(X73,"dd")</f>
        <v>20</v>
      </c>
      <c r="AP73" s="16" t="str">
        <f aca="false">INT(
  NETWORKDAYS(B73,V73)-1
  + IF(WEEKDAY(V73,2)&lt;6,MOD(V73+W73,1),0)
  - IF(WEEKDAY(B73,2)&lt;6,MOD(B73+C73,1),0)
)
&amp; ":" &amp;
TEXT(HOUR(
  NETWORKDAYS(B73,V73)-1
  + IF(WEEKDAY(V73,2)&lt;6,MOD(V73+W73,1),0)
  - IF(WEEKDAY(B73,2)&lt;6,MOD(B73+C73,1),0)
),"00")
&amp; ":" &amp;
TEXT(MINUTE(
  NETWORKDAYS(B73,V73)-1
  + IF(WEEKDAY(V73,2)&lt;6,MOD(V73+W73,1),0)
  - IF(WEEKDAY(B73,2)&lt;6,MOD(B73+C73,1),0)
),"00")</f>
        <v>2:23:48</v>
      </c>
      <c r="AQ73" s="0" t="n">
        <f aca="false">IFERROR(
LEFT(AP73,FIND(":",AP73)-1)
+ MID(AP73,FIND(":",AP73)+1,2)/24
+ RIGHT(AP73,2)/1440,
"")</f>
        <v>2.99166666666667</v>
      </c>
      <c r="AR73" s="0" t="n">
        <f aca="false">WEEKNUM(B73,1)</f>
        <v>2</v>
      </c>
      <c r="AS73" s="17" t="n">
        <f aca="false">IF(B73&gt;0, (B73+C73)-TIME(13,30,0), "")</f>
        <v>46027.4645833333</v>
      </c>
      <c r="AT73" s="18" t="n">
        <f aca="false">IF(B73&gt;0, (B73+C73)-TIME(13,30,0), "")</f>
        <v>46027.4645833333</v>
      </c>
      <c r="AU73" s="17" t="n">
        <f aca="false">IF(V73&gt;0, (V73+W73)-TIME(13,30,0), "")</f>
        <v>46030.45625</v>
      </c>
      <c r="AV73" s="18" t="n">
        <f aca="false">IF(V73&gt;0, (V73+W73)-TIME(13,30,0), "")</f>
        <v>46030.45625</v>
      </c>
      <c r="AW73" s="19" t="n">
        <f aca="false">24*(
MAX(0,
IF(NETWORKDAYS(AS73,AU73)=1,
MIN(MOD(AV73,1),TIME(17,30,0)) - MAX(MOD(AT73,1),TIME(8,30,0)),
(TIME(17,30,0)-MAX(MOD(AT73,1),TIME(8,30,0)))
+ (MIN(MOD(AV73,1),TIME(17,30,0))-TIME(8,30,0))
+ (NETWORKDAYS(AS73,AU73)-2)*9/24
)
)
)</f>
        <v>26.8</v>
      </c>
      <c r="AX73" s="19" t="n">
        <f aca="false">24*(
MAX(0,
IF(NETWORKDAYS(AS73,AU73)=1,
MIN(MOD(AV73,1),TIME(17,30,0)) - MAX(MOD(AT73,1),TIME(8,30,0)),
(TIME(17,30,0)-MAX(MOD(AT73,1),TIME(8,30,0)))
+ (MIN(MOD(AV73,1),TIME(17,30,0))-TIME(8,30,0))
+ (NETWORKDAYS(AS73,AU73)-2)* (TIME(17,30,0)-TIME(8,30,0))
)
)
)</f>
        <v>26.8</v>
      </c>
      <c r="AY73" s="20" t="n">
        <f aca="false">ROUND(
IF(AS73=AU73,
MAX(0,
(MIN(MOD(AV73,1),TIME(17,30,0))-
MAX(MOD(AT73,1),TIME(8,30,0)))*24
),
(
(MAX(0,TIME(17,30,0)-MAX(MOD(AT73,1),TIME(8,30,0)))*24)
+
(MAX(0,MIN(MOD(AV73,1),TIME(17,30,0))-TIME(8,30,0))*24)
+
(MAX(0,NETWORKDAYS(AS73+1,AU73-1))*9)
)
),
2)</f>
        <v>26.8</v>
      </c>
      <c r="AZ73" s="0" t="n">
        <f aca="false" t="array" ref="AZ73:AZ73">_xlfn.XLOOKUP(J73,{"Low","Medium","High"},{270,72,24})</f>
        <v>72</v>
      </c>
      <c r="BA73" s="0" t="str">
        <f aca="false">IF(AW73&gt;AZ73,"Not Met","Met")</f>
        <v>Met</v>
      </c>
      <c r="BB73" s="21" t="str">
        <f aca="false">IF(AS73="","",TEXT(AS73,"MMM")&amp;"'"&amp;TEXT(AS73,"yy"))</f>
        <v>Jan'26</v>
      </c>
      <c r="BC73" s="0" t="str">
        <f aca="false">IF(AU73="","",TEXT(AU73,"MMM")&amp;"'"&amp;TEXT(AU73,"yy"))</f>
        <v>Jan'26</v>
      </c>
    </row>
    <row r="74" customFormat="false" ht="15" hidden="false" customHeight="false" outlineLevel="0" collapsed="false">
      <c r="A74" s="36" t="s">
        <v>356</v>
      </c>
      <c r="B74" s="36" t="n">
        <v>46028</v>
      </c>
      <c r="C74" s="37" t="n">
        <v>0.186805555555556</v>
      </c>
      <c r="D74" s="13" t="str">
        <f aca="false">IF(B74="","",TEXT(B74,"MMM")&amp;"'"&amp;TEXT(B74,"yy"))</f>
        <v>Jan'26</v>
      </c>
      <c r="E74" s="29" t="s">
        <v>55</v>
      </c>
      <c r="F74" s="29" t="s">
        <v>39</v>
      </c>
      <c r="G74" s="38" t="str">
        <f aca="false">IF(F74="Closed","Closed","Pending")</f>
        <v>Closed</v>
      </c>
      <c r="H74" s="39" t="s">
        <v>72</v>
      </c>
      <c r="I74" s="29" t="s">
        <v>323</v>
      </c>
      <c r="J74" s="29" t="s">
        <v>58</v>
      </c>
      <c r="K74" s="1" t="s">
        <v>59</v>
      </c>
      <c r="L74" s="23" t="s">
        <v>357</v>
      </c>
      <c r="M74" s="23" t="s">
        <v>358</v>
      </c>
      <c r="N74" s="1" t="s">
        <v>62</v>
      </c>
      <c r="O74" s="1" t="s">
        <v>77</v>
      </c>
      <c r="Q74" s="1" t="s">
        <v>86</v>
      </c>
      <c r="R74" s="1" t="s">
        <v>87</v>
      </c>
      <c r="U74" s="12" t="n">
        <v>0.190277777777778</v>
      </c>
      <c r="V74" s="11" t="n">
        <v>46156</v>
      </c>
      <c r="W74" s="12" t="n">
        <v>0.878472222222222</v>
      </c>
      <c r="X74" s="11" t="n">
        <v>46169</v>
      </c>
      <c r="Y74" s="12" t="n">
        <v>0.925694444444445</v>
      </c>
      <c r="Z74" s="1" t="s">
        <v>67</v>
      </c>
      <c r="AA74" s="1" t="s">
        <v>89</v>
      </c>
      <c r="AB74" s="2" t="e">
        <f aca="false">U74-G74</f>
        <v>#VALUE!</v>
      </c>
      <c r="AC74" s="14" t="n">
        <f aca="false">(V74+W74)-(B74+C74)</f>
        <v>128.691666666667</v>
      </c>
      <c r="AD74" s="4" t="str">
        <f aca="false">INT((V74+W74)-(B74+C74)) &amp; ":" &amp;
TEXT(HOUR((V74+W74)-(B74+C74)), "00") &amp; ":" &amp;
TEXT(MINUTE((V74+W74)-(B74+C74)), "00")</f>
        <v>128:16:36</v>
      </c>
      <c r="AE74" s="1" t="n">
        <f aca="false">IFERROR(
LEFT(AD74,FIND(":",AD74)-1)
+ MID(AD74,FIND(":",AD74)+1,2)/24
+ RIGHT(AD74,2)/1440,
"")</f>
        <v>128.691666666667</v>
      </c>
      <c r="AF74" s="4" t="str">
        <f aca="false">INT((X74+Y74)-(B74+C74)) &amp; ":" &amp;
TEXT(HOUR((X74+Y74)-(B74+C74)), "00") &amp; ":" &amp;
TEXT(MINUTE((X74+Y74)-(B74+C74)), "00")</f>
        <v>141:17:44</v>
      </c>
      <c r="AG74" s="4" t="str">
        <f aca="false" t="array" ref="AG74:AG74">INT(_xlfn.XLOOKUP(J74,{"Low","Medium","High","Urgent"},{48,24,12,8})/24) &amp; ":" &amp;
TEXT(MOD(_xlfn.XLOOKUP(J74,{"Low","Medium","High","Urgent"},{48,24,12,8}),24)/24,"hh:mm")</f>
        <v>1:00:00</v>
      </c>
      <c r="AH74" s="4" t="str">
        <f aca="false">IF(AD74&gt;AG74,"Not Met","Met")</f>
        <v>Not Met</v>
      </c>
      <c r="AI74" s="4" t="e">
        <f aca="false">IF(AB74&lt;TIME(0,30,0),"Met","Not Met")</f>
        <v>#VALUE!</v>
      </c>
      <c r="AJ74" s="25" t="n">
        <v>46134.1868055556</v>
      </c>
      <c r="AN74" s="1" t="str">
        <f aca="false">TEXT(B74,"dd")</f>
        <v>06</v>
      </c>
      <c r="AO74" s="1" t="str">
        <f aca="false">TEXT(X74,"dd")</f>
        <v>27</v>
      </c>
      <c r="AP74" s="16" t="str">
        <f aca="false">INT(
  NETWORKDAYS(B74,V74)-1
  + IF(WEEKDAY(V74,2)&lt;6,MOD(V74+W74,1),0)
  - IF(WEEKDAY(B74,2)&lt;6,MOD(B74+C74,1),0)
)
&amp; ":" &amp;
TEXT(HOUR(
  NETWORKDAYS(B74,V74)-1
  + IF(WEEKDAY(V74,2)&lt;6,MOD(V74+W74,1),0)
  - IF(WEEKDAY(B74,2)&lt;6,MOD(B74+C74,1),0)
),"00")
&amp; ":" &amp;
TEXT(MINUTE(
  NETWORKDAYS(B74,V74)-1
  + IF(WEEKDAY(V74,2)&lt;6,MOD(V74+W74,1),0)
  - IF(WEEKDAY(B74,2)&lt;6,MOD(B74+C74,1),0)
),"00")</f>
        <v>92:16:35</v>
      </c>
      <c r="AQ74" s="0" t="n">
        <f aca="false">IFERROR(
LEFT(AP74,FIND(":",AP74)-1)
+ MID(AP74,FIND(":",AP74)+1,2)/24
+ RIGHT(AP74,2)/1440,
"")</f>
        <v>92.6909722222222</v>
      </c>
      <c r="AR74" s="0" t="n">
        <f aca="false">WEEKNUM(B74,1)</f>
        <v>2</v>
      </c>
      <c r="AS74" s="17" t="n">
        <f aca="false">IF(B74&gt;0, (B74+C74)-TIME(13,30,0), "")</f>
        <v>46027.6243055556</v>
      </c>
      <c r="AT74" s="18" t="n">
        <f aca="false">IF(B74&gt;0, (B74+C74)-TIME(13,30,0), "")</f>
        <v>46027.6243055556</v>
      </c>
      <c r="AU74" s="17" t="n">
        <f aca="false">IF(V74&gt;0, (V74+W74)-TIME(13,30,0), "")</f>
        <v>46156.3159722222</v>
      </c>
      <c r="AV74" s="18" t="n">
        <f aca="false">IF(V74&gt;0, (V74+W74)-TIME(13,30,0), "")</f>
        <v>46156.3159722222</v>
      </c>
      <c r="AW74" s="19" t="n">
        <f aca="false">24*(
MAX(0,
IF(NETWORKDAYS(AS74,AU74)=1,
MIN(MOD(AV74,1),TIME(17,30,0)) - MAX(MOD(AT74,1),TIME(8,30,0)),
(TIME(17,30,0)-MAX(MOD(AT74,1),TIME(8,30,0)))
+ (MIN(MOD(AV74,1),TIME(17,30,0))-TIME(8,30,0))
+ (NETWORKDAYS(AS74,AU74)-2)*9/24
)
)
)</f>
        <v>829.6</v>
      </c>
      <c r="AX74" s="19" t="n">
        <f aca="false">24*(
MAX(0,
IF(NETWORKDAYS(AS74,AU74)=1,
MIN(MOD(AV74,1),TIME(17,30,0)) - MAX(MOD(AT74,1),TIME(8,30,0)),
(TIME(17,30,0)-MAX(MOD(AT74,1),TIME(8,30,0)))
+ (MIN(MOD(AV74,1),TIME(17,30,0))-TIME(8,30,0))
+ (NETWORKDAYS(AS74,AU74)-2)* (TIME(17,30,0)-TIME(8,30,0))
)
)
)</f>
        <v>829.6</v>
      </c>
      <c r="AY74" s="20" t="n">
        <f aca="false">ROUND(
IF(AS74=AU74,
MAX(0,
(MIN(MOD(AV74,1),TIME(17,30,0))-
MAX(MOD(AT74,1),TIME(8,30,0)))*24
),
(
(MAX(0,TIME(17,30,0)-MAX(MOD(AT74,1),TIME(8,30,0)))*24)
+
(MAX(0,MIN(MOD(AV74,1),TIME(17,30,0))-TIME(8,30,0))*24)
+
(MAX(0,NETWORKDAYS(AS74+1,AU74-1))*9)
)
),
2)</f>
        <v>830.52</v>
      </c>
      <c r="AZ74" s="0" t="n">
        <f aca="false" t="array" ref="AZ74:AZ74">_xlfn.XLOOKUP(J74,{"Low","Medium","High"},{270,72,24})</f>
        <v>72</v>
      </c>
      <c r="BA74" s="0" t="str">
        <f aca="false">IF(AW74&gt;AZ74,"Not Met","Met")</f>
        <v>Not Met</v>
      </c>
      <c r="BB74" s="21" t="str">
        <f aca="false">IF(AS74="","",TEXT(AS74,"MMM")&amp;"'"&amp;TEXT(AS74,"yy"))</f>
        <v>Jan'26</v>
      </c>
      <c r="BC74" s="0" t="str">
        <f aca="false">IF(AU74="","",TEXT(AU74,"MMM")&amp;"'"&amp;TEXT(AU74,"yy"))</f>
        <v>May'26</v>
      </c>
    </row>
    <row r="75" customFormat="false" ht="15" hidden="false" customHeight="false" outlineLevel="0" collapsed="false">
      <c r="A75" s="31" t="s">
        <v>359</v>
      </c>
      <c r="B75" s="31" t="n">
        <v>46028</v>
      </c>
      <c r="C75" s="32" t="n">
        <v>0.239583333333333</v>
      </c>
      <c r="D75" s="13" t="str">
        <f aca="false">IF(B75="","",TEXT(B75,"MMM")&amp;"'"&amp;TEXT(B75,"yy"))</f>
        <v>Jan'26</v>
      </c>
      <c r="E75" s="26" t="s">
        <v>55</v>
      </c>
      <c r="F75" s="26" t="s">
        <v>39</v>
      </c>
      <c r="G75" s="33" t="str">
        <f aca="false">IF(F75="Closed","Closed","Pending")</f>
        <v>Closed</v>
      </c>
      <c r="H75" s="34" t="s">
        <v>360</v>
      </c>
      <c r="I75" s="26" t="s">
        <v>103</v>
      </c>
      <c r="J75" s="26" t="s">
        <v>74</v>
      </c>
      <c r="K75" s="1" t="s">
        <v>59</v>
      </c>
      <c r="L75" s="23" t="s">
        <v>115</v>
      </c>
      <c r="M75" s="23" t="s">
        <v>361</v>
      </c>
      <c r="N75" s="1" t="s">
        <v>65</v>
      </c>
      <c r="O75" s="1" t="s">
        <v>106</v>
      </c>
      <c r="Q75" s="1" t="s">
        <v>65</v>
      </c>
      <c r="R75" s="1" t="s">
        <v>351</v>
      </c>
      <c r="U75" s="25" t="n">
        <v>46029.03125</v>
      </c>
      <c r="V75" s="11" t="n">
        <v>46029</v>
      </c>
      <c r="W75" s="12" t="n">
        <v>0.03125</v>
      </c>
      <c r="X75" s="11" t="n">
        <v>46029</v>
      </c>
      <c r="Y75" s="12" t="n">
        <v>0.213888888888889</v>
      </c>
      <c r="Z75" s="1" t="s">
        <v>67</v>
      </c>
      <c r="AA75" s="1" t="s">
        <v>68</v>
      </c>
      <c r="AB75" s="2" t="n">
        <v>0.791666666666667</v>
      </c>
      <c r="AC75" s="14" t="n">
        <f aca="false">(V75+W75)-(B75+C75)</f>
        <v>0.791666666666667</v>
      </c>
      <c r="AD75" s="4" t="str">
        <f aca="false">INT((V75+W75)-(B75+C75)) &amp; ":" &amp;
TEXT(HOUR((V75+W75)-(B75+C75)), "00") &amp; ":" &amp;
TEXT(MINUTE((V75+W75)-(B75+C75)), "00")</f>
        <v>0:19:00</v>
      </c>
      <c r="AE75" s="1" t="n">
        <f aca="false">IFERROR(
LEFT(AD75,FIND(":",AD75)-1)
+ MID(AD75,FIND(":",AD75)+1,2)/24
+ RIGHT(AD75,2)/1440,
"")</f>
        <v>0.791666666666667</v>
      </c>
      <c r="AF75" s="4" t="str">
        <f aca="false">INT((X75+Y75)-(B75+C75)) &amp; ":" &amp;
TEXT(HOUR((X75+Y75)-(B75+C75)), "00") &amp; ":" &amp;
TEXT(MINUTE((X75+Y75)-(B75+C75)), "00")</f>
        <v>0:23:23</v>
      </c>
      <c r="AG75" s="4" t="str">
        <f aca="false" t="array" ref="AG75:AG75">INT(_xlfn.XLOOKUP(J75,{"Low","Medium","High","Urgent"},{48,24,12,8})/24) &amp; ":" &amp;
TEXT(MOD(_xlfn.XLOOKUP(J75,{"Low","Medium","High","Urgent"},{48,24,12,8}),24)/24,"hh:mm")</f>
        <v>2:00:00</v>
      </c>
      <c r="AH75" s="4" t="str">
        <f aca="false">IF(AD75&gt;AG75,"Not Met","Met")</f>
        <v>Met</v>
      </c>
      <c r="AI75" s="4" t="str">
        <f aca="false">IF(AB75&lt;TIME(0,30,0),"Met","Not Met")</f>
        <v>Not Met</v>
      </c>
      <c r="AN75" s="1" t="str">
        <f aca="false">TEXT(B75,"dd")</f>
        <v>06</v>
      </c>
      <c r="AO75" s="1" t="str">
        <f aca="false">TEXT(X75,"dd")</f>
        <v>07</v>
      </c>
      <c r="AP75" s="16" t="str">
        <f aca="false">INT(
  NETWORKDAYS(B75,V75)-1
  + IF(WEEKDAY(V75,2)&lt;6,MOD(V75+W75,1),0)
  - IF(WEEKDAY(B75,2)&lt;6,MOD(B75+C75,1),0)
)
&amp; ":" &amp;
TEXT(HOUR(
  NETWORKDAYS(B75,V75)-1
  + IF(WEEKDAY(V75,2)&lt;6,MOD(V75+W75,1),0)
  - IF(WEEKDAY(B75,2)&lt;6,MOD(B75+C75,1),0)
),"00")
&amp; ":" &amp;
TEXT(MINUTE(
  NETWORKDAYS(B75,V75)-1
  + IF(WEEKDAY(V75,2)&lt;6,MOD(V75+W75,1),0)
  - IF(WEEKDAY(B75,2)&lt;6,MOD(B75+C75,1),0)
),"00")</f>
        <v>0:18:59</v>
      </c>
      <c r="AQ75" s="0" t="n">
        <f aca="false">IFERROR(
LEFT(AP75,FIND(":",AP75)-1)
+ MID(AP75,FIND(":",AP75)+1,2)/24
+ RIGHT(AP75,2)/1440,
"")</f>
        <v>0.790972222222222</v>
      </c>
      <c r="AR75" s="0" t="n">
        <f aca="false">WEEKNUM(B75,1)</f>
        <v>2</v>
      </c>
      <c r="AS75" s="17" t="n">
        <f aca="false">IF(B75&gt;0, (B75+C75)-TIME(13,30,0), "")</f>
        <v>46027.6770833333</v>
      </c>
      <c r="AT75" s="18" t="n">
        <f aca="false">IF(B75&gt;0, (B75+C75)-TIME(13,30,0), "")</f>
        <v>46027.6770833333</v>
      </c>
      <c r="AU75" s="17" t="n">
        <f aca="false">IF(V75&gt;0, (V75+W75)-TIME(13,30,0), "")</f>
        <v>46028.46875</v>
      </c>
      <c r="AV75" s="18" t="n">
        <f aca="false">IF(V75&gt;0, (V75+W75)-TIME(13,30,0), "")</f>
        <v>46028.46875</v>
      </c>
      <c r="AW75" s="19" t="n">
        <f aca="false">24*(
MAX(0,
IF(NETWORKDAYS(AS75,AU75)=1,
MIN(MOD(AV75,1),TIME(17,30,0)) - MAX(MOD(AT75,1),TIME(8,30,0)),
(TIME(17,30,0)-MAX(MOD(AT75,1),TIME(8,30,0)))
+ (MIN(MOD(AV75,1),TIME(17,30,0))-TIME(8,30,0))
+ (NETWORKDAYS(AS75,AU75)-2)*9/24
)
)
)</f>
        <v>4</v>
      </c>
      <c r="AX75" s="19" t="n">
        <f aca="false">24*(
MAX(0,
IF(NETWORKDAYS(AS75,AU75)=1,
MIN(MOD(AV75,1),TIME(17,30,0)) - MAX(MOD(AT75,1),TIME(8,30,0)),
(TIME(17,30,0)-MAX(MOD(AT75,1),TIME(8,30,0)))
+ (MIN(MOD(AV75,1),TIME(17,30,0))-TIME(8,30,0))
+ (NETWORKDAYS(AS75,AU75)-2)* (TIME(17,30,0)-TIME(8,30,0))
)
)
)</f>
        <v>4</v>
      </c>
      <c r="AY75" s="20" t="n">
        <f aca="false">ROUND(
IF(AS75=AU75,
MAX(0,
(MIN(MOD(AV75,1),TIME(17,30,0))-
MAX(MOD(AT75,1),TIME(8,30,0)))*24
),
(
(MAX(0,TIME(17,30,0)-MAX(MOD(AT75,1),TIME(8,30,0)))*24)
+
(MAX(0,MIN(MOD(AV75,1),TIME(17,30,0))-TIME(8,30,0))*24)
+
(MAX(0,NETWORKDAYS(AS75+1,AU75-1))*9)
)
),
2)</f>
        <v>4</v>
      </c>
      <c r="AZ75" s="0" t="n">
        <f aca="false" t="array" ref="AZ75:AZ75">_xlfn.XLOOKUP(J75,{"Low","Medium","High"},{270,72,24})</f>
        <v>270</v>
      </c>
      <c r="BA75" s="0" t="str">
        <f aca="false">IF(AW75&gt;AZ75,"Not Met","Met")</f>
        <v>Met</v>
      </c>
      <c r="BB75" s="21" t="str">
        <f aca="false">IF(AS75="","",TEXT(AS75,"MMM")&amp;"'"&amp;TEXT(AS75,"yy"))</f>
        <v>Jan'26</v>
      </c>
      <c r="BC75" s="0" t="str">
        <f aca="false">IF(AU75="","",TEXT(AU75,"MMM")&amp;"'"&amp;TEXT(AU75,"yy"))</f>
        <v>Jan'26</v>
      </c>
    </row>
    <row r="76" customFormat="false" ht="15" hidden="false" customHeight="false" outlineLevel="0" collapsed="false">
      <c r="A76" s="24" t="s">
        <v>362</v>
      </c>
      <c r="B76" s="24" t="n">
        <v>46028</v>
      </c>
      <c r="C76" s="12" t="n">
        <v>0.255555555555556</v>
      </c>
      <c r="D76" s="13" t="str">
        <f aca="false">IF(B76="","",TEXT(B76,"MMM")&amp;"'"&amp;TEXT(B76,"yy"))</f>
        <v>Jan'26</v>
      </c>
      <c r="E76" s="1" t="s">
        <v>55</v>
      </c>
      <c r="F76" s="1" t="s">
        <v>39</v>
      </c>
      <c r="G76" s="1" t="str">
        <f aca="false">IF(F76="Closed","Closed","Pending")</f>
        <v>Closed</v>
      </c>
      <c r="H76" s="23" t="s">
        <v>56</v>
      </c>
      <c r="I76" s="1" t="s">
        <v>73</v>
      </c>
      <c r="J76" s="1" t="s">
        <v>58</v>
      </c>
      <c r="K76" s="40" t="s">
        <v>59</v>
      </c>
      <c r="L76" s="34" t="s">
        <v>363</v>
      </c>
      <c r="M76" s="34" t="s">
        <v>364</v>
      </c>
      <c r="N76" s="26" t="s">
        <v>62</v>
      </c>
      <c r="O76" s="1" t="s">
        <v>63</v>
      </c>
      <c r="P76" s="26"/>
      <c r="Q76" s="26" t="s">
        <v>229</v>
      </c>
      <c r="R76" s="26" t="s">
        <v>66</v>
      </c>
      <c r="S76" s="26"/>
      <c r="T76" s="26"/>
      <c r="U76" s="25" t="n">
        <v>46031.9861111111</v>
      </c>
      <c r="V76" s="11" t="n">
        <v>46168</v>
      </c>
      <c r="W76" s="12" t="n">
        <v>0.864583333333333</v>
      </c>
      <c r="X76" s="11" t="n">
        <v>46169</v>
      </c>
      <c r="Y76" s="12" t="n">
        <v>0.959027777777778</v>
      </c>
      <c r="Z76" s="1" t="s">
        <v>108</v>
      </c>
      <c r="AA76" s="1" t="s">
        <v>68</v>
      </c>
      <c r="AB76" s="2" t="n">
        <v>3.70833333333333</v>
      </c>
      <c r="AC76" s="14" t="n">
        <f aca="false">(V76+W76)-(B76+C76)</f>
        <v>140.609027777778</v>
      </c>
      <c r="AD76" s="4" t="str">
        <f aca="false">INT((V76+W76)-(B76+C76)) &amp; ":" &amp;
TEXT(HOUR((V76+W76)-(B76+C76)), "00") &amp; ":" &amp;
TEXT(MINUTE((V76+W76)-(B76+C76)), "00")</f>
        <v>140:14:37</v>
      </c>
      <c r="AE76" s="1" t="n">
        <f aca="false">IFERROR(
LEFT(AD76,FIND(":",AD76)-1)
+ MID(AD76,FIND(":",AD76)+1,2)/24
+ RIGHT(AD76,2)/1440,
"")</f>
        <v>140.609027777778</v>
      </c>
      <c r="AF76" s="4" t="str">
        <f aca="false">INT((X76+Y76)-(B76+C76)) &amp; ":" &amp;
TEXT(HOUR((X76+Y76)-(B76+C76)), "00") &amp; ":" &amp;
TEXT(MINUTE((X76+Y76)-(B76+C76)), "00")</f>
        <v>141:16:53</v>
      </c>
      <c r="AG76" s="4" t="str">
        <f aca="false" t="array" ref="AG76:AG76">INT(_xlfn.XLOOKUP(J76,{"Low","Medium","High","Urgent"},{48,24,12,8})/24) &amp; ":" &amp;
TEXT(MOD(_xlfn.XLOOKUP(J76,{"Low","Medium","High","Urgent"},{48,24,12,8}),24)/24,"hh:mm")</f>
        <v>1:00:00</v>
      </c>
      <c r="AH76" s="4" t="str">
        <f aca="false">IF(AD76&gt;AG76,"Not Met","Met")</f>
        <v>Not Met</v>
      </c>
      <c r="AI76" s="4" t="str">
        <f aca="false">IF(AB76&lt;TIME(0,30,0),"Met","Not Met")</f>
        <v>Not Met</v>
      </c>
      <c r="AN76" s="1" t="str">
        <f aca="false">TEXT(B76,"dd")</f>
        <v>06</v>
      </c>
      <c r="AO76" s="1" t="str">
        <f aca="false">TEXT(X76,"dd")</f>
        <v>27</v>
      </c>
      <c r="AP76" s="16" t="str">
        <f aca="false">INT(
  NETWORKDAYS(B76,V76)-1
  + IF(WEEKDAY(V76,2)&lt;6,MOD(V76+W76,1),0)
  - IF(WEEKDAY(B76,2)&lt;6,MOD(B76+C76,1),0)
)
&amp; ":" &amp;
TEXT(HOUR(
  NETWORKDAYS(B76,V76)-1
  + IF(WEEKDAY(V76,2)&lt;6,MOD(V76+W76,1),0)
  - IF(WEEKDAY(B76,2)&lt;6,MOD(B76+C76,1),0)
),"00")
&amp; ":" &amp;
TEXT(MINUTE(
  NETWORKDAYS(B76,V76)-1
  + IF(WEEKDAY(V76,2)&lt;6,MOD(V76+W76,1),0)
  - IF(WEEKDAY(B76,2)&lt;6,MOD(B76+C76,1),0)
),"00")</f>
        <v>100:14:36</v>
      </c>
      <c r="AQ76" s="0" t="n">
        <f aca="false">IFERROR(
LEFT(AP76,FIND(":",AP76)-1)
+ MID(AP76,FIND(":",AP76)+1,2)/24
+ RIGHT(AP76,2)/1440,
"")</f>
        <v>100.608333333333</v>
      </c>
      <c r="AR76" s="0" t="n">
        <f aca="false">WEEKNUM(B76,1)</f>
        <v>2</v>
      </c>
      <c r="AS76" s="17" t="n">
        <f aca="false">IF(B76&gt;0, (B76+C76)-TIME(13,30,0), "")</f>
        <v>46027.6930555556</v>
      </c>
      <c r="AT76" s="18" t="n">
        <f aca="false">IF(B76&gt;0, (B76+C76)-TIME(13,30,0), "")</f>
        <v>46027.6930555556</v>
      </c>
      <c r="AU76" s="17" t="n">
        <f aca="false">IF(V76&gt;0, (V76+W76)-TIME(13,30,0), "")</f>
        <v>46168.3020833333</v>
      </c>
      <c r="AV76" s="18" t="n">
        <f aca="false">IF(V76&gt;0, (V76+W76)-TIME(13,30,0), "")</f>
        <v>46168.3020833333</v>
      </c>
      <c r="AW76" s="19" t="n">
        <f aca="false">24*(
MAX(0,
IF(NETWORKDAYS(AS76,AU76)=1,
MIN(MOD(AV76,1),TIME(17,30,0)) - MAX(MOD(AT76,1),TIME(8,30,0)),
(TIME(17,30,0)-MAX(MOD(AT76,1),TIME(8,30,0)))
+ (MIN(MOD(AV76,1),TIME(17,30,0))-TIME(8,30,0))
+ (NETWORKDAYS(AS76,AU76)-2)*9/24
)
)
)</f>
        <v>899.616666666667</v>
      </c>
      <c r="AX76" s="19" t="n">
        <f aca="false">24*(
MAX(0,
IF(NETWORKDAYS(AS76,AU76)=1,
MIN(MOD(AV76,1),TIME(17,30,0)) - MAX(MOD(AT76,1),TIME(8,30,0)),
(TIME(17,30,0)-MAX(MOD(AT76,1),TIME(8,30,0)))
+ (MIN(MOD(AV76,1),TIME(17,30,0))-TIME(8,30,0))
+ (NETWORKDAYS(AS76,AU76)-2)* (TIME(17,30,0)-TIME(8,30,0))
)
)
)</f>
        <v>899.616666666667</v>
      </c>
      <c r="AY76" s="20" t="n">
        <f aca="false">ROUND(
IF(AS76=AU76,
MAX(0,
(MIN(MOD(AV76,1),TIME(17,30,0))-
MAX(MOD(AT76,1),TIME(8,30,0)))*24
),
(
(MAX(0,TIME(17,30,0)-MAX(MOD(AT76,1),TIME(8,30,0)))*24)
+
(MAX(0,MIN(MOD(AV76,1),TIME(17,30,0))-TIME(8,30,0))*24)
+
(MAX(0,NETWORKDAYS(AS76+1,AU76-1))*9)
)
),
2)</f>
        <v>900.87</v>
      </c>
      <c r="AZ76" s="0" t="n">
        <f aca="false" t="array" ref="AZ76:AZ76">_xlfn.XLOOKUP(J76,{"Low","Medium","High"},{270,72,24})</f>
        <v>72</v>
      </c>
      <c r="BA76" s="0" t="str">
        <f aca="false">IF(AW76&gt;AZ76,"Not Met","Met")</f>
        <v>Not Met</v>
      </c>
      <c r="BB76" s="21" t="str">
        <f aca="false">IF(AS76="","",TEXT(AS76,"MMM")&amp;"'"&amp;TEXT(AS76,"yy"))</f>
        <v>Jan'26</v>
      </c>
      <c r="BC76" s="0" t="str">
        <f aca="false">IF(AU76="","",TEXT(AU76,"MMM")&amp;"'"&amp;TEXT(AU76,"yy"))</f>
        <v>May'26</v>
      </c>
      <c r="BE76" s="0" t="s">
        <v>144</v>
      </c>
    </row>
    <row r="77" customFormat="false" ht="15" hidden="false" customHeight="false" outlineLevel="0" collapsed="false">
      <c r="A77" s="36" t="s">
        <v>365</v>
      </c>
      <c r="B77" s="36" t="n">
        <v>46028</v>
      </c>
      <c r="C77" s="37" t="n">
        <v>0.907638888888889</v>
      </c>
      <c r="D77" s="13" t="str">
        <f aca="false">IF(B77="","",TEXT(B77,"MMM")&amp;"'"&amp;TEXT(B77,"yy"))</f>
        <v>Jan'26</v>
      </c>
      <c r="E77" s="29" t="s">
        <v>55</v>
      </c>
      <c r="F77" s="29" t="s">
        <v>39</v>
      </c>
      <c r="G77" s="38" t="str">
        <f aca="false">IF(F77="Closed","Closed","Pending")</f>
        <v>Closed</v>
      </c>
      <c r="H77" s="39" t="s">
        <v>185</v>
      </c>
      <c r="I77" s="29" t="s">
        <v>186</v>
      </c>
      <c r="J77" s="29" t="s">
        <v>58</v>
      </c>
      <c r="K77" s="1" t="s">
        <v>59</v>
      </c>
      <c r="L77" s="1" t="s">
        <v>366</v>
      </c>
      <c r="M77" s="1" t="s">
        <v>367</v>
      </c>
      <c r="N77" s="1" t="s">
        <v>62</v>
      </c>
      <c r="O77" s="1" t="s">
        <v>77</v>
      </c>
      <c r="Q77" s="1" t="s">
        <v>86</v>
      </c>
      <c r="R77" s="1" t="s">
        <v>87</v>
      </c>
      <c r="U77" s="12" t="n">
        <v>0.964583333333333</v>
      </c>
      <c r="V77" s="41" t="n">
        <v>46036</v>
      </c>
      <c r="W77" s="12" t="n">
        <v>0.981944444444444</v>
      </c>
      <c r="X77" s="11" t="n">
        <v>46037</v>
      </c>
      <c r="Y77" s="12" t="n">
        <v>0.0708333333333333</v>
      </c>
      <c r="Z77" s="1" t="s">
        <v>108</v>
      </c>
      <c r="AA77" s="1" t="s">
        <v>68</v>
      </c>
      <c r="AB77" s="2" t="e">
        <f aca="false">U77-G77</f>
        <v>#VALUE!</v>
      </c>
      <c r="AC77" s="14" t="n">
        <f aca="false">(V77+W77)-(B77+C77)</f>
        <v>8.07430555555556</v>
      </c>
      <c r="AD77" s="4" t="str">
        <f aca="false">INT((V77+W77)-(B77+C77)) &amp; ":" &amp;
TEXT(HOUR((V77+W77)-(B77+C77)), "00") &amp; ":" &amp;
TEXT(MINUTE((V77+W77)-(B77+C77)), "00")</f>
        <v>8:01:47</v>
      </c>
      <c r="AE77" s="1" t="n">
        <f aca="false">IFERROR(
LEFT(AD77,FIND(":",AD77)-1)
+ MID(AD77,FIND(":",AD77)+1,2)/24
+ RIGHT(AD77,2)/1440,
"")</f>
        <v>8.07430555555555</v>
      </c>
      <c r="AF77" s="4" t="str">
        <f aca="false">INT((X77+Y77)-(B77+C77)) &amp; ":" &amp;
TEXT(HOUR((X77+Y77)-(B77+C77)), "00") &amp; ":" &amp;
TEXT(MINUTE((X77+Y77)-(B77+C77)), "00")</f>
        <v>8:03:55</v>
      </c>
      <c r="AG77" s="4" t="str">
        <f aca="false" t="array" ref="AG77:AG77">INT(_xlfn.XLOOKUP(J77,{"Low","Medium","High","Urgent"},{48,24,12,8})/24) &amp; ":" &amp;
TEXT(MOD(_xlfn.XLOOKUP(J77,{"Low","Medium","High","Urgent"},{48,24,12,8}),24)/24,"hh:mm")</f>
        <v>1:00:00</v>
      </c>
      <c r="AH77" s="4" t="str">
        <f aca="false">IF(AD77&gt;AG77,"Not Met","Met")</f>
        <v>Not Met</v>
      </c>
      <c r="AI77" s="4" t="e">
        <f aca="false">IF(AB77&lt;TIME(0,30,0),"Met","Not Met")</f>
        <v>#VALUE!</v>
      </c>
      <c r="AN77" s="1" t="str">
        <f aca="false">TEXT(B77,"dd")</f>
        <v>06</v>
      </c>
      <c r="AO77" s="1" t="str">
        <f aca="false">TEXT(X77,"dd")</f>
        <v>15</v>
      </c>
      <c r="AP77" s="16" t="str">
        <f aca="false">INT(
  NETWORKDAYS(B77,V77)-1
  + IF(WEEKDAY(V77,2)&lt;6,MOD(V77+W77,1),0)
  - IF(WEEKDAY(B77,2)&lt;6,MOD(B77+C77,1),0)
)
&amp; ":" &amp;
TEXT(HOUR(
  NETWORKDAYS(B77,V77)-1
  + IF(WEEKDAY(V77,2)&lt;6,MOD(V77+W77,1),0)
  - IF(WEEKDAY(B77,2)&lt;6,MOD(B77+C77,1),0)
),"00")
&amp; ":" &amp;
TEXT(MINUTE(
  NETWORKDAYS(B77,V77)-1
  + IF(WEEKDAY(V77,2)&lt;6,MOD(V77+W77,1),0)
  - IF(WEEKDAY(B77,2)&lt;6,MOD(B77+C77,1),0)
),"00")</f>
        <v>6:01:47</v>
      </c>
      <c r="AQ77" s="0" t="n">
        <f aca="false">IFERROR(
LEFT(AP77,FIND(":",AP77)-1)
+ MID(AP77,FIND(":",AP77)+1,2)/24
+ RIGHT(AP77,2)/1440,
"")</f>
        <v>6.07430555555556</v>
      </c>
      <c r="AR77" s="0" t="n">
        <f aca="false">WEEKNUM(B77,1)</f>
        <v>2</v>
      </c>
      <c r="AS77" s="17" t="n">
        <f aca="false">IF(B77&gt;0, (B77+C77)-TIME(13,30,0), "")</f>
        <v>46028.3451388889</v>
      </c>
      <c r="AT77" s="18" t="n">
        <f aca="false">IF(B77&gt;0, (B77+C77)-TIME(13,30,0), "")</f>
        <v>46028.3451388889</v>
      </c>
      <c r="AU77" s="17" t="n">
        <f aca="false">IF(V77&gt;0, (V77+W77)-TIME(13,30,0), "")</f>
        <v>46036.4194444444</v>
      </c>
      <c r="AV77" s="18" t="n">
        <f aca="false">IF(V77&gt;0, (V77+W77)-TIME(13,30,0), "")</f>
        <v>46036.4194444444</v>
      </c>
      <c r="AW77" s="19" t="n">
        <f aca="false">24*(
MAX(0,
IF(NETWORKDAYS(AS77,AU77)=1,
MIN(MOD(AV77,1),TIME(17,30,0)) - MAX(MOD(AT77,1),TIME(8,30,0)),
(TIME(17,30,0)-MAX(MOD(AT77,1),TIME(8,30,0)))
+ (MIN(MOD(AV77,1),TIME(17,30,0))-TIME(8,30,0))
+ (NETWORKDAYS(AS77,AU77)-2)*9/24
)
)
)</f>
        <v>55.5666666666667</v>
      </c>
      <c r="AX77" s="19" t="n">
        <f aca="false">24*(
MAX(0,
IF(NETWORKDAYS(AS77,AU77)=1,
MIN(MOD(AV77,1),TIME(17,30,0)) - MAX(MOD(AT77,1),TIME(8,30,0)),
(TIME(17,30,0)-MAX(MOD(AT77,1),TIME(8,30,0)))
+ (MIN(MOD(AV77,1),TIME(17,30,0))-TIME(8,30,0))
+ (NETWORKDAYS(AS77,AU77)-2)* (TIME(17,30,0)-TIME(8,30,0))
)
)
)</f>
        <v>55.5666666666667</v>
      </c>
      <c r="AY77" s="20" t="n">
        <f aca="false">ROUND(
IF(AS77=AU77,
MAX(0,
(MIN(MOD(AV77,1),TIME(17,30,0))-
MAX(MOD(AT77,1),TIME(8,30,0)))*24
),
(
(MAX(0,TIME(17,30,0)-MAX(MOD(AT77,1),TIME(8,30,0)))*24)
+
(MAX(0,MIN(MOD(AV77,1),TIME(17,30,0))-TIME(8,30,0))*24)
+
(MAX(0,NETWORKDAYS(AS77+1,AU77-1))*9)
)
),
2)</f>
        <v>55.57</v>
      </c>
      <c r="AZ77" s="0" t="n">
        <f aca="false" t="array" ref="AZ77:AZ77">_xlfn.XLOOKUP(J77,{"Low","Medium","High"},{270,72,24})</f>
        <v>72</v>
      </c>
      <c r="BA77" s="0" t="str">
        <f aca="false">IF(AW77&gt;AZ77,"Not Met","Met")</f>
        <v>Met</v>
      </c>
      <c r="BB77" s="21" t="str">
        <f aca="false">IF(AS77="","",TEXT(AS77,"MMM")&amp;"'"&amp;TEXT(AS77,"yy"))</f>
        <v>Jan'26</v>
      </c>
      <c r="BC77" s="0" t="str">
        <f aca="false">IF(AU77="","",TEXT(AU77,"MMM")&amp;"'"&amp;TEXT(AU77,"yy"))</f>
        <v>Jan'26</v>
      </c>
    </row>
    <row r="78" customFormat="false" ht="15" hidden="false" customHeight="false" outlineLevel="0" collapsed="false">
      <c r="A78" s="24" t="s">
        <v>368</v>
      </c>
      <c r="B78" s="24" t="n">
        <v>46028</v>
      </c>
      <c r="C78" s="12" t="n">
        <v>0.920138888888889</v>
      </c>
      <c r="D78" s="13" t="str">
        <f aca="false">IF(B78="","",TEXT(B78,"MMM")&amp;"'"&amp;TEXT(B78,"yy"))</f>
        <v>Jan'26</v>
      </c>
      <c r="E78" s="1" t="s">
        <v>55</v>
      </c>
      <c r="F78" s="1" t="s">
        <v>39</v>
      </c>
      <c r="G78" s="1" t="str">
        <f aca="false">IF(F78="Closed","Closed","Pending")</f>
        <v>Closed</v>
      </c>
      <c r="H78" s="23" t="s">
        <v>56</v>
      </c>
      <c r="I78" s="1" t="s">
        <v>82</v>
      </c>
      <c r="J78" s="1" t="s">
        <v>74</v>
      </c>
      <c r="K78" s="1" t="s">
        <v>59</v>
      </c>
      <c r="L78" s="1" t="s">
        <v>369</v>
      </c>
      <c r="M78" s="1" t="s">
        <v>151</v>
      </c>
      <c r="N78" s="1" t="s">
        <v>65</v>
      </c>
      <c r="O78" s="1" t="s">
        <v>106</v>
      </c>
      <c r="Q78" s="1" t="s">
        <v>65</v>
      </c>
      <c r="U78" s="12" t="n">
        <v>0.96875</v>
      </c>
      <c r="V78" s="41" t="n">
        <v>46031</v>
      </c>
      <c r="W78" s="12" t="n">
        <v>0.975694444444444</v>
      </c>
      <c r="X78" s="11" t="n">
        <v>46032</v>
      </c>
      <c r="Y78" s="12" t="n">
        <v>0.0284722222222222</v>
      </c>
      <c r="Z78" s="1" t="s">
        <v>67</v>
      </c>
      <c r="AA78" s="1" t="s">
        <v>68</v>
      </c>
      <c r="AB78" s="2" t="e">
        <f aca="false">U78-G78</f>
        <v>#VALUE!</v>
      </c>
      <c r="AC78" s="14" t="n">
        <f aca="false">(V78+W78)-(B78+C78)</f>
        <v>3.05555555555556</v>
      </c>
      <c r="AD78" s="4" t="str">
        <f aca="false">INT((V78+W78)-(B78+C78)) &amp; ":" &amp;
TEXT(HOUR((V78+W78)-(B78+C78)), "00") &amp; ":" &amp;
TEXT(MINUTE((V78+W78)-(B78+C78)), "00")</f>
        <v>3:01:20</v>
      </c>
      <c r="AE78" s="1" t="n">
        <f aca="false">IFERROR(
LEFT(AD78,FIND(":",AD78)-1)
+ MID(AD78,FIND(":",AD78)+1,2)/24
+ RIGHT(AD78,2)/1440,
"")</f>
        <v>3.05555555555556</v>
      </c>
      <c r="AF78" s="4" t="str">
        <f aca="false">INT((X78+Y78)-(B78+C78)) &amp; ":" &amp;
TEXT(HOUR((X78+Y78)-(B78+C78)), "00") &amp; ":" &amp;
TEXT(MINUTE((X78+Y78)-(B78+C78)), "00")</f>
        <v>3:02:36</v>
      </c>
      <c r="AG78" s="4" t="str">
        <f aca="false" t="array" ref="AG78:AG78">INT(_xlfn.XLOOKUP(J78,{"Low","Medium","High","Urgent"},{48,24,12,8})/24) &amp; ":" &amp;
TEXT(MOD(_xlfn.XLOOKUP(J78,{"Low","Medium","High","Urgent"},{48,24,12,8}),24)/24,"hh:mm")</f>
        <v>2:00:00</v>
      </c>
      <c r="AH78" s="4" t="str">
        <f aca="false">IF(AD78&gt;AG78,"Not Met","Met")</f>
        <v>Not Met</v>
      </c>
      <c r="AI78" s="4" t="e">
        <f aca="false">IF(AB78&lt;TIME(0,30,0),"Met","Not Met")</f>
        <v>#VALUE!</v>
      </c>
      <c r="AN78" s="1" t="str">
        <f aca="false">TEXT(B78,"dd")</f>
        <v>06</v>
      </c>
      <c r="AO78" s="1" t="str">
        <f aca="false">TEXT(X78,"dd")</f>
        <v>10</v>
      </c>
      <c r="AP78" s="16" t="str">
        <f aca="false">INT(
  NETWORKDAYS(B78,V78)-1
  + IF(WEEKDAY(V78,2)&lt;6,MOD(V78+W78,1),0)
  - IF(WEEKDAY(B78,2)&lt;6,MOD(B78+C78,1),0)
)
&amp; ":" &amp;
TEXT(HOUR(
  NETWORKDAYS(B78,V78)-1
  + IF(WEEKDAY(V78,2)&lt;6,MOD(V78+W78,1),0)
  - IF(WEEKDAY(B78,2)&lt;6,MOD(B78+C78,1),0)
),"00")
&amp; ":" &amp;
TEXT(MINUTE(
  NETWORKDAYS(B78,V78)-1
  + IF(WEEKDAY(V78,2)&lt;6,MOD(V78+W78,1),0)
  - IF(WEEKDAY(B78,2)&lt;6,MOD(B78+C78,1),0)
),"00")</f>
        <v>3:01:19</v>
      </c>
      <c r="AQ78" s="0" t="n">
        <f aca="false">IFERROR(
LEFT(AP78,FIND(":",AP78)-1)
+ MID(AP78,FIND(":",AP78)+1,2)/24
+ RIGHT(AP78,2)/1440,
"")</f>
        <v>3.05486111111111</v>
      </c>
      <c r="AR78" s="0" t="n">
        <f aca="false">WEEKNUM(B78,1)</f>
        <v>2</v>
      </c>
      <c r="AS78" s="17" t="n">
        <f aca="false">IF(B78&gt;0, (B78+C78)-TIME(13,30,0), "")</f>
        <v>46028.3576388889</v>
      </c>
      <c r="AT78" s="18" t="n">
        <f aca="false">IF(B78&gt;0, (B78+C78)-TIME(13,30,0), "")</f>
        <v>46028.3576388889</v>
      </c>
      <c r="AU78" s="17" t="n">
        <f aca="false">IF(V78&gt;0, (V78+W78)-TIME(13,30,0), "")</f>
        <v>46031.4131944444</v>
      </c>
      <c r="AV78" s="18" t="n">
        <f aca="false">IF(V78&gt;0, (V78+W78)-TIME(13,30,0), "")</f>
        <v>46031.4131944444</v>
      </c>
      <c r="AW78" s="19" t="n">
        <f aca="false">24*(
MAX(0,
IF(NETWORKDAYS(AS78,AU78)=1,
MIN(MOD(AV78,1),TIME(17,30,0)) - MAX(MOD(AT78,1),TIME(8,30,0)),
(TIME(17,30,0)-MAX(MOD(AT78,1),TIME(8,30,0)))
+ (MIN(MOD(AV78,1),TIME(17,30,0))-TIME(8,30,0))
+ (NETWORKDAYS(AS78,AU78)-2)*9/24
)
)
)</f>
        <v>28.3333333333333</v>
      </c>
      <c r="AX78" s="19" t="n">
        <f aca="false">24*(
MAX(0,
IF(NETWORKDAYS(AS78,AU78)=1,
MIN(MOD(AV78,1),TIME(17,30,0)) - MAX(MOD(AT78,1),TIME(8,30,0)),
(TIME(17,30,0)-MAX(MOD(AT78,1),TIME(8,30,0)))
+ (MIN(MOD(AV78,1),TIME(17,30,0))-TIME(8,30,0))
+ (NETWORKDAYS(AS78,AU78)-2)* (TIME(17,30,0)-TIME(8,30,0))
)
)
)</f>
        <v>28.3333333333333</v>
      </c>
      <c r="AY78" s="20" t="n">
        <f aca="false">ROUND(
IF(AS78=AU78,
MAX(0,
(MIN(MOD(AV78,1),TIME(17,30,0))-
MAX(MOD(AT78,1),TIME(8,30,0)))*24
),
(
(MAX(0,TIME(17,30,0)-MAX(MOD(AT78,1),TIME(8,30,0)))*24)
+
(MAX(0,MIN(MOD(AV78,1),TIME(17,30,0))-TIME(8,30,0))*24)
+
(MAX(0,NETWORKDAYS(AS78+1,AU78-1))*9)
)
),
2)</f>
        <v>28.33</v>
      </c>
      <c r="AZ78" s="0" t="n">
        <f aca="false" t="array" ref="AZ78:AZ78">_xlfn.XLOOKUP(J78,{"Low","Medium","High"},{270,72,24})</f>
        <v>270</v>
      </c>
      <c r="BA78" s="0" t="str">
        <f aca="false">IF(AW78&gt;AZ78,"Not Met","Met")</f>
        <v>Met</v>
      </c>
      <c r="BB78" s="21" t="str">
        <f aca="false">IF(AS78="","",TEXT(AS78,"MMM")&amp;"'"&amp;TEXT(AS78,"yy"))</f>
        <v>Jan'26</v>
      </c>
      <c r="BC78" s="0" t="str">
        <f aca="false">IF(AU78="","",TEXT(AU78,"MMM")&amp;"'"&amp;TEXT(AU78,"yy"))</f>
        <v>Jan'26</v>
      </c>
    </row>
    <row r="79" customFormat="false" ht="15" hidden="false" customHeight="false" outlineLevel="0" collapsed="false">
      <c r="A79" s="24" t="s">
        <v>370</v>
      </c>
      <c r="B79" s="24" t="n">
        <v>46028</v>
      </c>
      <c r="C79" s="12" t="n">
        <v>0.985416666666667</v>
      </c>
      <c r="D79" s="13" t="str">
        <f aca="false">IF(B79="","",TEXT(B79,"MMM")&amp;"'"&amp;TEXT(B79,"yy"))</f>
        <v>Jan'26</v>
      </c>
      <c r="E79" s="1" t="s">
        <v>55</v>
      </c>
      <c r="F79" s="1" t="s">
        <v>39</v>
      </c>
      <c r="G79" s="1" t="str">
        <f aca="false">IF(F79="Closed","Closed","Pending")</f>
        <v>Closed</v>
      </c>
      <c r="H79" s="23" t="s">
        <v>157</v>
      </c>
      <c r="I79" s="1" t="s">
        <v>371</v>
      </c>
      <c r="J79" s="1" t="s">
        <v>74</v>
      </c>
      <c r="K79" s="1" t="s">
        <v>59</v>
      </c>
      <c r="L79" s="1" t="s">
        <v>372</v>
      </c>
      <c r="M79" s="1" t="s">
        <v>373</v>
      </c>
      <c r="N79" s="1" t="s">
        <v>65</v>
      </c>
      <c r="O79" s="1" t="s">
        <v>106</v>
      </c>
      <c r="Q79" s="1" t="s">
        <v>86</v>
      </c>
      <c r="R79" s="1" t="s">
        <v>66</v>
      </c>
      <c r="U79" s="25" t="n">
        <v>46029.0145833333</v>
      </c>
      <c r="V79" s="41" t="n">
        <v>46029</v>
      </c>
      <c r="W79" s="12" t="n">
        <v>0.965277777777778</v>
      </c>
      <c r="X79" s="11" t="n">
        <v>46034</v>
      </c>
      <c r="Y79" s="12" t="n">
        <v>0.53125</v>
      </c>
      <c r="Z79" s="1" t="s">
        <v>108</v>
      </c>
      <c r="AA79" s="1" t="s">
        <v>68</v>
      </c>
      <c r="AB79" s="2" t="n">
        <v>0.0291666666666667</v>
      </c>
      <c r="AC79" s="14" t="n">
        <f aca="false">(V79+W79)-(B79+C79)</f>
        <v>0.979861111111111</v>
      </c>
      <c r="AD79" s="4" t="str">
        <f aca="false">INT((V79+W79)-(B79+C79)) &amp; ":" &amp;
TEXT(HOUR((V79+W79)-(B79+C79)), "00") &amp; ":" &amp;
TEXT(MINUTE((V79+W79)-(B79+C79)), "00")</f>
        <v>0:23:31</v>
      </c>
      <c r="AE79" s="1" t="n">
        <f aca="false">IFERROR(
LEFT(AD79,FIND(":",AD79)-1)
+ MID(AD79,FIND(":",AD79)+1,2)/24
+ RIGHT(AD79,2)/1440,
"")</f>
        <v>0.979861111111111</v>
      </c>
      <c r="AF79" s="4" t="str">
        <f aca="false">INT((X79+Y79)-(B79+C79)) &amp; ":" &amp;
TEXT(HOUR((X79+Y79)-(B79+C79)), "00") &amp; ":" &amp;
TEXT(MINUTE((X79+Y79)-(B79+C79)), "00")</f>
        <v>5:13:06</v>
      </c>
      <c r="AG79" s="4" t="str">
        <f aca="false" t="array" ref="AG79:AG79">INT(_xlfn.XLOOKUP(J79,{"Low","Medium","High","Urgent"},{48,24,12,8})/24) &amp; ":" &amp;
TEXT(MOD(_xlfn.XLOOKUP(J79,{"Low","Medium","High","Urgent"},{48,24,12,8}),24)/24,"hh:mm")</f>
        <v>2:00:00</v>
      </c>
      <c r="AH79" s="4" t="str">
        <f aca="false">IF(AD79&gt;AG79,"Not Met","Met")</f>
        <v>Met</v>
      </c>
      <c r="AI79" s="4" t="str">
        <f aca="false">IF(AB79&lt;TIME(0,30,0),"Met","Not Met")</f>
        <v>Not Met</v>
      </c>
      <c r="AN79" s="1" t="str">
        <f aca="false">TEXT(B79,"dd")</f>
        <v>06</v>
      </c>
      <c r="AO79" s="1" t="str">
        <f aca="false">TEXT(X79,"dd")</f>
        <v>12</v>
      </c>
      <c r="AP79" s="16" t="str">
        <f aca="false">INT(
  NETWORKDAYS(B79,V79)-1
  + IF(WEEKDAY(V79,2)&lt;6,MOD(V79+W79,1),0)
  - IF(WEEKDAY(B79,2)&lt;6,MOD(B79+C79,1),0)
)
&amp; ":" &amp;
TEXT(HOUR(
  NETWORKDAYS(B79,V79)-1
  + IF(WEEKDAY(V79,2)&lt;6,MOD(V79+W79,1),0)
  - IF(WEEKDAY(B79,2)&lt;6,MOD(B79+C79,1),0)
),"00")
&amp; ":" &amp;
TEXT(MINUTE(
  NETWORKDAYS(B79,V79)-1
  + IF(WEEKDAY(V79,2)&lt;6,MOD(V79+W79,1),0)
  - IF(WEEKDAY(B79,2)&lt;6,MOD(B79+C79,1),0)
),"00")</f>
        <v>0:23:30</v>
      </c>
      <c r="AQ79" s="0" t="n">
        <f aca="false">IFERROR(
LEFT(AP79,FIND(":",AP79)-1)
+ MID(AP79,FIND(":",AP79)+1,2)/24
+ RIGHT(AP79,2)/1440,
"")</f>
        <v>0.979166666666667</v>
      </c>
      <c r="AR79" s="0" t="n">
        <f aca="false">WEEKNUM(B79,1)</f>
        <v>2</v>
      </c>
      <c r="AS79" s="17" t="n">
        <f aca="false">IF(B79&gt;0, (B79+C79)-TIME(13,30,0), "")</f>
        <v>46028.4229166667</v>
      </c>
      <c r="AT79" s="18" t="n">
        <f aca="false">IF(B79&gt;0, (B79+C79)-TIME(13,30,0), "")</f>
        <v>46028.4229166667</v>
      </c>
      <c r="AU79" s="17" t="n">
        <f aca="false">IF(V79&gt;0, (V79+W79)-TIME(13,30,0), "")</f>
        <v>46029.4027777778</v>
      </c>
      <c r="AV79" s="18" t="n">
        <f aca="false">IF(V79&gt;0, (V79+W79)-TIME(13,30,0), "")</f>
        <v>46029.4027777778</v>
      </c>
      <c r="AW79" s="19" t="n">
        <f aca="false">24*(
MAX(0,
IF(NETWORKDAYS(AS79,AU79)=1,
MIN(MOD(AV79,1),TIME(17,30,0)) - MAX(MOD(AT79,1),TIME(8,30,0)),
(TIME(17,30,0)-MAX(MOD(AT79,1),TIME(8,30,0)))
+ (MIN(MOD(AV79,1),TIME(17,30,0))-TIME(8,30,0))
+ (NETWORKDAYS(AS79,AU79)-2)*9/24
)
)
)</f>
        <v>8.51666666666667</v>
      </c>
      <c r="AX79" s="19" t="n">
        <f aca="false">24*(
MAX(0,
IF(NETWORKDAYS(AS79,AU79)=1,
MIN(MOD(AV79,1),TIME(17,30,0)) - MAX(MOD(AT79,1),TIME(8,30,0)),
(TIME(17,30,0)-MAX(MOD(AT79,1),TIME(8,30,0)))
+ (MIN(MOD(AV79,1),TIME(17,30,0))-TIME(8,30,0))
+ (NETWORKDAYS(AS79,AU79)-2)* (TIME(17,30,0)-TIME(8,30,0))
)
)
)</f>
        <v>8.51666666666667</v>
      </c>
      <c r="AY79" s="20" t="n">
        <f aca="false">ROUND(
IF(AS79=AU79,
MAX(0,
(MIN(MOD(AV79,1),TIME(17,30,0))-
MAX(MOD(AT79,1),TIME(8,30,0)))*24
),
(
(MAX(0,TIME(17,30,0)-MAX(MOD(AT79,1),TIME(8,30,0)))*24)
+
(MAX(0,MIN(MOD(AV79,1),TIME(17,30,0))-TIME(8,30,0))*24)
+
(MAX(0,NETWORKDAYS(AS79+1,AU79-1))*9)
)
),
2)</f>
        <v>8.52</v>
      </c>
      <c r="AZ79" s="0" t="n">
        <f aca="false" t="array" ref="AZ79:AZ79">_xlfn.XLOOKUP(J79,{"Low","Medium","High"},{270,72,24})</f>
        <v>270</v>
      </c>
      <c r="BA79" s="0" t="str">
        <f aca="false">IF(AW79&gt;AZ79,"Not Met","Met")</f>
        <v>Met</v>
      </c>
      <c r="BB79" s="21" t="str">
        <f aca="false">IF(AS79="","",TEXT(AS79,"MMM")&amp;"'"&amp;TEXT(AS79,"yy"))</f>
        <v>Jan'26</v>
      </c>
      <c r="BC79" s="0" t="str">
        <f aca="false">IF(AU79="","",TEXT(AU79,"MMM")&amp;"'"&amp;TEXT(AU79,"yy"))</f>
        <v>Jan'26</v>
      </c>
    </row>
    <row r="80" customFormat="false" ht="15" hidden="false" customHeight="false" outlineLevel="0" collapsed="false">
      <c r="A80" s="24" t="s">
        <v>374</v>
      </c>
      <c r="B80" s="24" t="n">
        <v>46029</v>
      </c>
      <c r="C80" s="12" t="n">
        <v>0.0444444444444444</v>
      </c>
      <c r="D80" s="13" t="str">
        <f aca="false">IF(B80="","",TEXT(B80,"MMM")&amp;"'"&amp;TEXT(B80,"yy"))</f>
        <v>Jan'26</v>
      </c>
      <c r="E80" s="1" t="s">
        <v>55</v>
      </c>
      <c r="F80" s="1" t="s">
        <v>39</v>
      </c>
      <c r="G80" s="1" t="str">
        <f aca="false">IF(F80="Closed","Closed","Pending")</f>
        <v>Closed</v>
      </c>
      <c r="H80" s="23" t="s">
        <v>157</v>
      </c>
      <c r="I80" s="1" t="s">
        <v>158</v>
      </c>
      <c r="J80" s="1" t="s">
        <v>74</v>
      </c>
      <c r="K80" s="1" t="s">
        <v>59</v>
      </c>
      <c r="L80" s="1" t="s">
        <v>375</v>
      </c>
      <c r="M80" s="1" t="s">
        <v>376</v>
      </c>
      <c r="N80" s="1" t="s">
        <v>65</v>
      </c>
      <c r="O80" s="1" t="s">
        <v>106</v>
      </c>
      <c r="Q80" s="1" t="s">
        <v>86</v>
      </c>
      <c r="U80" s="12" t="n">
        <v>0.0701388888888889</v>
      </c>
      <c r="V80" s="41" t="n">
        <v>46029</v>
      </c>
      <c r="W80" s="12" t="n">
        <v>0.963888888888889</v>
      </c>
      <c r="X80" s="11" t="n">
        <v>46030</v>
      </c>
      <c r="Y80" s="12" t="n">
        <v>0.0354166666666667</v>
      </c>
      <c r="Z80" s="1" t="s">
        <v>108</v>
      </c>
      <c r="AA80" s="1" t="s">
        <v>68</v>
      </c>
      <c r="AB80" s="2" t="e">
        <f aca="false">U80-G80</f>
        <v>#VALUE!</v>
      </c>
      <c r="AC80" s="14" t="n">
        <f aca="false">(V80+W80)-(B80+C80)</f>
        <v>0.919444444444444</v>
      </c>
      <c r="AD80" s="4" t="str">
        <f aca="false">INT((V80+W80)-(B80+C80)) &amp; ":" &amp;
TEXT(HOUR((V80+W80)-(B80+C80)), "00") &amp; ":" &amp;
TEXT(MINUTE((V80+W80)-(B80+C80)), "00")</f>
        <v>0:22:04</v>
      </c>
      <c r="AE80" s="1" t="n">
        <f aca="false">IFERROR(
LEFT(AD80,FIND(":",AD80)-1)
+ MID(AD80,FIND(":",AD80)+1,2)/24
+ RIGHT(AD80,2)/1440,
"")</f>
        <v>0.919444444444444</v>
      </c>
      <c r="AF80" s="4" t="str">
        <f aca="false">INT((X80+Y80)-(B80+C80)) &amp; ":" &amp;
TEXT(HOUR((X80+Y80)-(B80+C80)), "00") &amp; ":" &amp;
TEXT(MINUTE((X80+Y80)-(B80+C80)), "00")</f>
        <v>0:23:47</v>
      </c>
      <c r="AG80" s="4" t="str">
        <f aca="false" t="array" ref="AG80:AG80">INT(_xlfn.XLOOKUP(J80,{"Low","Medium","High","Urgent"},{48,24,12,8})/24) &amp; ":" &amp;
TEXT(MOD(_xlfn.XLOOKUP(J80,{"Low","Medium","High","Urgent"},{48,24,12,8}),24)/24,"hh:mm")</f>
        <v>2:00:00</v>
      </c>
      <c r="AH80" s="4" t="str">
        <f aca="false">IF(AD80&gt;AG80,"Not Met","Met")</f>
        <v>Met</v>
      </c>
      <c r="AI80" s="4" t="e">
        <f aca="false">IF(AB80&lt;TIME(0,30,0),"Met","Not Met")</f>
        <v>#VALUE!</v>
      </c>
      <c r="AN80" s="1" t="str">
        <f aca="false">TEXT(B80,"dd")</f>
        <v>07</v>
      </c>
      <c r="AO80" s="1" t="str">
        <f aca="false">TEXT(X80,"dd")</f>
        <v>08</v>
      </c>
      <c r="AP80" s="16" t="str">
        <f aca="false">INT(
  NETWORKDAYS(B80,V80)-1
  + IF(WEEKDAY(V80,2)&lt;6,MOD(V80+W80,1),0)
  - IF(WEEKDAY(B80,2)&lt;6,MOD(B80+C80,1),0)
)
&amp; ":" &amp;
TEXT(HOUR(
  NETWORKDAYS(B80,V80)-1
  + IF(WEEKDAY(V80,2)&lt;6,MOD(V80+W80,1),0)
  - IF(WEEKDAY(B80,2)&lt;6,MOD(B80+C80,1),0)
),"00")
&amp; ":" &amp;
TEXT(MINUTE(
  NETWORKDAYS(B80,V80)-1
  + IF(WEEKDAY(V80,2)&lt;6,MOD(V80+W80,1),0)
  - IF(WEEKDAY(B80,2)&lt;6,MOD(B80+C80,1),0)
),"00")</f>
        <v>0:22:03</v>
      </c>
      <c r="AQ80" s="0" t="n">
        <f aca="false">IFERROR(
LEFT(AP80,FIND(":",AP80)-1)
+ MID(AP80,FIND(":",AP80)+1,2)/24
+ RIGHT(AP80,2)/1440,
"")</f>
        <v>0.91875</v>
      </c>
      <c r="AR80" s="0" t="n">
        <f aca="false">WEEKNUM(B80,1)</f>
        <v>2</v>
      </c>
      <c r="AS80" s="17" t="n">
        <f aca="false">IF(B80&gt;0, (B80+C80)-TIME(13,30,0), "")</f>
        <v>46028.4819444444</v>
      </c>
      <c r="AT80" s="18" t="n">
        <f aca="false">IF(B80&gt;0, (B80+C80)-TIME(13,30,0), "")</f>
        <v>46028.4819444444</v>
      </c>
      <c r="AU80" s="17" t="n">
        <f aca="false">IF(V80&gt;0, (V80+W80)-TIME(13,30,0), "")</f>
        <v>46029.4013888889</v>
      </c>
      <c r="AV80" s="18" t="n">
        <f aca="false">IF(V80&gt;0, (V80+W80)-TIME(13,30,0), "")</f>
        <v>46029.4013888889</v>
      </c>
      <c r="AW80" s="19" t="n">
        <f aca="false">24*(
MAX(0,
IF(NETWORKDAYS(AS80,AU80)=1,
MIN(MOD(AV80,1),TIME(17,30,0)) - MAX(MOD(AT80,1),TIME(8,30,0)),
(TIME(17,30,0)-MAX(MOD(AT80,1),TIME(8,30,0)))
+ (MIN(MOD(AV80,1),TIME(17,30,0))-TIME(8,30,0))
+ (NETWORKDAYS(AS80,AU80)-2)*9/24
)
)
)</f>
        <v>7.06666666666667</v>
      </c>
      <c r="AX80" s="19" t="n">
        <f aca="false">24*(
MAX(0,
IF(NETWORKDAYS(AS80,AU80)=1,
MIN(MOD(AV80,1),TIME(17,30,0)) - MAX(MOD(AT80,1),TIME(8,30,0)),
(TIME(17,30,0)-MAX(MOD(AT80,1),TIME(8,30,0)))
+ (MIN(MOD(AV80,1),TIME(17,30,0))-TIME(8,30,0))
+ (NETWORKDAYS(AS80,AU80)-2)* (TIME(17,30,0)-TIME(8,30,0))
)
)
)</f>
        <v>7.06666666666667</v>
      </c>
      <c r="AY80" s="20" t="n">
        <f aca="false">ROUND(
IF(AS80=AU80,
MAX(0,
(MIN(MOD(AV80,1),TIME(17,30,0))-
MAX(MOD(AT80,1),TIME(8,30,0)))*24
),
(
(MAX(0,TIME(17,30,0)-MAX(MOD(AT80,1),TIME(8,30,0)))*24)
+
(MAX(0,MIN(MOD(AV80,1),TIME(17,30,0))-TIME(8,30,0))*24)
+
(MAX(0,NETWORKDAYS(AS80+1,AU80-1))*9)
)
),
2)</f>
        <v>7.07</v>
      </c>
      <c r="AZ80" s="0" t="n">
        <f aca="false" t="array" ref="AZ80:AZ80">_xlfn.XLOOKUP(J80,{"Low","Medium","High"},{270,72,24})</f>
        <v>270</v>
      </c>
      <c r="BA80" s="0" t="str">
        <f aca="false">IF(AW80&gt;AZ80,"Not Met","Met")</f>
        <v>Met</v>
      </c>
      <c r="BB80" s="21" t="str">
        <f aca="false">IF(AS80="","",TEXT(AS80,"MMM")&amp;"'"&amp;TEXT(AS80,"yy"))</f>
        <v>Jan'26</v>
      </c>
      <c r="BC80" s="0" t="str">
        <f aca="false">IF(AU80="","",TEXT(AU80,"MMM")&amp;"'"&amp;TEXT(AU80,"yy"))</f>
        <v>Jan'26</v>
      </c>
    </row>
    <row r="81" customFormat="false" ht="15" hidden="false" customHeight="false" outlineLevel="0" collapsed="false">
      <c r="A81" s="34" t="s">
        <v>377</v>
      </c>
      <c r="B81" s="31" t="n">
        <v>46029</v>
      </c>
      <c r="C81" s="32" t="n">
        <v>0.268055555555556</v>
      </c>
      <c r="D81" s="13" t="str">
        <f aca="false">IF(B81="","",TEXT(B81,"MMM")&amp;"'"&amp;TEXT(B81,"yy"))</f>
        <v>Jan'26</v>
      </c>
      <c r="E81" s="26" t="s">
        <v>55</v>
      </c>
      <c r="F81" s="26" t="s">
        <v>39</v>
      </c>
      <c r="G81" s="33" t="str">
        <f aca="false">IF(F81="Closed","Closed","Pending")</f>
        <v>Closed</v>
      </c>
      <c r="H81" s="34" t="s">
        <v>56</v>
      </c>
      <c r="I81" s="26" t="s">
        <v>327</v>
      </c>
      <c r="J81" s="26" t="s">
        <v>74</v>
      </c>
      <c r="K81" s="1" t="s">
        <v>59</v>
      </c>
      <c r="L81" s="1" t="s">
        <v>378</v>
      </c>
      <c r="M81" s="1" t="s">
        <v>379</v>
      </c>
      <c r="N81" s="1" t="s">
        <v>65</v>
      </c>
      <c r="O81" s="1" t="s">
        <v>106</v>
      </c>
      <c r="Q81" s="1" t="s">
        <v>86</v>
      </c>
      <c r="R81" s="1" t="s">
        <v>87</v>
      </c>
      <c r="U81" s="12" t="n">
        <v>0.96875</v>
      </c>
      <c r="V81" s="41" t="n">
        <v>46029</v>
      </c>
      <c r="W81" s="12" t="n">
        <v>0.96875</v>
      </c>
      <c r="X81" s="11" t="n">
        <v>46030</v>
      </c>
      <c r="Y81" s="12" t="n">
        <v>0.0243055555555556</v>
      </c>
      <c r="Z81" s="1" t="s">
        <v>108</v>
      </c>
      <c r="AA81" s="1" t="s">
        <v>68</v>
      </c>
      <c r="AB81" s="2" t="e">
        <f aca="false">U81-G81</f>
        <v>#VALUE!</v>
      </c>
      <c r="AC81" s="14" t="n">
        <f aca="false">(V81+W81)-(B81+C81)</f>
        <v>0.700694444444444</v>
      </c>
      <c r="AD81" s="4" t="str">
        <f aca="false">INT((V81+W81)-(B81+C81)) &amp; ":" &amp;
TEXT(HOUR((V81+W81)-(B81+C81)), "00") &amp; ":" &amp;
TEXT(MINUTE((V81+W81)-(B81+C81)), "00")</f>
        <v>0:16:49</v>
      </c>
      <c r="AE81" s="1" t="n">
        <f aca="false">IFERROR(
LEFT(AD81,FIND(":",AD81)-1)
+ MID(AD81,FIND(":",AD81)+1,2)/24
+ RIGHT(AD81,2)/1440,
"")</f>
        <v>0.700694444444444</v>
      </c>
      <c r="AF81" s="4" t="str">
        <f aca="false">INT((X81+Y81)-(B81+C81)) &amp; ":" &amp;
TEXT(HOUR((X81+Y81)-(B81+C81)), "00") &amp; ":" &amp;
TEXT(MINUTE((X81+Y81)-(B81+C81)), "00")</f>
        <v>0:18:09</v>
      </c>
      <c r="AG81" s="4" t="str">
        <f aca="false" t="array" ref="AG81:AG81">INT(_xlfn.XLOOKUP(J81,{"Low","Medium","High","Urgent"},{48,24,12,8})/24) &amp; ":" &amp;
TEXT(MOD(_xlfn.XLOOKUP(J81,{"Low","Medium","High","Urgent"},{48,24,12,8}),24)/24,"hh:mm")</f>
        <v>2:00:00</v>
      </c>
      <c r="AH81" s="4" t="str">
        <f aca="false">IF(AD81&gt;AG81,"Not Met","Met")</f>
        <v>Met</v>
      </c>
      <c r="AI81" s="4" t="e">
        <f aca="false">IF(AB81&lt;TIME(0,30,0),"Met","Not Met")</f>
        <v>#VALUE!</v>
      </c>
      <c r="AN81" s="1" t="str">
        <f aca="false">TEXT(B81,"dd")</f>
        <v>07</v>
      </c>
      <c r="AO81" s="1" t="str">
        <f aca="false">TEXT(X81,"dd")</f>
        <v>08</v>
      </c>
      <c r="AP81" s="16" t="str">
        <f aca="false">INT(
  NETWORKDAYS(B81,V81)-1
  + IF(WEEKDAY(V81,2)&lt;6,MOD(V81+W81,1),0)
  - IF(WEEKDAY(B81,2)&lt;6,MOD(B81+C81,1),0)
)
&amp; ":" &amp;
TEXT(HOUR(
  NETWORKDAYS(B81,V81)-1
  + IF(WEEKDAY(V81,2)&lt;6,MOD(V81+W81,1),0)
  - IF(WEEKDAY(B81,2)&lt;6,MOD(B81+C81,1),0)
),"00")
&amp; ":" &amp;
TEXT(MINUTE(
  NETWORKDAYS(B81,V81)-1
  + IF(WEEKDAY(V81,2)&lt;6,MOD(V81+W81,1),0)
  - IF(WEEKDAY(B81,2)&lt;6,MOD(B81+C81,1),0)
),"00")</f>
        <v>0:16:48</v>
      </c>
      <c r="AQ81" s="0" t="n">
        <f aca="false">IFERROR(
LEFT(AP81,FIND(":",AP81)-1)
+ MID(AP81,FIND(":",AP81)+1,2)/24
+ RIGHT(AP81,2)/1440,
"")</f>
        <v>0.7</v>
      </c>
      <c r="AR81" s="0" t="n">
        <f aca="false">WEEKNUM(B81,1)</f>
        <v>2</v>
      </c>
      <c r="AS81" s="17" t="n">
        <f aca="false">IF(B81&gt;0, (B81+C81)-TIME(13,30,0), "")</f>
        <v>46028.7055555556</v>
      </c>
      <c r="AT81" s="18" t="n">
        <f aca="false">IF(B81&gt;0, (B81+C81)-TIME(13,30,0), "")</f>
        <v>46028.7055555556</v>
      </c>
      <c r="AU81" s="17" t="n">
        <f aca="false">IF(V81&gt;0, (V81+W81)-TIME(13,30,0), "")</f>
        <v>46029.40625</v>
      </c>
      <c r="AV81" s="18" t="n">
        <f aca="false">IF(V81&gt;0, (V81+W81)-TIME(13,30,0), "")</f>
        <v>46029.40625</v>
      </c>
      <c r="AW81" s="19" t="n">
        <f aca="false">24*(
MAX(0,
IF(NETWORKDAYS(AS81,AU81)=1,
MIN(MOD(AV81,1),TIME(17,30,0)) - MAX(MOD(AT81,1),TIME(8,30,0)),
(TIME(17,30,0)-MAX(MOD(AT81,1),TIME(8,30,0)))
+ (MIN(MOD(AV81,1),TIME(17,30,0))-TIME(8,30,0))
+ (NETWORKDAYS(AS81,AU81)-2)*9/24
)
)
)</f>
        <v>1.81666666666667</v>
      </c>
      <c r="AX81" s="19" t="n">
        <f aca="false">24*(
MAX(0,
IF(NETWORKDAYS(AS81,AU81)=1,
MIN(MOD(AV81,1),TIME(17,30,0)) - MAX(MOD(AT81,1),TIME(8,30,0)),
(TIME(17,30,0)-MAX(MOD(AT81,1),TIME(8,30,0)))
+ (MIN(MOD(AV81,1),TIME(17,30,0))-TIME(8,30,0))
+ (NETWORKDAYS(AS81,AU81)-2)* (TIME(17,30,0)-TIME(8,30,0))
)
)
)</f>
        <v>1.81666666666667</v>
      </c>
      <c r="AY81" s="20" t="n">
        <f aca="false">ROUND(
IF(AS81=AU81,
MAX(0,
(MIN(MOD(AV81,1),TIME(17,30,0))-
MAX(MOD(AT81,1),TIME(8,30,0)))*24
),
(
(MAX(0,TIME(17,30,0)-MAX(MOD(AT81,1),TIME(8,30,0)))*24)
+
(MAX(0,MIN(MOD(AV81,1),TIME(17,30,0))-TIME(8,30,0))*24)
+
(MAX(0,NETWORKDAYS(AS81+1,AU81-1))*9)
)
),
2)</f>
        <v>1.82</v>
      </c>
      <c r="AZ81" s="0" t="n">
        <f aca="false" t="array" ref="AZ81:AZ81">_xlfn.XLOOKUP(J81,{"Low","Medium","High"},{270,72,24})</f>
        <v>270</v>
      </c>
      <c r="BA81" s="0" t="str">
        <f aca="false">IF(AW81&gt;AZ81,"Not Met","Met")</f>
        <v>Met</v>
      </c>
      <c r="BB81" s="21" t="str">
        <f aca="false">IF(AS81="","",TEXT(AS81,"MMM")&amp;"'"&amp;TEXT(AS81,"yy"))</f>
        <v>Jan'26</v>
      </c>
      <c r="BC81" s="0" t="str">
        <f aca="false">IF(AU81="","",TEXT(AU81,"MMM")&amp;"'"&amp;TEXT(AU81,"yy"))</f>
        <v>Jan'26</v>
      </c>
    </row>
    <row r="82" customFormat="false" ht="15" hidden="false" customHeight="false" outlineLevel="0" collapsed="false">
      <c r="A82" s="1" t="s">
        <v>380</v>
      </c>
      <c r="B82" s="11" t="n">
        <v>46030</v>
      </c>
      <c r="C82" s="12" t="n">
        <v>0.868055555555556</v>
      </c>
      <c r="D82" s="13" t="str">
        <f aca="false">IF(B82="","",TEXT(B82,"MMM")&amp;"'"&amp;TEXT(B82,"yy"))</f>
        <v>Jan'26</v>
      </c>
      <c r="E82" s="1" t="s">
        <v>55</v>
      </c>
      <c r="F82" s="1" t="s">
        <v>39</v>
      </c>
      <c r="G82" s="1" t="str">
        <f aca="false">IF(F82="Closed","Closed","Pending")</f>
        <v>Closed</v>
      </c>
      <c r="H82" s="23" t="s">
        <v>185</v>
      </c>
      <c r="I82" s="1" t="s">
        <v>186</v>
      </c>
      <c r="J82" s="1" t="s">
        <v>58</v>
      </c>
      <c r="K82" s="35" t="s">
        <v>59</v>
      </c>
      <c r="L82" s="23" t="s">
        <v>381</v>
      </c>
      <c r="M82" s="1" t="s">
        <v>367</v>
      </c>
      <c r="N82" s="29" t="s">
        <v>62</v>
      </c>
      <c r="O82" s="1" t="s">
        <v>77</v>
      </c>
      <c r="P82" s="29"/>
      <c r="Q82" s="1" t="s">
        <v>86</v>
      </c>
      <c r="R82" s="29" t="s">
        <v>87</v>
      </c>
      <c r="S82" s="29"/>
      <c r="T82" s="29"/>
      <c r="U82" s="37" t="n">
        <v>0.968055555555556</v>
      </c>
      <c r="V82" s="11" t="n">
        <v>46036</v>
      </c>
      <c r="W82" s="12" t="n">
        <v>0.984722222222222</v>
      </c>
      <c r="X82" s="11" t="n">
        <v>46044</v>
      </c>
      <c r="Y82" s="12" t="n">
        <v>0.00763888888888889</v>
      </c>
      <c r="Z82" s="1" t="s">
        <v>108</v>
      </c>
      <c r="AA82" s="1" t="s">
        <v>68</v>
      </c>
      <c r="AB82" s="2" t="e">
        <f aca="false">U82-G82</f>
        <v>#VALUE!</v>
      </c>
      <c r="AC82" s="14" t="n">
        <f aca="false">(V82+W82)-(B82+C82)</f>
        <v>6.11666666666667</v>
      </c>
      <c r="AD82" s="4" t="str">
        <f aca="false">INT((V82+W82)-(B82+C82)) &amp; ":" &amp;
TEXT(HOUR((V82+W82)-(B82+C82)), "00") &amp; ":" &amp;
TEXT(MINUTE((V82+W82)-(B82+C82)), "00")</f>
        <v>6:02:48</v>
      </c>
      <c r="AE82" s="1" t="n">
        <f aca="false">IFERROR(
LEFT(AD82,FIND(":",AD82)-1)
+ MID(AD82,FIND(":",AD82)+1,2)/24
+ RIGHT(AD82,2)/1440,
"")</f>
        <v>6.11666666666667</v>
      </c>
      <c r="AF82" s="4" t="str">
        <f aca="false">INT((X82+Y82)-(B82+C82)) &amp; ":" &amp;
TEXT(HOUR((X82+Y82)-(B82+C82)), "00") &amp; ":" &amp;
TEXT(MINUTE((X82+Y82)-(B82+C82)), "00")</f>
        <v>13:03:21</v>
      </c>
      <c r="AG82" s="4" t="str">
        <f aca="false" t="array" ref="AG82:AG82">INT(_xlfn.XLOOKUP(J82,{"Low","Medium","High","Urgent"},{48,24,12,8})/24) &amp; ":" &amp;
TEXT(MOD(_xlfn.XLOOKUP(J82,{"Low","Medium","High","Urgent"},{48,24,12,8}),24)/24,"hh:mm")</f>
        <v>1:00:00</v>
      </c>
      <c r="AH82" s="4" t="str">
        <f aca="false">IF(AD82&gt;AG82,"Not Met","Met")</f>
        <v>Not Met</v>
      </c>
      <c r="AI82" s="4" t="e">
        <f aca="false">IF(AB82&lt;TIME(0,30,0),"Met","Not Met")</f>
        <v>#VALUE!</v>
      </c>
      <c r="AN82" s="1" t="str">
        <f aca="false">TEXT(B82,"dd")</f>
        <v>08</v>
      </c>
      <c r="AO82" s="1" t="str">
        <f aca="false">TEXT(X82,"dd")</f>
        <v>22</v>
      </c>
      <c r="AP82" s="16" t="str">
        <f aca="false">INT(
  NETWORKDAYS(B82,V82)-1
  + IF(WEEKDAY(V82,2)&lt;6,MOD(V82+W82,1),0)
  - IF(WEEKDAY(B82,2)&lt;6,MOD(B82+C82,1),0)
)
&amp; ":" &amp;
TEXT(HOUR(
  NETWORKDAYS(B82,V82)-1
  + IF(WEEKDAY(V82,2)&lt;6,MOD(V82+W82,1),0)
  - IF(WEEKDAY(B82,2)&lt;6,MOD(B82+C82,1),0)
),"00")
&amp; ":" &amp;
TEXT(MINUTE(
  NETWORKDAYS(B82,V82)-1
  + IF(WEEKDAY(V82,2)&lt;6,MOD(V82+W82,1),0)
  - IF(WEEKDAY(B82,2)&lt;6,MOD(B82+C82,1),0)
),"00")</f>
        <v>4:02:48</v>
      </c>
      <c r="AQ82" s="0" t="n">
        <f aca="false">IFERROR(
LEFT(AP82,FIND(":",AP82)-1)
+ MID(AP82,FIND(":",AP82)+1,2)/24
+ RIGHT(AP82,2)/1440,
"")</f>
        <v>4.11666666666667</v>
      </c>
      <c r="AR82" s="0" t="n">
        <f aca="false">WEEKNUM(B82,1)</f>
        <v>2</v>
      </c>
      <c r="AS82" s="17" t="n">
        <f aca="false">IF(B82&gt;0, (B82+C82)-TIME(13,30,0), "")</f>
        <v>46030.3055555556</v>
      </c>
      <c r="AT82" s="18" t="n">
        <f aca="false">IF(B82&gt;0, (B82+C82)-TIME(13,30,0), "")</f>
        <v>46030.3055555556</v>
      </c>
      <c r="AU82" s="17" t="n">
        <f aca="false">IF(V82&gt;0, (V82+W82)-TIME(13,30,0), "")</f>
        <v>46036.4222222222</v>
      </c>
      <c r="AV82" s="18" t="n">
        <f aca="false">IF(V82&gt;0, (V82+W82)-TIME(13,30,0), "")</f>
        <v>46036.4222222222</v>
      </c>
      <c r="AW82" s="19" t="n">
        <f aca="false">24*(
MAX(0,
IF(NETWORKDAYS(AS82,AU82)=1,
MIN(MOD(AV82,1),TIME(17,30,0)) - MAX(MOD(AT82,1),TIME(8,30,0)),
(TIME(17,30,0)-MAX(MOD(AT82,1),TIME(8,30,0)))
+ (MIN(MOD(AV82,1),TIME(17,30,0))-TIME(8,30,0))
+ (NETWORKDAYS(AS82,AU82)-2)*9/24
)
)
)</f>
        <v>37.6333333333333</v>
      </c>
      <c r="AX82" s="19" t="n">
        <f aca="false">24*(
MAX(0,
IF(NETWORKDAYS(AS82,AU82)=1,
MIN(MOD(AV82,1),TIME(17,30,0)) - MAX(MOD(AT82,1),TIME(8,30,0)),
(TIME(17,30,0)-MAX(MOD(AT82,1),TIME(8,30,0)))
+ (MIN(MOD(AV82,1),TIME(17,30,0))-TIME(8,30,0))
+ (NETWORKDAYS(AS82,AU82)-2)* (TIME(17,30,0)-TIME(8,30,0))
)
)
)</f>
        <v>37.6333333333333</v>
      </c>
      <c r="AY82" s="20" t="n">
        <f aca="false">ROUND(
IF(AS82=AU82,
MAX(0,
(MIN(MOD(AV82,1),TIME(17,30,0))-
MAX(MOD(AT82,1),TIME(8,30,0)))*24
),
(
(MAX(0,TIME(17,30,0)-MAX(MOD(AT82,1),TIME(8,30,0)))*24)
+
(MAX(0,MIN(MOD(AV82,1),TIME(17,30,0))-TIME(8,30,0))*24)
+
(MAX(0,NETWORKDAYS(AS82+1,AU82-1))*9)
)
),
2)</f>
        <v>37.63</v>
      </c>
      <c r="AZ82" s="0" t="n">
        <f aca="false" t="array" ref="AZ82:AZ82">_xlfn.XLOOKUP(J82,{"Low","Medium","High"},{270,72,24})</f>
        <v>72</v>
      </c>
      <c r="BA82" s="0" t="str">
        <f aca="false">IF(AW82&gt;AZ82,"Not Met","Met")</f>
        <v>Met</v>
      </c>
      <c r="BB82" s="21" t="str">
        <f aca="false">IF(AS82="","",TEXT(AS82,"MMM")&amp;"'"&amp;TEXT(AS82,"yy"))</f>
        <v>Jan'26</v>
      </c>
      <c r="BC82" s="0" t="str">
        <f aca="false">IF(AU82="","",TEXT(AU82,"MMM")&amp;"'"&amp;TEXT(AU82,"yy"))</f>
        <v>Jan'26</v>
      </c>
    </row>
    <row r="83" customFormat="false" ht="15" hidden="false" customHeight="false" outlineLevel="0" collapsed="false">
      <c r="A83" s="1" t="s">
        <v>382</v>
      </c>
      <c r="B83" s="11" t="n">
        <v>46030</v>
      </c>
      <c r="C83" s="12" t="n">
        <v>0.874305555555556</v>
      </c>
      <c r="D83" s="13" t="str">
        <f aca="false">IF(B83="","",TEXT(B83,"MMM")&amp;"'"&amp;TEXT(B83,"yy"))</f>
        <v>Jan'26</v>
      </c>
      <c r="E83" s="1" t="s">
        <v>55</v>
      </c>
      <c r="F83" s="1" t="s">
        <v>39</v>
      </c>
      <c r="G83" s="1" t="str">
        <f aca="false">IF(F83="Closed","Closed","Pending")</f>
        <v>Closed</v>
      </c>
      <c r="H83" s="1" t="s">
        <v>72</v>
      </c>
      <c r="I83" s="1" t="s">
        <v>168</v>
      </c>
      <c r="J83" s="1" t="s">
        <v>74</v>
      </c>
      <c r="K83" s="35" t="s">
        <v>59</v>
      </c>
      <c r="L83" s="1" t="s">
        <v>383</v>
      </c>
      <c r="M83" s="1" t="s">
        <v>384</v>
      </c>
      <c r="N83" s="1" t="s">
        <v>143</v>
      </c>
      <c r="O83" s="1" t="s">
        <v>143</v>
      </c>
      <c r="P83" s="1" t="s">
        <v>138</v>
      </c>
      <c r="Q83" s="1" t="s">
        <v>143</v>
      </c>
      <c r="R83" s="1" t="s">
        <v>87</v>
      </c>
      <c r="U83" s="12" t="n">
        <v>0.966666666666667</v>
      </c>
      <c r="V83" s="11" t="n">
        <v>46045</v>
      </c>
      <c r="W83" s="12" t="n">
        <v>0.975</v>
      </c>
      <c r="X83" s="11" t="n">
        <v>46045</v>
      </c>
      <c r="Y83" s="12" t="n">
        <v>0.993055555555556</v>
      </c>
      <c r="Z83" s="1" t="s">
        <v>67</v>
      </c>
      <c r="AA83" s="1" t="s">
        <v>68</v>
      </c>
      <c r="AB83" s="2" t="e">
        <f aca="false">U83-G83</f>
        <v>#VALUE!</v>
      </c>
      <c r="AC83" s="14" t="n">
        <f aca="false">(V83+W83)-(B83+C83)</f>
        <v>15.1006944444444</v>
      </c>
      <c r="AD83" s="4" t="str">
        <f aca="false">INT((V83+W83)-(B83+C83)) &amp; ":" &amp;
TEXT(HOUR((V83+W83)-(B83+C83)), "00") &amp; ":" &amp;
TEXT(MINUTE((V83+W83)-(B83+C83)), "00")</f>
        <v>15:02:25</v>
      </c>
      <c r="AE83" s="1" t="n">
        <f aca="false">IFERROR(
LEFT(AD83,FIND(":",AD83)-1)
+ MID(AD83,FIND(":",AD83)+1,2)/24
+ RIGHT(AD83,2)/1440,
"")</f>
        <v>15.1006944444444</v>
      </c>
      <c r="AF83" s="4" t="str">
        <f aca="false">INT((X83+Y83)-(B83+C83)) &amp; ":" &amp;
TEXT(HOUR((X83+Y83)-(B83+C83)), "00") &amp; ":" &amp;
TEXT(MINUTE((X83+Y83)-(B83+C83)), "00")</f>
        <v>15:02:51</v>
      </c>
      <c r="AG83" s="4" t="str">
        <f aca="false" t="array" ref="AG83:AG83">INT(_xlfn.XLOOKUP(J83,{"Low","Medium","High","Urgent"},{48,24,12,8})/24) &amp; ":" &amp;
TEXT(MOD(_xlfn.XLOOKUP(J83,{"Low","Medium","High","Urgent"},{48,24,12,8}),24)/24,"hh:mm")</f>
        <v>2:00:00</v>
      </c>
      <c r="AH83" s="4" t="str">
        <f aca="false">IF(AD83&gt;AG83,"Not Met","Met")</f>
        <v>Met</v>
      </c>
      <c r="AI83" s="4" t="e">
        <f aca="false">IF(AB83&lt;TIME(0,30,0),"Met","Not Met")</f>
        <v>#VALUE!</v>
      </c>
      <c r="AN83" s="1" t="str">
        <f aca="false">TEXT(B83,"dd")</f>
        <v>08</v>
      </c>
      <c r="AO83" s="1" t="str">
        <f aca="false">TEXT(X83,"dd")</f>
        <v>23</v>
      </c>
      <c r="AP83" s="16" t="str">
        <f aca="false">INT(
  NETWORKDAYS(B83,V83)-1
  + IF(WEEKDAY(V83,2)&lt;6,MOD(V83+W83,1),0)
  - IF(WEEKDAY(B83,2)&lt;6,MOD(B83+C83,1),0)
)
&amp; ":" &amp;
TEXT(HOUR(
  NETWORKDAYS(B83,V83)-1
  + IF(WEEKDAY(V83,2)&lt;6,MOD(V83+W83,1),0)
  - IF(WEEKDAY(B83,2)&lt;6,MOD(B83+C83,1),0)
),"00")
&amp; ":" &amp;
TEXT(MINUTE(
  NETWORKDAYS(B83,V83)-1
  + IF(WEEKDAY(V83,2)&lt;6,MOD(V83+W83,1),0)
  - IF(WEEKDAY(B83,2)&lt;6,MOD(B83+C83,1),0)
),"00")</f>
        <v>11:02:25</v>
      </c>
      <c r="AQ83" s="0" t="n">
        <f aca="false">IFERROR(
LEFT(AP83,FIND(":",AP83)-1)
+ MID(AP83,FIND(":",AP83)+1,2)/24
+ RIGHT(AP83,2)/1440,
"")</f>
        <v>11.1006944444444</v>
      </c>
      <c r="AR83" s="0" t="n">
        <f aca="false">WEEKNUM(B83,1)</f>
        <v>2</v>
      </c>
      <c r="AS83" s="17" t="n">
        <f aca="false">IF(B83&gt;0, (B83+C83)-TIME(13,30,0), "")</f>
        <v>46030.3118055556</v>
      </c>
      <c r="AT83" s="18" t="n">
        <f aca="false">IF(B83&gt;0, (B83+C83)-TIME(13,30,0), "")</f>
        <v>46030.3118055556</v>
      </c>
      <c r="AU83" s="17" t="n">
        <f aca="false">IF(V83&gt;0, (V83+W83)-TIME(13,30,0), "")</f>
        <v>46045.4125</v>
      </c>
      <c r="AV83" s="18" t="n">
        <f aca="false">IF(V83&gt;0, (V83+W83)-TIME(13,30,0), "")</f>
        <v>46045.4125</v>
      </c>
      <c r="AW83" s="19" t="n">
        <f aca="false">24*(
MAX(0,
IF(NETWORKDAYS(AS83,AU83)=1,
MIN(MOD(AV83,1),TIME(17,30,0)) - MAX(MOD(AT83,1),TIME(8,30,0)),
(TIME(17,30,0)-MAX(MOD(AT83,1),TIME(8,30,0)))
+ (MIN(MOD(AV83,1),TIME(17,30,0))-TIME(8,30,0))
+ (NETWORKDAYS(AS83,AU83)-2)*9/24
)
)
)</f>
        <v>100.4</v>
      </c>
      <c r="AX83" s="19" t="n">
        <f aca="false">24*(
MAX(0,
IF(NETWORKDAYS(AS83,AU83)=1,
MIN(MOD(AV83,1),TIME(17,30,0)) - MAX(MOD(AT83,1),TIME(8,30,0)),
(TIME(17,30,0)-MAX(MOD(AT83,1),TIME(8,30,0)))
+ (MIN(MOD(AV83,1),TIME(17,30,0))-TIME(8,30,0))
+ (NETWORKDAYS(AS83,AU83)-2)* (TIME(17,30,0)-TIME(8,30,0))
)
)
)</f>
        <v>100.4</v>
      </c>
      <c r="AY83" s="20" t="n">
        <f aca="false">ROUND(
IF(AS83=AU83,
MAX(0,
(MIN(MOD(AV83,1),TIME(17,30,0))-
MAX(MOD(AT83,1),TIME(8,30,0)))*24
),
(
(MAX(0,TIME(17,30,0)-MAX(MOD(AT83,1),TIME(8,30,0)))*24)
+
(MAX(0,MIN(MOD(AV83,1),TIME(17,30,0))-TIME(8,30,0))*24)
+
(MAX(0,NETWORKDAYS(AS83+1,AU83-1))*9)
)
),
2)</f>
        <v>100.4</v>
      </c>
      <c r="AZ83" s="0" t="n">
        <f aca="false" t="array" ref="AZ83:AZ83">_xlfn.XLOOKUP(J83,{"Low","Medium","High"},{270,72,24})</f>
        <v>270</v>
      </c>
      <c r="BA83" s="0" t="str">
        <f aca="false">IF(AW83&gt;AZ83,"Not Met","Met")</f>
        <v>Met</v>
      </c>
      <c r="BB83" s="21" t="str">
        <f aca="false">IF(AS83="","",TEXT(AS83,"MMM")&amp;"'"&amp;TEXT(AS83,"yy"))</f>
        <v>Jan'26</v>
      </c>
      <c r="BC83" s="0" t="str">
        <f aca="false">IF(AU83="","",TEXT(AU83,"MMM")&amp;"'"&amp;TEXT(AU83,"yy"))</f>
        <v>Jan'26</v>
      </c>
    </row>
    <row r="84" customFormat="false" ht="15" hidden="false" customHeight="false" outlineLevel="0" collapsed="false">
      <c r="A84" s="42" t="s">
        <v>385</v>
      </c>
      <c r="B84" s="43" t="n">
        <v>46030</v>
      </c>
      <c r="C84" s="44" t="n">
        <v>0.919444444444444</v>
      </c>
      <c r="D84" s="13" t="str">
        <f aca="false">IF(B84="","",TEXT(B84,"MMM")&amp;"'"&amp;TEXT(B84,"yy"))</f>
        <v>Jan'26</v>
      </c>
      <c r="E84" s="42" t="s">
        <v>55</v>
      </c>
      <c r="F84" s="42" t="s">
        <v>39</v>
      </c>
      <c r="G84" s="45" t="str">
        <f aca="false">IF(F84="Closed","Closed","Pending")</f>
        <v>Closed</v>
      </c>
      <c r="H84" s="1" t="s">
        <v>81</v>
      </c>
      <c r="I84" s="42" t="s">
        <v>386</v>
      </c>
      <c r="J84" s="42" t="s">
        <v>74</v>
      </c>
      <c r="K84" s="35" t="s">
        <v>59</v>
      </c>
      <c r="L84" s="1" t="s">
        <v>387</v>
      </c>
      <c r="M84" s="1" t="s">
        <v>388</v>
      </c>
      <c r="N84" s="1" t="s">
        <v>65</v>
      </c>
      <c r="O84" s="1" t="s">
        <v>106</v>
      </c>
      <c r="Q84" s="1" t="s">
        <v>65</v>
      </c>
      <c r="R84" s="1" t="s">
        <v>66</v>
      </c>
      <c r="U84" s="12" t="n">
        <v>0.964583333333333</v>
      </c>
      <c r="V84" s="11" t="n">
        <v>46035</v>
      </c>
      <c r="W84" s="12" t="n">
        <v>0.929166666666667</v>
      </c>
      <c r="X84" s="11" t="n">
        <v>46035</v>
      </c>
      <c r="Y84" s="12" t="n">
        <v>0.951388888888889</v>
      </c>
      <c r="Z84" s="1" t="s">
        <v>108</v>
      </c>
      <c r="AA84" s="1" t="s">
        <v>68</v>
      </c>
      <c r="AB84" s="2" t="e">
        <f aca="false">U84-G84</f>
        <v>#VALUE!</v>
      </c>
      <c r="AC84" s="14" t="n">
        <f aca="false">(V84+W84)-(B84+C84)</f>
        <v>5.00972222222222</v>
      </c>
      <c r="AD84" s="4" t="str">
        <f aca="false">INT((V84+W84)-(B84+C84)) &amp; ":" &amp;
TEXT(HOUR((V84+W84)-(B84+C84)), "00") &amp; ":" &amp;
TEXT(MINUTE((V84+W84)-(B84+C84)), "00")</f>
        <v>5:00:14</v>
      </c>
      <c r="AE84" s="1" t="n">
        <f aca="false">IFERROR(
LEFT(AD84,FIND(":",AD84)-1)
+ MID(AD84,FIND(":",AD84)+1,2)/24
+ RIGHT(AD84,2)/1440,
"")</f>
        <v>5.00972222222222</v>
      </c>
      <c r="AF84" s="4" t="str">
        <f aca="false">INT((X84+Y84)-(B84+C84)) &amp; ":" &amp;
TEXT(HOUR((X84+Y84)-(B84+C84)), "00") &amp; ":" &amp;
TEXT(MINUTE((X84+Y84)-(B84+C84)), "00")</f>
        <v>5:00:46</v>
      </c>
      <c r="AG84" s="4" t="str">
        <f aca="false" t="array" ref="AG84:AG84">INT(_xlfn.XLOOKUP(J84,{"Low","Medium","High","Urgent"},{48,24,12,8})/24) &amp; ":" &amp;
TEXT(MOD(_xlfn.XLOOKUP(J84,{"Low","Medium","High","Urgent"},{48,24,12,8}),24)/24,"hh:mm")</f>
        <v>2:00:00</v>
      </c>
      <c r="AH84" s="4" t="str">
        <f aca="false">IF(AD84&gt;AG84,"Not Met","Met")</f>
        <v>Not Met</v>
      </c>
      <c r="AI84" s="4" t="e">
        <f aca="false">IF(AB84&lt;TIME(0,30,0),"Met","Not Met")</f>
        <v>#VALUE!</v>
      </c>
      <c r="AN84" s="1" t="str">
        <f aca="false">TEXT(B84,"dd")</f>
        <v>08</v>
      </c>
      <c r="AO84" s="1" t="str">
        <f aca="false">TEXT(X84,"dd")</f>
        <v>13</v>
      </c>
      <c r="AP84" s="16" t="str">
        <f aca="false">INT(
  NETWORKDAYS(B84,V84)-1
  + IF(WEEKDAY(V84,2)&lt;6,MOD(V84+W84,1),0)
  - IF(WEEKDAY(B84,2)&lt;6,MOD(B84+C84,1),0)
)
&amp; ":" &amp;
TEXT(HOUR(
  NETWORKDAYS(B84,V84)-1
  + IF(WEEKDAY(V84,2)&lt;6,MOD(V84+W84,1),0)
  - IF(WEEKDAY(B84,2)&lt;6,MOD(B84+C84,1),0)
),"00")
&amp; ":" &amp;
TEXT(MINUTE(
  NETWORKDAYS(B84,V84)-1
  + IF(WEEKDAY(V84,2)&lt;6,MOD(V84+W84,1),0)
  - IF(WEEKDAY(B84,2)&lt;6,MOD(B84+C84,1),0)
),"00")</f>
        <v>3:00:14</v>
      </c>
      <c r="AQ84" s="0" t="n">
        <f aca="false">IFERROR(
LEFT(AP84,FIND(":",AP84)-1)
+ MID(AP84,FIND(":",AP84)+1,2)/24
+ RIGHT(AP84,2)/1440,
"")</f>
        <v>3.00972222222222</v>
      </c>
      <c r="AR84" s="0" t="n">
        <f aca="false">WEEKNUM(B84,1)</f>
        <v>2</v>
      </c>
      <c r="AS84" s="17" t="n">
        <f aca="false">IF(B84&gt;0, (B84+C84)-TIME(13,30,0), "")</f>
        <v>46030.3569444444</v>
      </c>
      <c r="AT84" s="18" t="n">
        <f aca="false">IF(B84&gt;0, (B84+C84)-TIME(13,30,0), "")</f>
        <v>46030.3569444444</v>
      </c>
      <c r="AU84" s="17" t="n">
        <f aca="false">IF(V84&gt;0, (V84+W84)-TIME(13,30,0), "")</f>
        <v>46035.3666666667</v>
      </c>
      <c r="AV84" s="18" t="n">
        <f aca="false">IF(V84&gt;0, (V84+W84)-TIME(13,30,0), "")</f>
        <v>46035.3666666667</v>
      </c>
      <c r="AW84" s="19" t="n">
        <f aca="false">24*(
MAX(0,
IF(NETWORKDAYS(AS84,AU84)=1,
MIN(MOD(AV84,1),TIME(17,30,0)) - MAX(MOD(AT84,1),TIME(8,30,0)),
(TIME(17,30,0)-MAX(MOD(AT84,1),TIME(8,30,0)))
+ (MIN(MOD(AV84,1),TIME(17,30,0))-TIME(8,30,0))
+ (NETWORKDAYS(AS84,AU84)-2)*9/24
)
)
)</f>
        <v>27.2333333333333</v>
      </c>
      <c r="AX84" s="19" t="n">
        <f aca="false">24*(
MAX(0,
IF(NETWORKDAYS(AS84,AU84)=1,
MIN(MOD(AV84,1),TIME(17,30,0)) - MAX(MOD(AT84,1),TIME(8,30,0)),
(TIME(17,30,0)-MAX(MOD(AT84,1),TIME(8,30,0)))
+ (MIN(MOD(AV84,1),TIME(17,30,0))-TIME(8,30,0))
+ (NETWORKDAYS(AS84,AU84)-2)* (TIME(17,30,0)-TIME(8,30,0))
)
)
)</f>
        <v>27.2333333333333</v>
      </c>
      <c r="AY84" s="20" t="n">
        <f aca="false">ROUND(
IF(AS84=AU84,
MAX(0,
(MIN(MOD(AV84,1),TIME(17,30,0))-
MAX(MOD(AT84,1),TIME(8,30,0)))*24
),
(
(MAX(0,TIME(17,30,0)-MAX(MOD(AT84,1),TIME(8,30,0)))*24)
+
(MAX(0,MIN(MOD(AV84,1),TIME(17,30,0))-TIME(8,30,0))*24)
+
(MAX(0,NETWORKDAYS(AS84+1,AU84-1))*9)
)
),
2)</f>
        <v>27.23</v>
      </c>
      <c r="AZ84" s="0" t="n">
        <f aca="false" t="array" ref="AZ84:AZ84">_xlfn.XLOOKUP(J84,{"Low","Medium","High"},{270,72,24})</f>
        <v>270</v>
      </c>
      <c r="BA84" s="0" t="str">
        <f aca="false">IF(AW84&gt;AZ84,"Not Met","Met")</f>
        <v>Met</v>
      </c>
      <c r="BB84" s="21" t="str">
        <f aca="false">IF(AS84="","",TEXT(AS84,"MMM")&amp;"'"&amp;TEXT(AS84,"yy"))</f>
        <v>Jan'26</v>
      </c>
      <c r="BC84" s="0" t="str">
        <f aca="false">IF(AU84="","",TEXT(AU84,"MMM")&amp;"'"&amp;TEXT(AU84,"yy"))</f>
        <v>Jan'26</v>
      </c>
    </row>
    <row r="85" customFormat="false" ht="15" hidden="false" customHeight="false" outlineLevel="0" collapsed="false">
      <c r="A85" s="1" t="s">
        <v>389</v>
      </c>
      <c r="B85" s="11" t="n">
        <v>46031</v>
      </c>
      <c r="C85" s="12" t="n">
        <v>0.939583333333333</v>
      </c>
      <c r="D85" s="13" t="str">
        <f aca="false">IF(B85="","",TEXT(B85,"MMM")&amp;"'"&amp;TEXT(B85,"yy"))</f>
        <v>Jan'26</v>
      </c>
      <c r="E85" s="1" t="s">
        <v>55</v>
      </c>
      <c r="F85" s="1" t="s">
        <v>39</v>
      </c>
      <c r="G85" s="1" t="str">
        <f aca="false">IF(F85="Closed","Closed","Pending")</f>
        <v>Closed</v>
      </c>
      <c r="H85" s="1" t="s">
        <v>263</v>
      </c>
      <c r="I85" s="1" t="s">
        <v>103</v>
      </c>
      <c r="J85" s="1" t="s">
        <v>74</v>
      </c>
      <c r="K85" s="35" t="s">
        <v>59</v>
      </c>
      <c r="L85" s="1" t="s">
        <v>390</v>
      </c>
      <c r="M85" s="1" t="s">
        <v>391</v>
      </c>
      <c r="N85" s="1" t="s">
        <v>65</v>
      </c>
      <c r="O85" s="1" t="s">
        <v>77</v>
      </c>
      <c r="Q85" s="1" t="s">
        <v>65</v>
      </c>
      <c r="R85" s="1" t="s">
        <v>79</v>
      </c>
      <c r="U85" s="12" t="n">
        <v>0.977777777777778</v>
      </c>
      <c r="V85" s="11" t="n">
        <v>46035</v>
      </c>
      <c r="W85" s="12" t="n">
        <v>0.0451388888888889</v>
      </c>
      <c r="X85" s="11" t="n">
        <v>46039</v>
      </c>
      <c r="Y85" s="12" t="n">
        <v>0.025</v>
      </c>
      <c r="Z85" s="1" t="s">
        <v>67</v>
      </c>
      <c r="AA85" s="1" t="s">
        <v>68</v>
      </c>
      <c r="AB85" s="2" t="e">
        <f aca="false">U85-G85</f>
        <v>#VALUE!</v>
      </c>
      <c r="AC85" s="14" t="n">
        <f aca="false">(V85+W85)-(B85+C85)</f>
        <v>3.10555555555556</v>
      </c>
      <c r="AD85" s="4" t="str">
        <f aca="false">INT((V85+W85)-(B85+C85)) &amp; ":" &amp;
TEXT(HOUR((V85+W85)-(B85+C85)), "00") &amp; ":" &amp;
TEXT(MINUTE((V85+W85)-(B85+C85)), "00")</f>
        <v>3:02:32</v>
      </c>
      <c r="AE85" s="1" t="n">
        <f aca="false">IFERROR(
LEFT(AD85,FIND(":",AD85)-1)
+ MID(AD85,FIND(":",AD85)+1,2)/24
+ RIGHT(AD85,2)/1440,
"")</f>
        <v>3.10555555555556</v>
      </c>
      <c r="AF85" s="4" t="str">
        <f aca="false">INT((X85+Y85)-(B85+C85)) &amp; ":" &amp;
TEXT(HOUR((X85+Y85)-(B85+C85)), "00") &amp; ":" &amp;
TEXT(MINUTE((X85+Y85)-(B85+C85)), "00")</f>
        <v>7:02:03</v>
      </c>
      <c r="AG85" s="4" t="str">
        <f aca="false" t="array" ref="AG85:AG85">INT(_xlfn.XLOOKUP(J85,{"Low","Medium","High","Urgent"},{48,24,12,8})/24) &amp; ":" &amp;
TEXT(MOD(_xlfn.XLOOKUP(J85,{"Low","Medium","High","Urgent"},{48,24,12,8}),24)/24,"hh:mm")</f>
        <v>2:00:00</v>
      </c>
      <c r="AH85" s="4" t="str">
        <f aca="false">IF(AD85&gt;AG85,"Not Met","Met")</f>
        <v>Not Met</v>
      </c>
      <c r="AI85" s="4" t="e">
        <f aca="false">IF(AB85&lt;TIME(0,30,0),"Met","Not Met")</f>
        <v>#VALUE!</v>
      </c>
      <c r="AN85" s="1" t="str">
        <f aca="false">TEXT(B85,"dd")</f>
        <v>09</v>
      </c>
      <c r="AO85" s="1" t="str">
        <f aca="false">TEXT(X85,"dd")</f>
        <v>17</v>
      </c>
      <c r="AP85" s="16" t="str">
        <f aca="false">INT(
  NETWORKDAYS(B85,V85)-1
  + IF(WEEKDAY(V85,2)&lt;6,MOD(V85+W85,1),0)
  - IF(WEEKDAY(B85,2)&lt;6,MOD(B85+C85,1),0)
)
&amp; ":" &amp;
TEXT(HOUR(
  NETWORKDAYS(B85,V85)-1
  + IF(WEEKDAY(V85,2)&lt;6,MOD(V85+W85,1),0)
  - IF(WEEKDAY(B85,2)&lt;6,MOD(B85+C85,1),0)
),"00")
&amp; ":" &amp;
TEXT(MINUTE(
  NETWORKDAYS(B85,V85)-1
  + IF(WEEKDAY(V85,2)&lt;6,MOD(V85+W85,1),0)
  - IF(WEEKDAY(B85,2)&lt;6,MOD(B85+C85,1),0)
),"00")</f>
        <v>1:02:32</v>
      </c>
      <c r="AQ85" s="0" t="n">
        <f aca="false">IFERROR(
LEFT(AP85,FIND(":",AP85)-1)
+ MID(AP85,FIND(":",AP85)+1,2)/24
+ RIGHT(AP85,2)/1440,
"")</f>
        <v>1.10555555555556</v>
      </c>
      <c r="AR85" s="0" t="n">
        <f aca="false">WEEKNUM(B85,1)</f>
        <v>2</v>
      </c>
      <c r="AS85" s="17" t="n">
        <f aca="false">IF(B85&gt;0, (B85+C85)-TIME(13,30,0), "")</f>
        <v>46031.3770833333</v>
      </c>
      <c r="AT85" s="18" t="n">
        <f aca="false">IF(B85&gt;0, (B85+C85)-TIME(13,30,0), "")</f>
        <v>46031.3770833333</v>
      </c>
      <c r="AU85" s="17" t="n">
        <f aca="false">IF(V85&gt;0, (V85+W85)-TIME(13,30,0), "")</f>
        <v>46034.4826388889</v>
      </c>
      <c r="AV85" s="18" t="n">
        <f aca="false">IF(V85&gt;0, (V85+W85)-TIME(13,30,0), "")</f>
        <v>46034.4826388889</v>
      </c>
      <c r="AW85" s="19" t="n">
        <f aca="false">24*(
MAX(0,
IF(NETWORKDAYS(AS85,AU85)=1,
MIN(MOD(AV85,1),TIME(17,30,0)) - MAX(MOD(AT85,1),TIME(8,30,0)),
(TIME(17,30,0)-MAX(MOD(AT85,1),TIME(8,30,0)))
+ (MIN(MOD(AV85,1),TIME(17,30,0))-TIME(8,30,0))
+ (NETWORKDAYS(AS85,AU85)-2)*9/24
)
)
)</f>
        <v>11.5333333333333</v>
      </c>
      <c r="AX85" s="19" t="n">
        <f aca="false">24*(
MAX(0,
IF(NETWORKDAYS(AS85,AU85)=1,
MIN(MOD(AV85,1),TIME(17,30,0)) - MAX(MOD(AT85,1),TIME(8,30,0)),
(TIME(17,30,0)-MAX(MOD(AT85,1),TIME(8,30,0)))
+ (MIN(MOD(AV85,1),TIME(17,30,0))-TIME(8,30,0))
+ (NETWORKDAYS(AS85,AU85)-2)* (TIME(17,30,0)-TIME(8,30,0))
)
)
)</f>
        <v>11.5333333333333</v>
      </c>
      <c r="AY85" s="20" t="n">
        <f aca="false">ROUND(
IF(AS85=AU85,
MAX(0,
(MIN(MOD(AV85,1),TIME(17,30,0))-
MAX(MOD(AT85,1),TIME(8,30,0)))*24
),
(
(MAX(0,TIME(17,30,0)-MAX(MOD(AT85,1),TIME(8,30,0)))*24)
+
(MAX(0,MIN(MOD(AV85,1),TIME(17,30,0))-TIME(8,30,0))*24)
+
(MAX(0,NETWORKDAYS(AS85+1,AU85-1))*9)
)
),
2)</f>
        <v>11.53</v>
      </c>
      <c r="AZ85" s="0" t="n">
        <f aca="false" t="array" ref="AZ85:AZ85">_xlfn.XLOOKUP(J85,{"Low","Medium","High"},{270,72,24})</f>
        <v>270</v>
      </c>
      <c r="BA85" s="0" t="str">
        <f aca="false">IF(AW85&gt;AZ85,"Not Met","Met")</f>
        <v>Met</v>
      </c>
      <c r="BB85" s="21" t="str">
        <f aca="false">IF(AS85="","",TEXT(AS85,"MMM")&amp;"'"&amp;TEXT(AS85,"yy"))</f>
        <v>Jan'26</v>
      </c>
      <c r="BC85" s="0" t="str">
        <f aca="false">IF(AU85="","",TEXT(AU85,"MMM")&amp;"'"&amp;TEXT(AU85,"yy"))</f>
        <v>Jan'26</v>
      </c>
    </row>
    <row r="86" customFormat="false" ht="15" hidden="false" customHeight="false" outlineLevel="0" collapsed="false">
      <c r="A86" s="23" t="s">
        <v>392</v>
      </c>
      <c r="B86" s="24" t="n">
        <v>46034</v>
      </c>
      <c r="C86" s="12" t="n">
        <v>0.938888888888889</v>
      </c>
      <c r="D86" s="13" t="str">
        <f aca="false">IF(B86="","",TEXT(B86,"MMM")&amp;"'"&amp;TEXT(B86,"yy"))</f>
        <v>Jan'26</v>
      </c>
      <c r="E86" s="1" t="s">
        <v>55</v>
      </c>
      <c r="F86" s="1" t="s">
        <v>39</v>
      </c>
      <c r="G86" s="1" t="str">
        <f aca="false">IF(F86="Closed","Closed","Pending")</f>
        <v>Closed</v>
      </c>
      <c r="H86" s="23" t="s">
        <v>56</v>
      </c>
      <c r="I86" s="1" t="s">
        <v>386</v>
      </c>
      <c r="J86" s="1" t="s">
        <v>74</v>
      </c>
      <c r="K86" s="35" t="s">
        <v>59</v>
      </c>
      <c r="L86" s="23" t="s">
        <v>393</v>
      </c>
      <c r="M86" s="1" t="s">
        <v>394</v>
      </c>
      <c r="N86" s="1" t="s">
        <v>65</v>
      </c>
      <c r="O86" s="1" t="s">
        <v>106</v>
      </c>
      <c r="Q86" s="1" t="s">
        <v>86</v>
      </c>
      <c r="R86" s="1" t="s">
        <v>87</v>
      </c>
      <c r="U86" s="25" t="n">
        <v>46035.05</v>
      </c>
      <c r="V86" s="11" t="n">
        <v>46041</v>
      </c>
      <c r="W86" s="12" t="n">
        <v>0.922222222222222</v>
      </c>
      <c r="X86" s="11" t="n">
        <v>46044</v>
      </c>
      <c r="Y86" s="12" t="n">
        <v>0.00833333333333333</v>
      </c>
      <c r="Z86" s="1" t="s">
        <v>67</v>
      </c>
      <c r="AB86" s="2" t="n">
        <v>0.111111111111111</v>
      </c>
      <c r="AC86" s="14" t="n">
        <f aca="false">(V86+W86)-(B86+C86)</f>
        <v>6.98333333333333</v>
      </c>
      <c r="AD86" s="4" t="str">
        <f aca="false">INT((V86+W86)-(B86+C86)) &amp; ":" &amp;
TEXT(HOUR((V86+W86)-(B86+C86)), "00") &amp; ":" &amp;
TEXT(MINUTE((V86+W86)-(B86+C86)), "00")</f>
        <v>6:23:36</v>
      </c>
      <c r="AE86" s="1" t="n">
        <f aca="false">IFERROR(
LEFT(AD86,FIND(":",AD86)-1)
+ MID(AD86,FIND(":",AD86)+1,2)/24
+ RIGHT(AD86,2)/1440,
"")</f>
        <v>6.98333333333333</v>
      </c>
      <c r="AF86" s="4" t="str">
        <f aca="false">INT((X86+Y86)-(B86+C86)) &amp; ":" &amp;
TEXT(HOUR((X86+Y86)-(B86+C86)), "00") &amp; ":" &amp;
TEXT(MINUTE((X86+Y86)-(B86+C86)), "00")</f>
        <v>9:01:40</v>
      </c>
      <c r="AG86" s="4" t="str">
        <f aca="false" t="array" ref="AG86:AG86">INT(_xlfn.XLOOKUP(J86,{"Low","Medium","High","Urgent"},{48,24,12,8})/24) &amp; ":" &amp;
TEXT(MOD(_xlfn.XLOOKUP(J86,{"Low","Medium","High","Urgent"},{48,24,12,8}),24)/24,"hh:mm")</f>
        <v>2:00:00</v>
      </c>
      <c r="AH86" s="4" t="str">
        <f aca="false">IF(AD86&gt;AG86,"Not Met","Met")</f>
        <v>Not Met</v>
      </c>
      <c r="AI86" s="4" t="str">
        <f aca="false">IF(AB86&lt;TIME(0,30,0),"Met","Not Met")</f>
        <v>Not Met</v>
      </c>
      <c r="AN86" s="1" t="str">
        <f aca="false">TEXT(B86,"dd")</f>
        <v>12</v>
      </c>
      <c r="AO86" s="1" t="str">
        <f aca="false">TEXT(X86,"dd")</f>
        <v>22</v>
      </c>
      <c r="AP86" s="16" t="str">
        <f aca="false">INT(
  NETWORKDAYS(B86,V86)-1
  + IF(WEEKDAY(V86,2)&lt;6,MOD(V86+W86,1),0)
  - IF(WEEKDAY(B86,2)&lt;6,MOD(B86+C86,1),0)
)
&amp; ":" &amp;
TEXT(HOUR(
  NETWORKDAYS(B86,V86)-1
  + IF(WEEKDAY(V86,2)&lt;6,MOD(V86+W86,1),0)
  - IF(WEEKDAY(B86,2)&lt;6,MOD(B86+C86,1),0)
),"00")
&amp; ":" &amp;
TEXT(MINUTE(
  NETWORKDAYS(B86,V86)-1
  + IF(WEEKDAY(V86,2)&lt;6,MOD(V86+W86,1),0)
  - IF(WEEKDAY(B86,2)&lt;6,MOD(B86+C86,1),0)
),"00")</f>
        <v>4:23:36</v>
      </c>
      <c r="AQ86" s="0" t="n">
        <f aca="false">IFERROR(
LEFT(AP86,FIND(":",AP86)-1)
+ MID(AP86,FIND(":",AP86)+1,2)/24
+ RIGHT(AP86,2)/1440,
"")</f>
        <v>4.98333333333333</v>
      </c>
      <c r="AR86" s="0" t="n">
        <f aca="false">WEEKNUM(B86,1)</f>
        <v>3</v>
      </c>
      <c r="AS86" s="17" t="n">
        <f aca="false">IF(B86&gt;0, (B86+C86)-TIME(13,30,0), "")</f>
        <v>46034.3763888889</v>
      </c>
      <c r="AT86" s="18" t="n">
        <f aca="false">IF(B86&gt;0, (B86+C86)-TIME(13,30,0), "")</f>
        <v>46034.3763888889</v>
      </c>
      <c r="AU86" s="17" t="n">
        <f aca="false">IF(V86&gt;0, (V86+W86)-TIME(13,30,0), "")</f>
        <v>46041.3597222222</v>
      </c>
      <c r="AV86" s="18" t="n">
        <f aca="false">IF(V86&gt;0, (V86+W86)-TIME(13,30,0), "")</f>
        <v>46041.3597222222</v>
      </c>
      <c r="AW86" s="19" t="n">
        <f aca="false">24*(
MAX(0,
IF(NETWORKDAYS(AS86,AU86)=1,
MIN(MOD(AV86,1),TIME(17,30,0)) - MAX(MOD(AT86,1),TIME(8,30,0)),
(TIME(17,30,0)-MAX(MOD(AT86,1),TIME(8,30,0)))
+ (MIN(MOD(AV86,1),TIME(17,30,0))-TIME(8,30,0))
+ (NETWORKDAYS(AS86,AU86)-2)*9/24
)
)
)</f>
        <v>44.6</v>
      </c>
      <c r="AX86" s="19" t="n">
        <f aca="false">24*(
MAX(0,
IF(NETWORKDAYS(AS86,AU86)=1,
MIN(MOD(AV86,1),TIME(17,30,0)) - MAX(MOD(AT86,1),TIME(8,30,0)),
(TIME(17,30,0)-MAX(MOD(AT86,1),TIME(8,30,0)))
+ (MIN(MOD(AV86,1),TIME(17,30,0))-TIME(8,30,0))
+ (NETWORKDAYS(AS86,AU86)-2)* (TIME(17,30,0)-TIME(8,30,0))
)
)
)</f>
        <v>44.6</v>
      </c>
      <c r="AY86" s="20" t="n">
        <f aca="false">ROUND(
IF(AS86=AU86,
MAX(0,
(MIN(MOD(AV86,1),TIME(17,30,0))-
MAX(MOD(AT86,1),TIME(8,30,0)))*24
),
(
(MAX(0,TIME(17,30,0)-MAX(MOD(AT86,1),TIME(8,30,0)))*24)
+
(MAX(0,MIN(MOD(AV86,1),TIME(17,30,0))-TIME(8,30,0))*24)
+
(MAX(0,NETWORKDAYS(AS86+1,AU86-1))*9)
)
),
2)</f>
        <v>44.6</v>
      </c>
      <c r="AZ86" s="0" t="n">
        <f aca="false" t="array" ref="AZ86:AZ86">_xlfn.XLOOKUP(J86,{"Low","Medium","High"},{270,72,24})</f>
        <v>270</v>
      </c>
      <c r="BA86" s="0" t="str">
        <f aca="false">IF(AW86&gt;AZ86,"Not Met","Met")</f>
        <v>Met</v>
      </c>
      <c r="BB86" s="21" t="str">
        <f aca="false">IF(AS86="","",TEXT(AS86,"MMM")&amp;"'"&amp;TEXT(AS86,"yy"))</f>
        <v>Jan'26</v>
      </c>
      <c r="BC86" s="0" t="str">
        <f aca="false">IF(AU86="","",TEXT(AU86,"MMM")&amp;"'"&amp;TEXT(AU86,"yy"))</f>
        <v>Jan'26</v>
      </c>
    </row>
    <row r="87" customFormat="false" ht="15" hidden="false" customHeight="false" outlineLevel="0" collapsed="false">
      <c r="A87" s="39" t="s">
        <v>395</v>
      </c>
      <c r="B87" s="36" t="n">
        <v>46034</v>
      </c>
      <c r="C87" s="37" t="n">
        <v>0.943055555555556</v>
      </c>
      <c r="D87" s="13" t="str">
        <f aca="false">IF(B87="","",TEXT(B87,"MMM")&amp;"'"&amp;TEXT(B87,"yy"))</f>
        <v>Jan'26</v>
      </c>
      <c r="E87" s="29" t="s">
        <v>55</v>
      </c>
      <c r="F87" s="29" t="s">
        <v>39</v>
      </c>
      <c r="G87" s="38" t="str">
        <f aca="false">IF(F87="Closed","Closed","Pending")</f>
        <v>Closed</v>
      </c>
      <c r="H87" s="39" t="s">
        <v>56</v>
      </c>
      <c r="I87" s="29" t="s">
        <v>386</v>
      </c>
      <c r="J87" s="29" t="s">
        <v>74</v>
      </c>
      <c r="K87" s="35" t="s">
        <v>59</v>
      </c>
      <c r="L87" s="23" t="s">
        <v>396</v>
      </c>
      <c r="M87" s="1" t="s">
        <v>394</v>
      </c>
      <c r="N87" s="1" t="s">
        <v>65</v>
      </c>
      <c r="O87" s="1" t="s">
        <v>106</v>
      </c>
      <c r="Q87" s="1" t="s">
        <v>86</v>
      </c>
      <c r="R87" s="1" t="s">
        <v>87</v>
      </c>
      <c r="U87" s="25" t="n">
        <v>46035.05</v>
      </c>
      <c r="V87" s="11" t="n">
        <v>46041</v>
      </c>
      <c r="W87" s="12" t="n">
        <v>0.925694444444445</v>
      </c>
      <c r="X87" s="11" t="n">
        <v>46044</v>
      </c>
      <c r="Y87" s="12" t="n">
        <v>0.00902777777777778</v>
      </c>
      <c r="Z87" s="1" t="s">
        <v>67</v>
      </c>
      <c r="AB87" s="2" t="n">
        <v>0.106944444444444</v>
      </c>
      <c r="AC87" s="14" t="n">
        <f aca="false">(V87+W87)-(B87+C87)</f>
        <v>6.98263888888889</v>
      </c>
      <c r="AD87" s="4" t="str">
        <f aca="false">INT((V87+W87)-(B87+C87)) &amp; ":" &amp;
TEXT(HOUR((V87+W87)-(B87+C87)), "00") &amp; ":" &amp;
TEXT(MINUTE((V87+W87)-(B87+C87)), "00")</f>
        <v>6:23:35</v>
      </c>
      <c r="AE87" s="1" t="n">
        <f aca="false">IFERROR(
LEFT(AD87,FIND(":",AD87)-1)
+ MID(AD87,FIND(":",AD87)+1,2)/24
+ RIGHT(AD87,2)/1440,
"")</f>
        <v>6.98263888888889</v>
      </c>
      <c r="AF87" s="4" t="str">
        <f aca="false">INT((X87+Y87)-(B87+C87)) &amp; ":" &amp;
TEXT(HOUR((X87+Y87)-(B87+C87)), "00") &amp; ":" &amp;
TEXT(MINUTE((X87+Y87)-(B87+C87)), "00")</f>
        <v>9:01:35</v>
      </c>
      <c r="AG87" s="4" t="str">
        <f aca="false" t="array" ref="AG87:AG87">INT(_xlfn.XLOOKUP(J87,{"Low","Medium","High","Urgent"},{48,24,12,8})/24) &amp; ":" &amp;
TEXT(MOD(_xlfn.XLOOKUP(J87,{"Low","Medium","High","Urgent"},{48,24,12,8}),24)/24,"hh:mm")</f>
        <v>2:00:00</v>
      </c>
      <c r="AH87" s="4" t="str">
        <f aca="false">IF(AD87&gt;AG87,"Not Met","Met")</f>
        <v>Not Met</v>
      </c>
      <c r="AI87" s="4" t="str">
        <f aca="false">IF(AB87&lt;TIME(0,30,0),"Met","Not Met")</f>
        <v>Not Met</v>
      </c>
      <c r="AN87" s="1" t="str">
        <f aca="false">TEXT(B87,"dd")</f>
        <v>12</v>
      </c>
      <c r="AO87" s="1" t="str">
        <f aca="false">TEXT(X87,"dd")</f>
        <v>22</v>
      </c>
      <c r="AP87" s="16" t="str">
        <f aca="false">INT(
  NETWORKDAYS(B87,V87)-1
  + IF(WEEKDAY(V87,2)&lt;6,MOD(V87+W87,1),0)
  - IF(WEEKDAY(B87,2)&lt;6,MOD(B87+C87,1),0)
)
&amp; ":" &amp;
TEXT(HOUR(
  NETWORKDAYS(B87,V87)-1
  + IF(WEEKDAY(V87,2)&lt;6,MOD(V87+W87,1),0)
  - IF(WEEKDAY(B87,2)&lt;6,MOD(B87+C87,1),0)
),"00")
&amp; ":" &amp;
TEXT(MINUTE(
  NETWORKDAYS(B87,V87)-1
  + IF(WEEKDAY(V87,2)&lt;6,MOD(V87+W87,1),0)
  - IF(WEEKDAY(B87,2)&lt;6,MOD(B87+C87,1),0)
),"00")</f>
        <v>4:23:34</v>
      </c>
      <c r="AQ87" s="0" t="n">
        <f aca="false">IFERROR(
LEFT(AP87,FIND(":",AP87)-1)
+ MID(AP87,FIND(":",AP87)+1,2)/24
+ RIGHT(AP87,2)/1440,
"")</f>
        <v>4.98194444444444</v>
      </c>
      <c r="AR87" s="0" t="n">
        <f aca="false">WEEKNUM(B87,1)</f>
        <v>3</v>
      </c>
      <c r="AS87" s="17" t="n">
        <f aca="false">IF(B87&gt;0, (B87+C87)-TIME(13,30,0), "")</f>
        <v>46034.3805555556</v>
      </c>
      <c r="AT87" s="18" t="n">
        <f aca="false">IF(B87&gt;0, (B87+C87)-TIME(13,30,0), "")</f>
        <v>46034.3805555556</v>
      </c>
      <c r="AU87" s="17" t="n">
        <f aca="false">IF(V87&gt;0, (V87+W87)-TIME(13,30,0), "")</f>
        <v>46041.3631944444</v>
      </c>
      <c r="AV87" s="18" t="n">
        <f aca="false">IF(V87&gt;0, (V87+W87)-TIME(13,30,0), "")</f>
        <v>46041.3631944444</v>
      </c>
      <c r="AW87" s="19" t="n">
        <f aca="false">24*(
MAX(0,
IF(NETWORKDAYS(AS87,AU87)=1,
MIN(MOD(AV87,1),TIME(17,30,0)) - MAX(MOD(AT87,1),TIME(8,30,0)),
(TIME(17,30,0)-MAX(MOD(AT87,1),TIME(8,30,0)))
+ (MIN(MOD(AV87,1),TIME(17,30,0))-TIME(8,30,0))
+ (NETWORKDAYS(AS87,AU87)-2)*9/24
)
)
)</f>
        <v>44.5833333333333</v>
      </c>
      <c r="AX87" s="19" t="n">
        <f aca="false">24*(
MAX(0,
IF(NETWORKDAYS(AS87,AU87)=1,
MIN(MOD(AV87,1),TIME(17,30,0)) - MAX(MOD(AT87,1),TIME(8,30,0)),
(TIME(17,30,0)-MAX(MOD(AT87,1),TIME(8,30,0)))
+ (MIN(MOD(AV87,1),TIME(17,30,0))-TIME(8,30,0))
+ (NETWORKDAYS(AS87,AU87)-2)* (TIME(17,30,0)-TIME(8,30,0))
)
)
)</f>
        <v>44.5833333333333</v>
      </c>
      <c r="AY87" s="20" t="n">
        <f aca="false">ROUND(
IF(AS87=AU87,
MAX(0,
(MIN(MOD(AV87,1),TIME(17,30,0))-
MAX(MOD(AT87,1),TIME(8,30,0)))*24
),
(
(MAX(0,TIME(17,30,0)-MAX(MOD(AT87,1),TIME(8,30,0)))*24)
+
(MAX(0,MIN(MOD(AV87,1),TIME(17,30,0))-TIME(8,30,0))*24)
+
(MAX(0,NETWORKDAYS(AS87+1,AU87-1))*9)
)
),
2)</f>
        <v>44.58</v>
      </c>
      <c r="AZ87" s="0" t="n">
        <f aca="false" t="array" ref="AZ87:AZ87">_xlfn.XLOOKUP(J87,{"Low","Medium","High"},{270,72,24})</f>
        <v>270</v>
      </c>
      <c r="BA87" s="0" t="str">
        <f aca="false">IF(AW87&gt;AZ87,"Not Met","Met")</f>
        <v>Met</v>
      </c>
      <c r="BB87" s="21" t="str">
        <f aca="false">IF(AS87="","",TEXT(AS87,"MMM")&amp;"'"&amp;TEXT(AS87,"yy"))</f>
        <v>Jan'26</v>
      </c>
      <c r="BC87" s="0" t="str">
        <f aca="false">IF(AU87="","",TEXT(AU87,"MMM")&amp;"'"&amp;TEXT(AU87,"yy"))</f>
        <v>Jan'26</v>
      </c>
    </row>
    <row r="88" customFormat="false" ht="15" hidden="false" customHeight="false" outlineLevel="0" collapsed="false">
      <c r="A88" s="23" t="s">
        <v>397</v>
      </c>
      <c r="B88" s="24" t="n">
        <v>46035</v>
      </c>
      <c r="C88" s="12" t="n">
        <v>0.0173611111111111</v>
      </c>
      <c r="D88" s="13" t="str">
        <f aca="false">IF(B88="","",TEXT(B88,"MMM")&amp;"'"&amp;TEXT(B88,"yy"))</f>
        <v>Jan'26</v>
      </c>
      <c r="E88" s="1" t="s">
        <v>55</v>
      </c>
      <c r="F88" s="1" t="s">
        <v>39</v>
      </c>
      <c r="G88" s="1" t="str">
        <f aca="false">IF(F88="Closed","Closed","Pending")</f>
        <v>Closed</v>
      </c>
      <c r="H88" s="34" t="s">
        <v>185</v>
      </c>
      <c r="I88" s="26" t="s">
        <v>302</v>
      </c>
      <c r="J88" s="26" t="s">
        <v>74</v>
      </c>
      <c r="K88" s="40" t="s">
        <v>59</v>
      </c>
      <c r="L88" s="23" t="s">
        <v>398</v>
      </c>
      <c r="M88" s="1" t="s">
        <v>399</v>
      </c>
      <c r="N88" s="1" t="s">
        <v>62</v>
      </c>
      <c r="O88" s="1" t="s">
        <v>63</v>
      </c>
      <c r="U88" s="12" t="n">
        <v>0.0673611111111111</v>
      </c>
      <c r="V88" s="11" t="n">
        <v>46042</v>
      </c>
      <c r="W88" s="12" t="n">
        <v>0.961805555555556</v>
      </c>
      <c r="X88" s="11" t="n">
        <v>46044</v>
      </c>
      <c r="Y88" s="12" t="n">
        <v>0.0611111111111111</v>
      </c>
      <c r="Z88" s="1" t="s">
        <v>67</v>
      </c>
      <c r="AB88" s="2" t="e">
        <f aca="false">U88-G88</f>
        <v>#VALUE!</v>
      </c>
      <c r="AC88" s="14" t="n">
        <f aca="false">(V88+W88)-(B88+C88)</f>
        <v>7.94444444444445</v>
      </c>
      <c r="AD88" s="4" t="str">
        <f aca="false">INT((V88+W88)-(B88+C88)) &amp; ":" &amp;
TEXT(HOUR((V88+W88)-(B88+C88)), "00") &amp; ":" &amp;
TEXT(MINUTE((V88+W88)-(B88+C88)), "00")</f>
        <v>7:22:40</v>
      </c>
      <c r="AE88" s="1" t="n">
        <f aca="false">IFERROR(
LEFT(AD88,FIND(":",AD88)-1)
+ MID(AD88,FIND(":",AD88)+1,2)/24
+ RIGHT(AD88,2)/1440,
"")</f>
        <v>7.94444444444445</v>
      </c>
      <c r="AF88" s="4" t="str">
        <f aca="false">INT((X88+Y88)-(B88+C88)) &amp; ":" &amp;
TEXT(HOUR((X88+Y88)-(B88+C88)), "00") &amp; ":" &amp;
TEXT(MINUTE((X88+Y88)-(B88+C88)), "00")</f>
        <v>9:01:03</v>
      </c>
      <c r="AG88" s="4" t="str">
        <f aca="false" t="array" ref="AG88:AG88">INT(_xlfn.XLOOKUP(J88,{"Low","Medium","High","Urgent"},{48,24,12,8})/24) &amp; ":" &amp;
TEXT(MOD(_xlfn.XLOOKUP(J88,{"Low","Medium","High","Urgent"},{48,24,12,8}),24)/24,"hh:mm")</f>
        <v>2:00:00</v>
      </c>
      <c r="AH88" s="4" t="str">
        <f aca="false">IF(AD88&gt;AG88,"Not Met","Met")</f>
        <v>Not Met</v>
      </c>
      <c r="AI88" s="4" t="e">
        <f aca="false">IF(AB88&lt;TIME(0,30,0),"Met","Not Met")</f>
        <v>#VALUE!</v>
      </c>
      <c r="AN88" s="1" t="str">
        <f aca="false">TEXT(B88,"dd")</f>
        <v>13</v>
      </c>
      <c r="AO88" s="1" t="str">
        <f aca="false">TEXT(X88,"dd")</f>
        <v>22</v>
      </c>
      <c r="AP88" s="16" t="str">
        <f aca="false">INT(
  NETWORKDAYS(B88,V88)-1
  + IF(WEEKDAY(V88,2)&lt;6,MOD(V88+W88,1),0)
  - IF(WEEKDAY(B88,2)&lt;6,MOD(B88+C88,1),0)
)
&amp; ":" &amp;
TEXT(HOUR(
  NETWORKDAYS(B88,V88)-1
  + IF(WEEKDAY(V88,2)&lt;6,MOD(V88+W88,1),0)
  - IF(WEEKDAY(B88,2)&lt;6,MOD(B88+C88,1),0)
),"00")
&amp; ":" &amp;
TEXT(MINUTE(
  NETWORKDAYS(B88,V88)-1
  + IF(WEEKDAY(V88,2)&lt;6,MOD(V88+W88,1),0)
  - IF(WEEKDAY(B88,2)&lt;6,MOD(B88+C88,1),0)
),"00")</f>
        <v>5:22:40</v>
      </c>
      <c r="AQ88" s="0" t="n">
        <f aca="false">IFERROR(
LEFT(AP88,FIND(":",AP88)-1)
+ MID(AP88,FIND(":",AP88)+1,2)/24
+ RIGHT(AP88,2)/1440,
"")</f>
        <v>5.94444444444445</v>
      </c>
      <c r="AR88" s="0" t="n">
        <f aca="false">WEEKNUM(B88,1)</f>
        <v>3</v>
      </c>
      <c r="AS88" s="17" t="n">
        <f aca="false">IF(B88&gt;0, (B88+C88)-TIME(13,30,0), "")</f>
        <v>46034.4548611111</v>
      </c>
      <c r="AT88" s="18" t="n">
        <f aca="false">IF(B88&gt;0, (B88+C88)-TIME(13,30,0), "")</f>
        <v>46034.4548611111</v>
      </c>
      <c r="AU88" s="17" t="n">
        <f aca="false">IF(V88&gt;0, (V88+W88)-TIME(13,30,0), "")</f>
        <v>46042.3993055556</v>
      </c>
      <c r="AV88" s="18" t="n">
        <f aca="false">IF(V88&gt;0, (V88+W88)-TIME(13,30,0), "")</f>
        <v>46042.3993055556</v>
      </c>
      <c r="AW88" s="19" t="n">
        <f aca="false">24*(
MAX(0,
IF(NETWORKDAYS(AS88,AU88)=1,
MIN(MOD(AV88,1),TIME(17,30,0)) - MAX(MOD(AT88,1),TIME(8,30,0)),
(TIME(17,30,0)-MAX(MOD(AT88,1),TIME(8,30,0)))
+ (MIN(MOD(AV88,1),TIME(17,30,0))-TIME(8,30,0))
+ (NETWORKDAYS(AS88,AU88)-2)*9/24
)
)
)</f>
        <v>52.6666666666667</v>
      </c>
      <c r="AX88" s="19" t="n">
        <f aca="false">24*(
MAX(0,
IF(NETWORKDAYS(AS88,AU88)=1,
MIN(MOD(AV88,1),TIME(17,30,0)) - MAX(MOD(AT88,1),TIME(8,30,0)),
(TIME(17,30,0)-MAX(MOD(AT88,1),TIME(8,30,0)))
+ (MIN(MOD(AV88,1),TIME(17,30,0))-TIME(8,30,0))
+ (NETWORKDAYS(AS88,AU88)-2)* (TIME(17,30,0)-TIME(8,30,0))
)
)
)</f>
        <v>52.6666666666667</v>
      </c>
      <c r="AY88" s="20" t="n">
        <f aca="false">ROUND(
IF(AS88=AU88,
MAX(0,
(MIN(MOD(AV88,1),TIME(17,30,0))-
MAX(MOD(AT88,1),TIME(8,30,0)))*24
),
(
(MAX(0,TIME(17,30,0)-MAX(MOD(AT88,1),TIME(8,30,0)))*24)
+
(MAX(0,MIN(MOD(AV88,1),TIME(17,30,0))-TIME(8,30,0))*24)
+
(MAX(0,NETWORKDAYS(AS88+1,AU88-1))*9)
)
),
2)</f>
        <v>52.67</v>
      </c>
      <c r="AZ88" s="0" t="n">
        <f aca="false" t="array" ref="AZ88:AZ88">_xlfn.XLOOKUP(J88,{"Low","Medium","High"},{270,72,24})</f>
        <v>270</v>
      </c>
      <c r="BA88" s="0" t="str">
        <f aca="false">IF(AW88&gt;AZ88,"Not Met","Met")</f>
        <v>Met</v>
      </c>
      <c r="BB88" s="21" t="str">
        <f aca="false">IF(AS88="","",TEXT(AS88,"MMM")&amp;"'"&amp;TEXT(AS88,"yy"))</f>
        <v>Jan'26</v>
      </c>
      <c r="BC88" s="0" t="str">
        <f aca="false">IF(AU88="","",TEXT(AU88,"MMM")&amp;"'"&amp;TEXT(AU88,"yy"))</f>
        <v>Jan'26</v>
      </c>
    </row>
    <row r="89" customFormat="false" ht="15" hidden="false" customHeight="false" outlineLevel="0" collapsed="false">
      <c r="A89" s="23" t="s">
        <v>400</v>
      </c>
      <c r="B89" s="24" t="n">
        <v>46035</v>
      </c>
      <c r="C89" s="12" t="n">
        <v>0.811111111111111</v>
      </c>
      <c r="D89" s="13" t="str">
        <f aca="false">IF(B89="","",TEXT(B89,"MMM")&amp;"'"&amp;TEXT(B89,"yy"))</f>
        <v>Jan'26</v>
      </c>
      <c r="E89" s="1" t="s">
        <v>55</v>
      </c>
      <c r="F89" s="1" t="s">
        <v>39</v>
      </c>
      <c r="G89" s="46" t="str">
        <f aca="false">IF(F89="Closed","Closed","Pending")</f>
        <v>Closed</v>
      </c>
      <c r="H89" s="23" t="s">
        <v>120</v>
      </c>
      <c r="I89" s="1" t="s">
        <v>401</v>
      </c>
      <c r="J89" s="1" t="s">
        <v>74</v>
      </c>
      <c r="K89" s="1" t="s">
        <v>59</v>
      </c>
      <c r="L89" s="47" t="s">
        <v>402</v>
      </c>
      <c r="M89" s="23" t="s">
        <v>403</v>
      </c>
      <c r="N89" s="1" t="s">
        <v>62</v>
      </c>
      <c r="O89" s="1" t="s">
        <v>63</v>
      </c>
      <c r="Q89" s="1" t="s">
        <v>229</v>
      </c>
      <c r="R89" s="1" t="s">
        <v>66</v>
      </c>
      <c r="U89" s="12" t="n">
        <v>0.867361111111111</v>
      </c>
      <c r="V89" s="11" t="n">
        <v>46036</v>
      </c>
      <c r="W89" s="12" t="n">
        <v>0.9875</v>
      </c>
      <c r="X89" s="11" t="n">
        <v>46037</v>
      </c>
      <c r="Y89" s="12" t="n">
        <v>0.90625</v>
      </c>
      <c r="Z89" s="1" t="s">
        <v>108</v>
      </c>
      <c r="AA89" s="1" t="s">
        <v>68</v>
      </c>
      <c r="AB89" s="2" t="e">
        <f aca="false">U89-G89</f>
        <v>#VALUE!</v>
      </c>
      <c r="AC89" s="14" t="n">
        <f aca="false">(V89+W89)-(B89+C89)</f>
        <v>1.17638888888889</v>
      </c>
      <c r="AD89" s="4" t="str">
        <f aca="false">INT((V89+W89)-(B89+C89)) &amp; ":" &amp;
TEXT(HOUR((V89+W89)-(B89+C89)), "00") &amp; ":" &amp;
TEXT(MINUTE((V89+W89)-(B89+C89)), "00")</f>
        <v>1:04:14</v>
      </c>
      <c r="AE89" s="1" t="n">
        <f aca="false">IFERROR(
LEFT(AD89,FIND(":",AD89)-1)
+ MID(AD89,FIND(":",AD89)+1,2)/24
+ RIGHT(AD89,2)/1440,
"")</f>
        <v>1.17638888888889</v>
      </c>
      <c r="AF89" s="4" t="str">
        <f aca="false">INT((X89+Y89)-(B89+C89)) &amp; ":" &amp;
TEXT(HOUR((X89+Y89)-(B89+C89)), "00") &amp; ":" &amp;
TEXT(MINUTE((X89+Y89)-(B89+C89)), "00")</f>
        <v>2:02:17</v>
      </c>
      <c r="AG89" s="4" t="str">
        <f aca="false" t="array" ref="AG89:AG89">INT(_xlfn.XLOOKUP(J89,{"Low","Medium","High","Urgent"},{48,24,12,8})/24) &amp; ":" &amp;
TEXT(MOD(_xlfn.XLOOKUP(J89,{"Low","Medium","High","Urgent"},{48,24,12,8}),24)/24,"hh:mm")</f>
        <v>2:00:00</v>
      </c>
      <c r="AH89" s="4" t="str">
        <f aca="false">IF(AD89&gt;AG89,"Not Met","Met")</f>
        <v>Met</v>
      </c>
      <c r="AI89" s="4" t="e">
        <f aca="false">IF(AB89&lt;TIME(0,30,0),"Met","Not Met")</f>
        <v>#VALUE!</v>
      </c>
      <c r="AN89" s="1" t="str">
        <f aca="false">TEXT(B89,"dd")</f>
        <v>13</v>
      </c>
      <c r="AO89" s="1" t="str">
        <f aca="false">TEXT(X89,"dd")</f>
        <v>15</v>
      </c>
      <c r="AP89" s="16" t="str">
        <f aca="false">INT(
  NETWORKDAYS(B89,V89)-1
  + IF(WEEKDAY(V89,2)&lt;6,MOD(V89+W89,1),0)
  - IF(WEEKDAY(B89,2)&lt;6,MOD(B89+C89,1),0)
)
&amp; ":" &amp;
TEXT(HOUR(
  NETWORKDAYS(B89,V89)-1
  + IF(WEEKDAY(V89,2)&lt;6,MOD(V89+W89,1),0)
  - IF(WEEKDAY(B89,2)&lt;6,MOD(B89+C89,1),0)
),"00")
&amp; ":" &amp;
TEXT(MINUTE(
  NETWORKDAYS(B89,V89)-1
  + IF(WEEKDAY(V89,2)&lt;6,MOD(V89+W89,1),0)
  - IF(WEEKDAY(B89,2)&lt;6,MOD(B89+C89,1),0)
),"00")</f>
        <v>1:04:14</v>
      </c>
      <c r="AQ89" s="0" t="n">
        <f aca="false">IFERROR(
LEFT(AP89,FIND(":",AP89)-1)
+ MID(AP89,FIND(":",AP89)+1,2)/24
+ RIGHT(AP89,2)/1440,
"")</f>
        <v>1.17638888888889</v>
      </c>
      <c r="AR89" s="0" t="n">
        <f aca="false">WEEKNUM(B89,1)</f>
        <v>3</v>
      </c>
      <c r="AS89" s="17" t="n">
        <f aca="false">IF(B89&gt;0, (B89+C89)-TIME(13,30,0), "")</f>
        <v>46035.2486111111</v>
      </c>
      <c r="AT89" s="18" t="n">
        <f aca="false">IF(B89&gt;0, (B89+C89)-TIME(13,30,0), "")</f>
        <v>46035.2486111111</v>
      </c>
      <c r="AU89" s="17" t="n">
        <f aca="false">IF(V89&gt;0, (V89+W89)-TIME(13,30,0), "")</f>
        <v>46036.425</v>
      </c>
      <c r="AV89" s="18" t="n">
        <f aca="false">IF(V89&gt;0, (V89+W89)-TIME(13,30,0), "")</f>
        <v>46036.425</v>
      </c>
      <c r="AW89" s="19" t="n">
        <f aca="false">24*(
MAX(0,
IF(NETWORKDAYS(AS89,AU89)=1,
MIN(MOD(AV89,1),TIME(17,30,0)) - MAX(MOD(AT89,1),TIME(8,30,0)),
(TIME(17,30,0)-MAX(MOD(AT89,1),TIME(8,30,0)))
+ (MIN(MOD(AV89,1),TIME(17,30,0))-TIME(8,30,0))
+ (NETWORKDAYS(AS89,AU89)-2)*9/24
)
)
)</f>
        <v>10.7</v>
      </c>
      <c r="AX89" s="19" t="n">
        <f aca="false">24*(
MAX(0,
IF(NETWORKDAYS(AS89,AU89)=1,
MIN(MOD(AV89,1),TIME(17,30,0)) - MAX(MOD(AT89,1),TIME(8,30,0)),
(TIME(17,30,0)-MAX(MOD(AT89,1),TIME(8,30,0)))
+ (MIN(MOD(AV89,1),TIME(17,30,0))-TIME(8,30,0))
+ (NETWORKDAYS(AS89,AU89)-2)* (TIME(17,30,0)-TIME(8,30,0))
)
)
)</f>
        <v>10.7</v>
      </c>
      <c r="AY89" s="20" t="n">
        <f aca="false">ROUND(
IF(AS89=AU89,
MAX(0,
(MIN(MOD(AV89,1),TIME(17,30,0))-
MAX(MOD(AT89,1),TIME(8,30,0)))*24
),
(
(MAX(0,TIME(17,30,0)-MAX(MOD(AT89,1),TIME(8,30,0)))*24)
+
(MAX(0,MIN(MOD(AV89,1),TIME(17,30,0))-TIME(8,30,0))*24)
+
(MAX(0,NETWORKDAYS(AS89+1,AU89-1))*9)
)
),
2)</f>
        <v>10.7</v>
      </c>
      <c r="AZ89" s="0" t="n">
        <f aca="false" t="array" ref="AZ89:AZ89">_xlfn.XLOOKUP(J89,{"Low","Medium","High"},{270,72,24})</f>
        <v>270</v>
      </c>
      <c r="BA89" s="0" t="str">
        <f aca="false">IF(AW89&gt;AZ89,"Not Met","Met")</f>
        <v>Met</v>
      </c>
      <c r="BB89" s="21" t="str">
        <f aca="false">IF(AS89="","",TEXT(AS89,"MMM")&amp;"'"&amp;TEXT(AS89,"yy"))</f>
        <v>Jan'26</v>
      </c>
      <c r="BC89" s="0" t="str">
        <f aca="false">IF(AU89="","",TEXT(AU89,"MMM")&amp;"'"&amp;TEXT(AU89,"yy"))</f>
        <v>Jan'26</v>
      </c>
    </row>
    <row r="90" customFormat="false" ht="15" hidden="false" customHeight="false" outlineLevel="0" collapsed="false">
      <c r="A90" s="23" t="s">
        <v>404</v>
      </c>
      <c r="B90" s="24" t="n">
        <v>46035</v>
      </c>
      <c r="C90" s="12" t="n">
        <v>0.895138888888889</v>
      </c>
      <c r="D90" s="13" t="str">
        <f aca="false">IF(B90="","",TEXT(B90,"MMM")&amp;"'"&amp;TEXT(B90,"yy"))</f>
        <v>Jan'26</v>
      </c>
      <c r="E90" s="1" t="s">
        <v>55</v>
      </c>
      <c r="F90" s="1" t="s">
        <v>140</v>
      </c>
      <c r="G90" s="46" t="str">
        <f aca="false">IF(F90="Closed","Closed","Pending")</f>
        <v>Pending</v>
      </c>
      <c r="H90" s="23" t="s">
        <v>405</v>
      </c>
      <c r="I90" s="1" t="s">
        <v>401</v>
      </c>
      <c r="J90" s="1" t="s">
        <v>74</v>
      </c>
      <c r="K90" s="1" t="s">
        <v>59</v>
      </c>
      <c r="L90" s="35" t="s">
        <v>406</v>
      </c>
      <c r="M90" s="1" t="s">
        <v>407</v>
      </c>
      <c r="N90" s="1" t="s">
        <v>143</v>
      </c>
      <c r="O90" s="1" t="s">
        <v>143</v>
      </c>
      <c r="Q90" s="1" t="s">
        <v>143</v>
      </c>
      <c r="R90" s="1" t="s">
        <v>87</v>
      </c>
      <c r="U90" s="12" t="n">
        <v>0.902777777777778</v>
      </c>
      <c r="Z90" s="1" t="s">
        <v>67</v>
      </c>
      <c r="AB90" s="2" t="e">
        <f aca="false">U90-G90</f>
        <v>#VALUE!</v>
      </c>
      <c r="AC90" s="14" t="n">
        <f aca="false">(V90+W90)-(B90+C90)</f>
        <v>-46035.8951388889</v>
      </c>
      <c r="AD90" s="4" t="str">
        <f aca="false">INT((V90+W90)-(B90+C90)) &amp; ":" &amp;
TEXT(HOUR((V90+W90)-(B90+C90)), "00") &amp; ":" &amp;
TEXT(MINUTE((V90+W90)-(B90+C90)), "00")</f>
        <v>-46036:02:31</v>
      </c>
      <c r="AE90" s="1" t="n">
        <f aca="false">IFERROR(
LEFT(AD90,FIND(":",AD90)-1)
+ MID(AD90,FIND(":",AD90)+1,2)/24
+ RIGHT(AD90,2)/1440,
"")</f>
        <v>-46035.8951388889</v>
      </c>
      <c r="AF90" s="4" t="str">
        <f aca="false">INT((X90+Y90)-(B90+C90)) &amp; ":" &amp;
TEXT(HOUR((X90+Y90)-(B90+C90)), "00") &amp; ":" &amp;
TEXT(MINUTE((X90+Y90)-(B90+C90)), "00")</f>
        <v>-46036:02:31</v>
      </c>
      <c r="AG90" s="4" t="str">
        <f aca="false" t="array" ref="AG90:AG90">INT(_xlfn.XLOOKUP(J90,{"Low","Medium","High","Urgent"},{48,24,12,8})/24) &amp; ":" &amp;
TEXT(MOD(_xlfn.XLOOKUP(J90,{"Low","Medium","High","Urgent"},{48,24,12,8}),24)/24,"hh:mm")</f>
        <v>2:00:00</v>
      </c>
      <c r="AH90" s="4" t="str">
        <f aca="false">IF(AD90&gt;AG90,"Not Met","Met")</f>
        <v>Met</v>
      </c>
      <c r="AI90" s="4" t="e">
        <f aca="false">IF(AB90&lt;TIME(0,30,0),"Met","Not Met")</f>
        <v>#VALUE!</v>
      </c>
      <c r="AN90" s="1" t="str">
        <f aca="false">TEXT(B90,"dd")</f>
        <v>13</v>
      </c>
      <c r="AO90" s="1" t="str">
        <f aca="false">TEXT(X90,"dd")</f>
        <v>30</v>
      </c>
      <c r="AP90" s="16" t="str">
        <f aca="false">INT(
  NETWORKDAYS(B90,V90)-1
  + IF(WEEKDAY(V90,2)&lt;6,MOD(V90+W90,1),0)
  - IF(WEEKDAY(B90,2)&lt;6,MOD(B90+C90,1),0)
)
&amp; ":" &amp;
TEXT(HOUR(
  NETWORKDAYS(B90,V90)-1
  + IF(WEEKDAY(V90,2)&lt;6,MOD(V90+W90,1),0)
  - IF(WEEKDAY(B90,2)&lt;6,MOD(B90+C90,1),0)
),"00")
&amp; ":" &amp;
TEXT(MINUTE(
  NETWORKDAYS(B90,V90)-1
  + IF(WEEKDAY(V90,2)&lt;6,MOD(V90+W90,1),0)
  - IF(WEEKDAY(B90,2)&lt;6,MOD(B90+C90,1),0)
),"00")</f>
        <v>-32884:02:31</v>
      </c>
      <c r="AQ90" s="0" t="n">
        <f aca="false">IFERROR(
LEFT(AP90,FIND(":",AP90)-1)
+ MID(AP90,FIND(":",AP90)+1,2)/24
+ RIGHT(AP90,2)/1440,
"")</f>
        <v>-32883.8951388889</v>
      </c>
      <c r="AR90" s="0" t="n">
        <f aca="false">WEEKNUM(B90,1)</f>
        <v>3</v>
      </c>
      <c r="AS90" s="17" t="n">
        <f aca="false">IF(B90&gt;0, (B90+C90)-TIME(13,30,0), "")</f>
        <v>46035.3326388889</v>
      </c>
      <c r="AT90" s="18" t="n">
        <f aca="false">IF(B90&gt;0, (B90+C90)-TIME(13,30,0), "")</f>
        <v>46035.3326388889</v>
      </c>
      <c r="AU90" s="17" t="str">
        <f aca="false">IF(V90&gt;0, (V90+W90)-TIME(13,30,0), "")</f>
        <v/>
      </c>
      <c r="AV90" s="18" t="str">
        <f aca="false">IF(V90&gt;0, (V90+W90)-TIME(13,30,0), "")</f>
        <v/>
      </c>
      <c r="AW90" s="19" t="e">
        <f aca="false">24*(
MAX(0,
IF(NETWORKDAYS(AS90,AU90)=1,
MIN(MOD(AV90,1),TIME(17,30,0)) - MAX(MOD(AT90,1),TIME(8,30,0)),
(TIME(17,30,0)-MAX(MOD(AT90,1),TIME(8,30,0)))
+ (MIN(MOD(AV90,1),TIME(17,30,0))-TIME(8,30,0))
+ (NETWORKDAYS(AS90,AU90)-2)*9/24
)
)
)</f>
        <v>#VALUE!</v>
      </c>
      <c r="AX90" s="19" t="e">
        <f aca="false">24*(
MAX(0,
IF(NETWORKDAYS(AS90,AU90)=1,
MIN(MOD(AV90,1),TIME(17,30,0)) - MAX(MOD(AT90,1),TIME(8,30,0)),
(TIME(17,30,0)-MAX(MOD(AT90,1),TIME(8,30,0)))
+ (MIN(MOD(AV90,1),TIME(17,30,0))-TIME(8,30,0))
+ (NETWORKDAYS(AS90,AU90)-2)* (TIME(17,30,0)-TIME(8,30,0))
)
)
)</f>
        <v>#VALUE!</v>
      </c>
      <c r="AY90" s="20" t="e">
        <f aca="false">ROUND(
IF(AS90=AU90,
MAX(0,
(MIN(MOD(AV90,1),TIME(17,30,0))-
MAX(MOD(AT90,1),TIME(8,30,0)))*24
),
(
(MAX(0,TIME(17,30,0)-MAX(MOD(AT90,1),TIME(8,30,0)))*24)
+
(MAX(0,MIN(MOD(AV90,1),TIME(17,30,0))-TIME(8,30,0))*24)
+
(MAX(0,NETWORKDAYS(AS90+1,AU90-1))*9)
)
),
2)</f>
        <v>#VALUE!</v>
      </c>
      <c r="AZ90" s="0" t="n">
        <f aca="false" t="array" ref="AZ90:AZ90">_xlfn.XLOOKUP(J90,{"Low","Medium","High"},{270,72,24})</f>
        <v>270</v>
      </c>
      <c r="BA90" s="0" t="e">
        <f aca="false">IF(AW90&gt;AZ90,"Not Met","Met")</f>
        <v>#VALUE!</v>
      </c>
      <c r="BB90" s="21" t="str">
        <f aca="false">IF(AS90="","",TEXT(AS90,"MMM")&amp;"'"&amp;TEXT(AS90,"yy"))</f>
        <v>Jan'26</v>
      </c>
      <c r="BC90" s="0" t="str">
        <f aca="false">IF(AU90="","",TEXT(AU90,"MMM")&amp;"'"&amp;TEXT(AU90,"yy"))</f>
        <v/>
      </c>
      <c r="BE90" s="0" t="s">
        <v>144</v>
      </c>
    </row>
    <row r="91" customFormat="false" ht="15" hidden="false" customHeight="false" outlineLevel="0" collapsed="false">
      <c r="A91" s="23" t="s">
        <v>408</v>
      </c>
      <c r="B91" s="24" t="n">
        <v>46035</v>
      </c>
      <c r="C91" s="12" t="n">
        <v>0.936805555555556</v>
      </c>
      <c r="D91" s="13" t="str">
        <f aca="false">IF(B91="","",TEXT(B91,"MMM")&amp;"'"&amp;TEXT(B91,"yy"))</f>
        <v>Jan'26</v>
      </c>
      <c r="E91" s="1" t="s">
        <v>55</v>
      </c>
      <c r="F91" s="1" t="s">
        <v>39</v>
      </c>
      <c r="G91" s="46" t="str">
        <f aca="false">IF(F91="Closed","Closed","Pending")</f>
        <v>Closed</v>
      </c>
      <c r="H91" s="23" t="s">
        <v>409</v>
      </c>
      <c r="I91" s="1" t="s">
        <v>410</v>
      </c>
      <c r="J91" s="1" t="s">
        <v>74</v>
      </c>
      <c r="K91" s="1" t="s">
        <v>59</v>
      </c>
      <c r="L91" s="35" t="s">
        <v>411</v>
      </c>
      <c r="M91" s="1" t="s">
        <v>412</v>
      </c>
      <c r="N91" s="1" t="s">
        <v>143</v>
      </c>
      <c r="O91" s="1" t="s">
        <v>143</v>
      </c>
      <c r="Q91" s="1" t="s">
        <v>143</v>
      </c>
      <c r="R91" s="1" t="s">
        <v>87</v>
      </c>
      <c r="U91" s="12" t="n">
        <v>0.950694444444444</v>
      </c>
      <c r="V91" s="11" t="n">
        <v>46036</v>
      </c>
      <c r="W91" s="12" t="n">
        <v>0.952083333333333</v>
      </c>
      <c r="X91" s="11" t="n">
        <v>46036</v>
      </c>
      <c r="Y91" s="12" t="n">
        <v>0.952083333333333</v>
      </c>
      <c r="Z91" s="1" t="s">
        <v>108</v>
      </c>
      <c r="AA91" s="1" t="s">
        <v>68</v>
      </c>
      <c r="AB91" s="2" t="e">
        <f aca="false">U91-G91</f>
        <v>#VALUE!</v>
      </c>
      <c r="AC91" s="14" t="n">
        <f aca="false">(V91+W91)-(B91+C91)</f>
        <v>1.01527777777778</v>
      </c>
      <c r="AD91" s="4" t="str">
        <f aca="false">INT((V91+W91)-(B91+C91)) &amp; ":" &amp;
TEXT(HOUR((V91+W91)-(B91+C91)), "00") &amp; ":" &amp;
TEXT(MINUTE((V91+W91)-(B91+C91)), "00")</f>
        <v>1:00:22</v>
      </c>
      <c r="AE91" s="1" t="n">
        <f aca="false">IFERROR(
LEFT(AD91,FIND(":",AD91)-1)
+ MID(AD91,FIND(":",AD91)+1,2)/24
+ RIGHT(AD91,2)/1440,
"")</f>
        <v>1.01527777777778</v>
      </c>
      <c r="AF91" s="4" t="str">
        <f aca="false">INT((X91+Y91)-(B91+C91)) &amp; ":" &amp;
TEXT(HOUR((X91+Y91)-(B91+C91)), "00") &amp; ":" &amp;
TEXT(MINUTE((X91+Y91)-(B91+C91)), "00")</f>
        <v>1:00:22</v>
      </c>
      <c r="AG91" s="4" t="str">
        <f aca="false" t="array" ref="AG91:AG91">INT(_xlfn.XLOOKUP(J91,{"Low","Medium","High","Urgent"},{48,24,12,8})/24) &amp; ":" &amp;
TEXT(MOD(_xlfn.XLOOKUP(J91,{"Low","Medium","High","Urgent"},{48,24,12,8}),24)/24,"hh:mm")</f>
        <v>2:00:00</v>
      </c>
      <c r="AH91" s="4" t="str">
        <f aca="false">IF(AD91&gt;AG91,"Not Met","Met")</f>
        <v>Met</v>
      </c>
      <c r="AI91" s="4" t="e">
        <f aca="false">IF(AB91&lt;TIME(0,30,0),"Met","Not Met")</f>
        <v>#VALUE!</v>
      </c>
      <c r="AN91" s="1" t="str">
        <f aca="false">TEXT(B91,"dd")</f>
        <v>13</v>
      </c>
      <c r="AO91" s="1" t="str">
        <f aca="false">TEXT(X91,"dd")</f>
        <v>14</v>
      </c>
      <c r="AP91" s="16" t="str">
        <f aca="false">INT(
  NETWORKDAYS(B91,V91)-1
  + IF(WEEKDAY(V91,2)&lt;6,MOD(V91+W91,1),0)
  - IF(WEEKDAY(B91,2)&lt;6,MOD(B91+C91,1),0)
)
&amp; ":" &amp;
TEXT(HOUR(
  NETWORKDAYS(B91,V91)-1
  + IF(WEEKDAY(V91,2)&lt;6,MOD(V91+W91,1),0)
  - IF(WEEKDAY(B91,2)&lt;6,MOD(B91+C91,1),0)
),"00")
&amp; ":" &amp;
TEXT(MINUTE(
  NETWORKDAYS(B91,V91)-1
  + IF(WEEKDAY(V91,2)&lt;6,MOD(V91+W91,1),0)
  - IF(WEEKDAY(B91,2)&lt;6,MOD(B91+C91,1),0)
),"00")</f>
        <v>1:00:21</v>
      </c>
      <c r="AQ91" s="0" t="n">
        <f aca="false">IFERROR(
LEFT(AP91,FIND(":",AP91)-1)
+ MID(AP91,FIND(":",AP91)+1,2)/24
+ RIGHT(AP91,2)/1440,
"")</f>
        <v>1.01458333333333</v>
      </c>
      <c r="AR91" s="0" t="n">
        <f aca="false">WEEKNUM(B91,1)</f>
        <v>3</v>
      </c>
      <c r="AS91" s="17" t="n">
        <f aca="false">IF(B91&gt;0, (B91+C91)-TIME(13,30,0), "")</f>
        <v>46035.3743055556</v>
      </c>
      <c r="AT91" s="18" t="n">
        <f aca="false">IF(B91&gt;0, (B91+C91)-TIME(13,30,0), "")</f>
        <v>46035.3743055556</v>
      </c>
      <c r="AU91" s="17" t="n">
        <f aca="false">IF(V91&gt;0, (V91+W91)-TIME(13,30,0), "")</f>
        <v>46036.3895833333</v>
      </c>
      <c r="AV91" s="18" t="n">
        <f aca="false">IF(V91&gt;0, (V91+W91)-TIME(13,30,0), "")</f>
        <v>46036.3895833333</v>
      </c>
      <c r="AW91" s="19" t="n">
        <f aca="false">24*(
MAX(0,
IF(NETWORKDAYS(AS91,AU91)=1,
MIN(MOD(AV91,1),TIME(17,30,0)) - MAX(MOD(AT91,1),TIME(8,30,0)),
(TIME(17,30,0)-MAX(MOD(AT91,1),TIME(8,30,0)))
+ (MIN(MOD(AV91,1),TIME(17,30,0))-TIME(8,30,0))
+ (NETWORKDAYS(AS91,AU91)-2)*9/24
)
)
)</f>
        <v>9.36666666666667</v>
      </c>
      <c r="AX91" s="19" t="n">
        <f aca="false">24*(
MAX(0,
IF(NETWORKDAYS(AS91,AU91)=1,
MIN(MOD(AV91,1),TIME(17,30,0)) - MAX(MOD(AT91,1),TIME(8,30,0)),
(TIME(17,30,0)-MAX(MOD(AT91,1),TIME(8,30,0)))
+ (MIN(MOD(AV91,1),TIME(17,30,0))-TIME(8,30,0))
+ (NETWORKDAYS(AS91,AU91)-2)* (TIME(17,30,0)-TIME(8,30,0))
)
)
)</f>
        <v>9.36666666666667</v>
      </c>
      <c r="AY91" s="20" t="n">
        <f aca="false">ROUND(
IF(AS91=AU91,
MAX(0,
(MIN(MOD(AV91,1),TIME(17,30,0))-
MAX(MOD(AT91,1),TIME(8,30,0)))*24
),
(
(MAX(0,TIME(17,30,0)-MAX(MOD(AT91,1),TIME(8,30,0)))*24)
+
(MAX(0,MIN(MOD(AV91,1),TIME(17,30,0))-TIME(8,30,0))*24)
+
(MAX(0,NETWORKDAYS(AS91+1,AU91-1))*9)
)
),
2)</f>
        <v>9.37</v>
      </c>
      <c r="AZ91" s="0" t="n">
        <f aca="false" t="array" ref="AZ91:AZ91">_xlfn.XLOOKUP(J91,{"Low","Medium","High"},{270,72,24})</f>
        <v>270</v>
      </c>
      <c r="BA91" s="0" t="str">
        <f aca="false">IF(AW91&gt;AZ91,"Not Met","Met")</f>
        <v>Met</v>
      </c>
      <c r="BB91" s="21" t="str">
        <f aca="false">IF(AS91="","",TEXT(AS91,"MMM")&amp;"'"&amp;TEXT(AS91,"yy"))</f>
        <v>Jan'26</v>
      </c>
      <c r="BC91" s="0" t="str">
        <f aca="false">IF(AU91="","",TEXT(AU91,"MMM")&amp;"'"&amp;TEXT(AU91,"yy"))</f>
        <v>Jan'26</v>
      </c>
    </row>
    <row r="92" customFormat="false" ht="15" hidden="false" customHeight="false" outlineLevel="0" collapsed="false">
      <c r="A92" s="23" t="s">
        <v>413</v>
      </c>
      <c r="B92" s="24" t="n">
        <v>46035</v>
      </c>
      <c r="C92" s="12" t="n">
        <v>0.986111111111111</v>
      </c>
      <c r="D92" s="13" t="str">
        <f aca="false">IF(B92="","",TEXT(B92,"MMM")&amp;"'"&amp;TEXT(B92,"yy"))</f>
        <v>Jan'26</v>
      </c>
      <c r="E92" s="1" t="s">
        <v>55</v>
      </c>
      <c r="F92" s="1" t="s">
        <v>39</v>
      </c>
      <c r="G92" s="46" t="str">
        <f aca="false">IF(F92="Closed","Closed","Pending")</f>
        <v>Closed</v>
      </c>
      <c r="H92" s="23" t="s">
        <v>56</v>
      </c>
      <c r="I92" s="1" t="s">
        <v>414</v>
      </c>
      <c r="J92" s="1" t="s">
        <v>74</v>
      </c>
      <c r="K92" s="1" t="s">
        <v>59</v>
      </c>
      <c r="L92" s="35" t="s">
        <v>415</v>
      </c>
      <c r="M92" s="1" t="s">
        <v>416</v>
      </c>
      <c r="N92" s="1" t="s">
        <v>62</v>
      </c>
      <c r="O92" s="1" t="s">
        <v>63</v>
      </c>
      <c r="Q92" s="1" t="s">
        <v>229</v>
      </c>
      <c r="R92" s="1" t="s">
        <v>66</v>
      </c>
      <c r="U92" s="12" t="n">
        <v>0.992361111111111</v>
      </c>
      <c r="V92" s="11" t="n">
        <v>46036</v>
      </c>
      <c r="W92" s="12" t="n">
        <v>0.9875</v>
      </c>
      <c r="X92" s="11" t="n">
        <v>46042</v>
      </c>
      <c r="Y92" s="12" t="n">
        <v>0.965277777777778</v>
      </c>
      <c r="Z92" s="1" t="s">
        <v>108</v>
      </c>
      <c r="AA92" s="1" t="s">
        <v>68</v>
      </c>
      <c r="AB92" s="2" t="e">
        <f aca="false">U92-G92</f>
        <v>#VALUE!</v>
      </c>
      <c r="AC92" s="14" t="n">
        <f aca="false">(V92+W92)-(B92+C92)</f>
        <v>1.00138888888889</v>
      </c>
      <c r="AD92" s="4" t="str">
        <f aca="false">INT((V92+W92)-(B92+C92)) &amp; ":" &amp;
TEXT(HOUR((V92+W92)-(B92+C92)), "00") &amp; ":" &amp;
TEXT(MINUTE((V92+W92)-(B92+C92)), "00")</f>
        <v>1:00:02</v>
      </c>
      <c r="AE92" s="1" t="n">
        <f aca="false">IFERROR(
LEFT(AD92,FIND(":",AD92)-1)
+ MID(AD92,FIND(":",AD92)+1,2)/24
+ RIGHT(AD92,2)/1440,
"")</f>
        <v>1.00138888888889</v>
      </c>
      <c r="AF92" s="4" t="str">
        <f aca="false">INT((X92+Y92)-(B92+C92)) &amp; ":" &amp;
TEXT(HOUR((X92+Y92)-(B92+C92)), "00") &amp; ":" &amp;
TEXT(MINUTE((X92+Y92)-(B92+C92)), "00")</f>
        <v>6:23:30</v>
      </c>
      <c r="AG92" s="4" t="str">
        <f aca="false" t="array" ref="AG92:AG92">INT(_xlfn.XLOOKUP(J92,{"Low","Medium","High","Urgent"},{48,24,12,8})/24) &amp; ":" &amp;
TEXT(MOD(_xlfn.XLOOKUP(J92,{"Low","Medium","High","Urgent"},{48,24,12,8}),24)/24,"hh:mm")</f>
        <v>2:00:00</v>
      </c>
      <c r="AH92" s="4" t="str">
        <f aca="false">IF(AD92&gt;AG92,"Not Met","Met")</f>
        <v>Met</v>
      </c>
      <c r="AI92" s="4" t="e">
        <f aca="false">IF(AB92&lt;TIME(0,30,0),"Met","Not Met")</f>
        <v>#VALUE!</v>
      </c>
      <c r="AN92" s="1" t="str">
        <f aca="false">TEXT(B92,"dd")</f>
        <v>13</v>
      </c>
      <c r="AO92" s="1" t="str">
        <f aca="false">TEXT(X92,"dd")</f>
        <v>20</v>
      </c>
      <c r="AP92" s="16" t="str">
        <f aca="false">INT(
  NETWORKDAYS(B92,V92)-1
  + IF(WEEKDAY(V92,2)&lt;6,MOD(V92+W92,1),0)
  - IF(WEEKDAY(B92,2)&lt;6,MOD(B92+C92,1),0)
)
&amp; ":" &amp;
TEXT(HOUR(
  NETWORKDAYS(B92,V92)-1
  + IF(WEEKDAY(V92,2)&lt;6,MOD(V92+W92,1),0)
  - IF(WEEKDAY(B92,2)&lt;6,MOD(B92+C92,1),0)
),"00")
&amp; ":" &amp;
TEXT(MINUTE(
  NETWORKDAYS(B92,V92)-1
  + IF(WEEKDAY(V92,2)&lt;6,MOD(V92+W92,1),0)
  - IF(WEEKDAY(B92,2)&lt;6,MOD(B92+C92,1),0)
),"00")</f>
        <v>1:00:02</v>
      </c>
      <c r="AQ92" s="0" t="n">
        <f aca="false">IFERROR(
LEFT(AP92,FIND(":",AP92)-1)
+ MID(AP92,FIND(":",AP92)+1,2)/24
+ RIGHT(AP92,2)/1440,
"")</f>
        <v>1.00138888888889</v>
      </c>
      <c r="AR92" s="0" t="n">
        <f aca="false">WEEKNUM(B92,1)</f>
        <v>3</v>
      </c>
      <c r="AS92" s="17" t="n">
        <f aca="false">IF(B92&gt;0, (B92+C92)-TIME(13,30,0), "")</f>
        <v>46035.4236111111</v>
      </c>
      <c r="AT92" s="18" t="n">
        <f aca="false">IF(B92&gt;0, (B92+C92)-TIME(13,30,0), "")</f>
        <v>46035.4236111111</v>
      </c>
      <c r="AU92" s="17" t="n">
        <f aca="false">IF(V92&gt;0, (V92+W92)-TIME(13,30,0), "")</f>
        <v>46036.425</v>
      </c>
      <c r="AV92" s="18" t="n">
        <f aca="false">IF(V92&gt;0, (V92+W92)-TIME(13,30,0), "")</f>
        <v>46036.425</v>
      </c>
      <c r="AW92" s="19" t="n">
        <f aca="false">24*(
MAX(0,
IF(NETWORKDAYS(AS92,AU92)=1,
MIN(MOD(AV92,1),TIME(17,30,0)) - MAX(MOD(AT92,1),TIME(8,30,0)),
(TIME(17,30,0)-MAX(MOD(AT92,1),TIME(8,30,0)))
+ (MIN(MOD(AV92,1),TIME(17,30,0))-TIME(8,30,0))
+ (NETWORKDAYS(AS92,AU92)-2)*9/24
)
)
)</f>
        <v>9.03333333333333</v>
      </c>
      <c r="AX92" s="19" t="n">
        <f aca="false">24*(
MAX(0,
IF(NETWORKDAYS(AS92,AU92)=1,
MIN(MOD(AV92,1),TIME(17,30,0)) - MAX(MOD(AT92,1),TIME(8,30,0)),
(TIME(17,30,0)-MAX(MOD(AT92,1),TIME(8,30,0)))
+ (MIN(MOD(AV92,1),TIME(17,30,0))-TIME(8,30,0))
+ (NETWORKDAYS(AS92,AU92)-2)* (TIME(17,30,0)-TIME(8,30,0))
)
)
)</f>
        <v>9.03333333333333</v>
      </c>
      <c r="AY92" s="20" t="n">
        <f aca="false">ROUND(
IF(AS92=AU92,
MAX(0,
(MIN(MOD(AV92,1),TIME(17,30,0))-
MAX(MOD(AT92,1),TIME(8,30,0)))*24
),
(
(MAX(0,TIME(17,30,0)-MAX(MOD(AT92,1),TIME(8,30,0)))*24)
+
(MAX(0,MIN(MOD(AV92,1),TIME(17,30,0))-TIME(8,30,0))*24)
+
(MAX(0,NETWORKDAYS(AS92+1,AU92-1))*9)
)
),
2)</f>
        <v>9.03</v>
      </c>
      <c r="AZ92" s="0" t="n">
        <f aca="false" t="array" ref="AZ92:AZ92">_xlfn.XLOOKUP(J92,{"Low","Medium","High"},{270,72,24})</f>
        <v>270</v>
      </c>
      <c r="BA92" s="0" t="str">
        <f aca="false">IF(AW92&gt;AZ92,"Not Met","Met")</f>
        <v>Met</v>
      </c>
      <c r="BB92" s="21" t="str">
        <f aca="false">IF(AS92="","",TEXT(AS92,"MMM")&amp;"'"&amp;TEXT(AS92,"yy"))</f>
        <v>Jan'26</v>
      </c>
      <c r="BC92" s="0" t="str">
        <f aca="false">IF(AU92="","",TEXT(AU92,"MMM")&amp;"'"&amp;TEXT(AU92,"yy"))</f>
        <v>Jan'26</v>
      </c>
    </row>
    <row r="93" customFormat="false" ht="15" hidden="false" customHeight="false" outlineLevel="0" collapsed="false">
      <c r="A93" s="23" t="s">
        <v>417</v>
      </c>
      <c r="B93" s="24" t="n">
        <v>46036</v>
      </c>
      <c r="C93" s="12" t="n">
        <v>0.186805555555556</v>
      </c>
      <c r="D93" s="13" t="str">
        <f aca="false">IF(B93="","",TEXT(B93,"MMM")&amp;"'"&amp;TEXT(B93,"yy"))</f>
        <v>Jan'26</v>
      </c>
      <c r="E93" s="1" t="s">
        <v>55</v>
      </c>
      <c r="F93" s="1" t="s">
        <v>39</v>
      </c>
      <c r="G93" s="46" t="str">
        <f aca="false">IF(F93="Closed","Closed","Pending")</f>
        <v>Closed</v>
      </c>
      <c r="H93" s="23" t="s">
        <v>409</v>
      </c>
      <c r="I93" s="1" t="s">
        <v>410</v>
      </c>
      <c r="J93" s="1" t="s">
        <v>74</v>
      </c>
      <c r="K93" s="1" t="s">
        <v>59</v>
      </c>
      <c r="L93" s="35" t="s">
        <v>418</v>
      </c>
      <c r="M93" s="1" t="s">
        <v>419</v>
      </c>
      <c r="N93" s="1" t="s">
        <v>62</v>
      </c>
      <c r="O93" s="1" t="s">
        <v>63</v>
      </c>
      <c r="Q93" s="1" t="s">
        <v>229</v>
      </c>
      <c r="R93" s="1" t="s">
        <v>79</v>
      </c>
      <c r="U93" s="12" t="n">
        <v>0.189583333333333</v>
      </c>
      <c r="V93" s="11" t="n">
        <v>46036</v>
      </c>
      <c r="W93" s="12" t="n">
        <v>0.989583333333333</v>
      </c>
      <c r="X93" s="11" t="n">
        <v>46036</v>
      </c>
      <c r="Y93" s="12" t="n">
        <v>0.996527777777778</v>
      </c>
      <c r="Z93" s="1" t="s">
        <v>108</v>
      </c>
      <c r="AA93" s="1" t="s">
        <v>68</v>
      </c>
      <c r="AB93" s="2" t="e">
        <f aca="false">U93-G93</f>
        <v>#VALUE!</v>
      </c>
      <c r="AC93" s="14" t="n">
        <f aca="false">(V93+W93)-(B93+C93)</f>
        <v>0.802777777777778</v>
      </c>
      <c r="AD93" s="4" t="str">
        <f aca="false">INT((V93+W93)-(B93+C93)) &amp; ":" &amp;
TEXT(HOUR((V93+W93)-(B93+C93)), "00") &amp; ":" &amp;
TEXT(MINUTE((V93+W93)-(B93+C93)), "00")</f>
        <v>0:19:16</v>
      </c>
      <c r="AE93" s="1" t="n">
        <f aca="false">IFERROR(
LEFT(AD93,FIND(":",AD93)-1)
+ MID(AD93,FIND(":",AD93)+1,2)/24
+ RIGHT(AD93,2)/1440,
"")</f>
        <v>0.802777777777778</v>
      </c>
      <c r="AF93" s="4" t="str">
        <f aca="false">INT((X93+Y93)-(B93+C93)) &amp; ":" &amp;
TEXT(HOUR((X93+Y93)-(B93+C93)), "00") &amp; ":" &amp;
TEXT(MINUTE((X93+Y93)-(B93+C93)), "00")</f>
        <v>0:19:26</v>
      </c>
      <c r="AG93" s="4" t="str">
        <f aca="false" t="array" ref="AG93:AG93">INT(_xlfn.XLOOKUP(J93,{"Low","Medium","High","Urgent"},{48,24,12,8})/24) &amp; ":" &amp;
TEXT(MOD(_xlfn.XLOOKUP(J93,{"Low","Medium","High","Urgent"},{48,24,12,8}),24)/24,"hh:mm")</f>
        <v>2:00:00</v>
      </c>
      <c r="AH93" s="4" t="str">
        <f aca="false">IF(AD93&gt;AG93,"Not Met","Met")</f>
        <v>Met</v>
      </c>
      <c r="AI93" s="4" t="e">
        <f aca="false">IF(AB93&lt;TIME(0,30,0),"Met","Not Met")</f>
        <v>#VALUE!</v>
      </c>
      <c r="AN93" s="1" t="str">
        <f aca="false">TEXT(B93,"dd")</f>
        <v>14</v>
      </c>
      <c r="AO93" s="1" t="str">
        <f aca="false">TEXT(X93,"dd")</f>
        <v>14</v>
      </c>
      <c r="AP93" s="16" t="str">
        <f aca="false">INT(
  NETWORKDAYS(B93,V93)-1
  + IF(WEEKDAY(V93,2)&lt;6,MOD(V93+W93,1),0)
  - IF(WEEKDAY(B93,2)&lt;6,MOD(B93+C93,1),0)
)
&amp; ":" &amp;
TEXT(HOUR(
  NETWORKDAYS(B93,V93)-1
  + IF(WEEKDAY(V93,2)&lt;6,MOD(V93+W93,1),0)
  - IF(WEEKDAY(B93,2)&lt;6,MOD(B93+C93,1),0)
),"00")
&amp; ":" &amp;
TEXT(MINUTE(
  NETWORKDAYS(B93,V93)-1
  + IF(WEEKDAY(V93,2)&lt;6,MOD(V93+W93,1),0)
  - IF(WEEKDAY(B93,2)&lt;6,MOD(B93+C93,1),0)
),"00")</f>
        <v>0:19:16</v>
      </c>
      <c r="AQ93" s="0" t="n">
        <f aca="false">IFERROR(
LEFT(AP93,FIND(":",AP93)-1)
+ MID(AP93,FIND(":",AP93)+1,2)/24
+ RIGHT(AP93,2)/1440,
"")</f>
        <v>0.802777777777778</v>
      </c>
      <c r="AR93" s="0" t="n">
        <f aca="false">WEEKNUM(B93,1)</f>
        <v>3</v>
      </c>
      <c r="AS93" s="17" t="n">
        <f aca="false">IF(B93&gt;0, (B93+C93)-TIME(13,30,0), "")</f>
        <v>46035.6243055556</v>
      </c>
      <c r="AT93" s="18" t="n">
        <f aca="false">IF(B93&gt;0, (B93+C93)-TIME(13,30,0), "")</f>
        <v>46035.6243055556</v>
      </c>
      <c r="AU93" s="17" t="n">
        <f aca="false">IF(V93&gt;0, (V93+W93)-TIME(13,30,0), "")</f>
        <v>46036.4270833333</v>
      </c>
      <c r="AV93" s="18" t="n">
        <f aca="false">IF(V93&gt;0, (V93+W93)-TIME(13,30,0), "")</f>
        <v>46036.4270833333</v>
      </c>
      <c r="AW93" s="19" t="n">
        <f aca="false">24*(
MAX(0,
IF(NETWORKDAYS(AS93,AU93)=1,
MIN(MOD(AV93,1),TIME(17,30,0)) - MAX(MOD(AT93,1),TIME(8,30,0)),
(TIME(17,30,0)-MAX(MOD(AT93,1),TIME(8,30,0)))
+ (MIN(MOD(AV93,1),TIME(17,30,0))-TIME(8,30,0))
+ (NETWORKDAYS(AS93,AU93)-2)*9/24
)
)
)</f>
        <v>4.26666666666667</v>
      </c>
      <c r="AX93" s="19" t="n">
        <f aca="false">24*(
MAX(0,
IF(NETWORKDAYS(AS93,AU93)=1,
MIN(MOD(AV93,1),TIME(17,30,0)) - MAX(MOD(AT93,1),TIME(8,30,0)),
(TIME(17,30,0)-MAX(MOD(AT93,1),TIME(8,30,0)))
+ (MIN(MOD(AV93,1),TIME(17,30,0))-TIME(8,30,0))
+ (NETWORKDAYS(AS93,AU93)-2)* (TIME(17,30,0)-TIME(8,30,0))
)
)
)</f>
        <v>4.26666666666667</v>
      </c>
      <c r="AY93" s="20" t="n">
        <f aca="false">ROUND(
IF(AS93=AU93,
MAX(0,
(MIN(MOD(AV93,1),TIME(17,30,0))-
MAX(MOD(AT93,1),TIME(8,30,0)))*24
),
(
(MAX(0,TIME(17,30,0)-MAX(MOD(AT93,1),TIME(8,30,0)))*24)
+
(MAX(0,MIN(MOD(AV93,1),TIME(17,30,0))-TIME(8,30,0))*24)
+
(MAX(0,NETWORKDAYS(AS93+1,AU93-1))*9)
)
),
2)</f>
        <v>4.27</v>
      </c>
      <c r="AZ93" s="0" t="n">
        <f aca="false" t="array" ref="AZ93:AZ93">_xlfn.XLOOKUP(J93,{"Low","Medium","High"},{270,72,24})</f>
        <v>270</v>
      </c>
      <c r="BA93" s="0" t="str">
        <f aca="false">IF(AW93&gt;AZ93,"Not Met","Met")</f>
        <v>Met</v>
      </c>
      <c r="BB93" s="21" t="str">
        <f aca="false">IF(AS93="","",TEXT(AS93,"MMM")&amp;"'"&amp;TEXT(AS93,"yy"))</f>
        <v>Jan'26</v>
      </c>
      <c r="BC93" s="0" t="str">
        <f aca="false">IF(AU93="","",TEXT(AU93,"MMM")&amp;"'"&amp;TEXT(AU93,"yy"))</f>
        <v>Jan'26</v>
      </c>
    </row>
    <row r="94" customFormat="false" ht="15" hidden="false" customHeight="false" outlineLevel="0" collapsed="false">
      <c r="A94" s="23" t="s">
        <v>420</v>
      </c>
      <c r="B94" s="24" t="n">
        <v>46036</v>
      </c>
      <c r="C94" s="12" t="n">
        <v>0.246527777777778</v>
      </c>
      <c r="D94" s="13" t="str">
        <f aca="false">IF(B94="","",TEXT(B94,"MMM")&amp;"'"&amp;TEXT(B94,"yy"))</f>
        <v>Jan'26</v>
      </c>
      <c r="E94" s="1" t="s">
        <v>55</v>
      </c>
      <c r="F94" s="1" t="s">
        <v>39</v>
      </c>
      <c r="G94" s="46" t="str">
        <f aca="false">IF(F94="Closed","Closed","Pending")</f>
        <v>Closed</v>
      </c>
      <c r="H94" s="1" t="s">
        <v>81</v>
      </c>
      <c r="I94" s="1" t="s">
        <v>82</v>
      </c>
      <c r="J94" s="1" t="s">
        <v>58</v>
      </c>
      <c r="K94" s="1" t="s">
        <v>59</v>
      </c>
      <c r="L94" s="35" t="s">
        <v>421</v>
      </c>
      <c r="M94" s="1" t="s">
        <v>422</v>
      </c>
      <c r="N94" s="1" t="s">
        <v>65</v>
      </c>
      <c r="O94" s="1" t="s">
        <v>106</v>
      </c>
      <c r="Q94" s="1" t="s">
        <v>65</v>
      </c>
      <c r="R94" s="1" t="s">
        <v>66</v>
      </c>
      <c r="U94" s="12" t="n">
        <v>0.898611111111111</v>
      </c>
      <c r="V94" s="11" t="n">
        <v>46037</v>
      </c>
      <c r="W94" s="12" t="n">
        <v>0.967361111111111</v>
      </c>
      <c r="X94" s="11" t="n">
        <v>46038</v>
      </c>
      <c r="Y94" s="12" t="n">
        <v>0.00694444444444444</v>
      </c>
      <c r="Z94" s="1" t="s">
        <v>108</v>
      </c>
      <c r="AA94" s="1" t="s">
        <v>68</v>
      </c>
      <c r="AB94" s="2" t="e">
        <f aca="false">U94-G94</f>
        <v>#VALUE!</v>
      </c>
      <c r="AC94" s="14" t="n">
        <f aca="false">(V94+W94)-(B94+C94)</f>
        <v>1.72083333333333</v>
      </c>
      <c r="AD94" s="4" t="str">
        <f aca="false">INT((V94+W94)-(B94+C94)) &amp; ":" &amp;
TEXT(HOUR((V94+W94)-(B94+C94)), "00") &amp; ":" &amp;
TEXT(MINUTE((V94+W94)-(B94+C94)), "00")</f>
        <v>1:17:18</v>
      </c>
      <c r="AE94" s="1" t="n">
        <f aca="false">IFERROR(
LEFT(AD94,FIND(":",AD94)-1)
+ MID(AD94,FIND(":",AD94)+1,2)/24
+ RIGHT(AD94,2)/1440,
"")</f>
        <v>1.72083333333333</v>
      </c>
      <c r="AF94" s="4" t="str">
        <f aca="false">INT((X94+Y94)-(B94+C94)) &amp; ":" &amp;
TEXT(HOUR((X94+Y94)-(B94+C94)), "00") &amp; ":" &amp;
TEXT(MINUTE((X94+Y94)-(B94+C94)), "00")</f>
        <v>1:18:15</v>
      </c>
      <c r="AG94" s="4" t="str">
        <f aca="false" t="array" ref="AG94:AG94">INT(_xlfn.XLOOKUP(J94,{"Low","Medium","High","Urgent"},{48,24,12,8})/24) &amp; ":" &amp;
TEXT(MOD(_xlfn.XLOOKUP(J94,{"Low","Medium","High","Urgent"},{48,24,12,8}),24)/24,"hh:mm")</f>
        <v>1:00:00</v>
      </c>
      <c r="AH94" s="4" t="str">
        <f aca="false">IF(AD94&gt;AG94,"Not Met","Met")</f>
        <v>Not Met</v>
      </c>
      <c r="AI94" s="4" t="e">
        <f aca="false">IF(AB94&lt;TIME(0,30,0),"Met","Not Met")</f>
        <v>#VALUE!</v>
      </c>
      <c r="AN94" s="1" t="str">
        <f aca="false">TEXT(B94,"dd")</f>
        <v>14</v>
      </c>
      <c r="AO94" s="1" t="str">
        <f aca="false">TEXT(X94,"dd")</f>
        <v>16</v>
      </c>
      <c r="AP94" s="16" t="str">
        <f aca="false">INT(
  NETWORKDAYS(B94,V94)-1
  + IF(WEEKDAY(V94,2)&lt;6,MOD(V94+W94,1),0)
  - IF(WEEKDAY(B94,2)&lt;6,MOD(B94+C94,1),0)
)
&amp; ":" &amp;
TEXT(HOUR(
  NETWORKDAYS(B94,V94)-1
  + IF(WEEKDAY(V94,2)&lt;6,MOD(V94+W94,1),0)
  - IF(WEEKDAY(B94,2)&lt;6,MOD(B94+C94,1),0)
),"00")
&amp; ":" &amp;
TEXT(MINUTE(
  NETWORKDAYS(B94,V94)-1
  + IF(WEEKDAY(V94,2)&lt;6,MOD(V94+W94,1),0)
  - IF(WEEKDAY(B94,2)&lt;6,MOD(B94+C94,1),0)
),"00")</f>
        <v>1:17:17</v>
      </c>
      <c r="AQ94" s="0" t="n">
        <f aca="false">IFERROR(
LEFT(AP94,FIND(":",AP94)-1)
+ MID(AP94,FIND(":",AP94)+1,2)/24
+ RIGHT(AP94,2)/1440,
"")</f>
        <v>1.72013888888889</v>
      </c>
      <c r="AR94" s="0" t="n">
        <f aca="false">WEEKNUM(B94,1)</f>
        <v>3</v>
      </c>
      <c r="AS94" s="17" t="n">
        <f aca="false">IF(B94&gt;0, (B94+C94)-TIME(13,30,0), "")</f>
        <v>46035.6840277778</v>
      </c>
      <c r="AT94" s="18" t="n">
        <f aca="false">IF(B94&gt;0, (B94+C94)-TIME(13,30,0), "")</f>
        <v>46035.6840277778</v>
      </c>
      <c r="AU94" s="17" t="n">
        <f aca="false">IF(V94&gt;0, (V94+W94)-TIME(13,30,0), "")</f>
        <v>46037.4048611111</v>
      </c>
      <c r="AV94" s="18" t="n">
        <f aca="false">IF(V94&gt;0, (V94+W94)-TIME(13,30,0), "")</f>
        <v>46037.4048611111</v>
      </c>
      <c r="AW94" s="19" t="n">
        <f aca="false">24*(
MAX(0,
IF(NETWORKDAYS(AS94,AU94)=1,
MIN(MOD(AV94,1),TIME(17,30,0)) - MAX(MOD(AT94,1),TIME(8,30,0)),
(TIME(17,30,0)-MAX(MOD(AT94,1),TIME(8,30,0)))
+ (MIN(MOD(AV94,1),TIME(17,30,0))-TIME(8,30,0))
+ (NETWORKDAYS(AS94,AU94)-2)*9/24
)
)
)</f>
        <v>11.3</v>
      </c>
      <c r="AX94" s="19" t="n">
        <f aca="false">24*(
MAX(0,
IF(NETWORKDAYS(AS94,AU94)=1,
MIN(MOD(AV94,1),TIME(17,30,0)) - MAX(MOD(AT94,1),TIME(8,30,0)),
(TIME(17,30,0)-MAX(MOD(AT94,1),TIME(8,30,0)))
+ (MIN(MOD(AV94,1),TIME(17,30,0))-TIME(8,30,0))
+ (NETWORKDAYS(AS94,AU94)-2)* (TIME(17,30,0)-TIME(8,30,0))
)
)
)</f>
        <v>11.3</v>
      </c>
      <c r="AY94" s="20" t="n">
        <f aca="false">ROUND(
IF(AS94=AU94,
MAX(0,
(MIN(MOD(AV94,1),TIME(17,30,0))-
MAX(MOD(AT94,1),TIME(8,30,0)))*24
),
(
(MAX(0,TIME(17,30,0)-MAX(MOD(AT94,1),TIME(8,30,0)))*24)
+
(MAX(0,MIN(MOD(AV94,1),TIME(17,30,0))-TIME(8,30,0))*24)
+
(MAX(0,NETWORKDAYS(AS94+1,AU94-1))*9)
)
),
2)</f>
        <v>11.3</v>
      </c>
      <c r="AZ94" s="0" t="n">
        <f aca="false" t="array" ref="AZ94:AZ94">_xlfn.XLOOKUP(J94,{"Low","Medium","High"},{270,72,24})</f>
        <v>72</v>
      </c>
      <c r="BA94" s="0" t="str">
        <f aca="false">IF(AW94&gt;AZ94,"Not Met","Met")</f>
        <v>Met</v>
      </c>
      <c r="BB94" s="21" t="str">
        <f aca="false">IF(AS94="","",TEXT(AS94,"MMM")&amp;"'"&amp;TEXT(AS94,"yy"))</f>
        <v>Jan'26</v>
      </c>
      <c r="BC94" s="0" t="str">
        <f aca="false">IF(AU94="","",TEXT(AU94,"MMM")&amp;"'"&amp;TEXT(AU94,"yy"))</f>
        <v>Jan'26</v>
      </c>
    </row>
    <row r="95" customFormat="false" ht="15" hidden="false" customHeight="false" outlineLevel="0" collapsed="false">
      <c r="A95" s="23" t="s">
        <v>423</v>
      </c>
      <c r="B95" s="24" t="n">
        <v>46036</v>
      </c>
      <c r="C95" s="12" t="n">
        <v>0.9625</v>
      </c>
      <c r="D95" s="13" t="str">
        <f aca="false">IF(B95="","",TEXT(B95,"MMM")&amp;"'"&amp;TEXT(B95,"yy"))</f>
        <v>Jan'26</v>
      </c>
      <c r="E95" s="1" t="s">
        <v>55</v>
      </c>
      <c r="F95" s="1" t="s">
        <v>39</v>
      </c>
      <c r="G95" s="1" t="str">
        <f aca="false">IF(F95="Closed","Closed","Pending")</f>
        <v>Closed</v>
      </c>
      <c r="H95" s="23" t="s">
        <v>120</v>
      </c>
      <c r="I95" s="1" t="s">
        <v>121</v>
      </c>
      <c r="J95" s="1" t="s">
        <v>74</v>
      </c>
      <c r="K95" s="1" t="s">
        <v>59</v>
      </c>
      <c r="L95" s="23" t="s">
        <v>424</v>
      </c>
      <c r="M95" s="23" t="s">
        <v>425</v>
      </c>
      <c r="N95" s="1" t="s">
        <v>65</v>
      </c>
      <c r="O95" s="1" t="s">
        <v>106</v>
      </c>
      <c r="Q95" s="1" t="s">
        <v>65</v>
      </c>
      <c r="R95" s="23" t="s">
        <v>426</v>
      </c>
      <c r="U95" s="12" t="n">
        <v>0.999305555555556</v>
      </c>
      <c r="V95" s="11" t="n">
        <v>46041</v>
      </c>
      <c r="W95" s="12" t="n">
        <v>0.928472222222222</v>
      </c>
      <c r="X95" s="11" t="n">
        <v>46044</v>
      </c>
      <c r="Y95" s="12" t="n">
        <v>0.0236111111111111</v>
      </c>
      <c r="Z95" s="1" t="s">
        <v>108</v>
      </c>
      <c r="AA95" s="1" t="s">
        <v>68</v>
      </c>
      <c r="AB95" s="2" t="e">
        <f aca="false">U95-G95</f>
        <v>#VALUE!</v>
      </c>
      <c r="AC95" s="14" t="n">
        <f aca="false">(V95+W95)-(B95+C95)</f>
        <v>4.96597222222222</v>
      </c>
      <c r="AD95" s="4" t="str">
        <f aca="false">INT((V95+W95)-(B95+C95)) &amp; ":" &amp;
TEXT(HOUR((V95+W95)-(B95+C95)), "00") &amp; ":" &amp;
TEXT(MINUTE((V95+W95)-(B95+C95)), "00")</f>
        <v>4:23:11</v>
      </c>
      <c r="AE95" s="1" t="n">
        <f aca="false">IFERROR(
LEFT(AD95,FIND(":",AD95)-1)
+ MID(AD95,FIND(":",AD95)+1,2)/24
+ RIGHT(AD95,2)/1440,
"")</f>
        <v>4.96597222222222</v>
      </c>
      <c r="AF95" s="4" t="str">
        <f aca="false">INT((X95+Y95)-(B95+C95)) &amp; ":" &amp;
TEXT(HOUR((X95+Y95)-(B95+C95)), "00") &amp; ":" &amp;
TEXT(MINUTE((X95+Y95)-(B95+C95)), "00")</f>
        <v>7:01:28</v>
      </c>
      <c r="AG95" s="4" t="str">
        <f aca="false" t="array" ref="AG95:AG95">INT(_xlfn.XLOOKUP(J95,{"Low","Medium","High","Urgent"},{48,24,12,8})/24) &amp; ":" &amp;
TEXT(MOD(_xlfn.XLOOKUP(J95,{"Low","Medium","High","Urgent"},{48,24,12,8}),24)/24,"hh:mm")</f>
        <v>2:00:00</v>
      </c>
      <c r="AH95" s="4" t="str">
        <f aca="false">IF(AD95&gt;AG95,"Not Met","Met")</f>
        <v>Not Met</v>
      </c>
      <c r="AI95" s="4" t="e">
        <f aca="false">IF(AB95&lt;TIME(0,30,0),"Met","Not Met")</f>
        <v>#VALUE!</v>
      </c>
      <c r="AN95" s="1" t="str">
        <f aca="false">TEXT(B95,"dd")</f>
        <v>14</v>
      </c>
      <c r="AO95" s="1" t="str">
        <f aca="false">TEXT(X95,"dd")</f>
        <v>22</v>
      </c>
      <c r="AP95" s="16" t="str">
        <f aca="false">INT(
  NETWORKDAYS(B95,V95)-1
  + IF(WEEKDAY(V95,2)&lt;6,MOD(V95+W95,1),0)
  - IF(WEEKDAY(B95,2)&lt;6,MOD(B95+C95,1),0)
)
&amp; ":" &amp;
TEXT(HOUR(
  NETWORKDAYS(B95,V95)-1
  + IF(WEEKDAY(V95,2)&lt;6,MOD(V95+W95,1),0)
  - IF(WEEKDAY(B95,2)&lt;6,MOD(B95+C95,1),0)
),"00")
&amp; ":" &amp;
TEXT(MINUTE(
  NETWORKDAYS(B95,V95)-1
  + IF(WEEKDAY(V95,2)&lt;6,MOD(V95+W95,1),0)
  - IF(WEEKDAY(B95,2)&lt;6,MOD(B95+C95,1),0)
),"00")</f>
        <v>2:23:10</v>
      </c>
      <c r="AQ95" s="0" t="n">
        <f aca="false">IFERROR(
LEFT(AP95,FIND(":",AP95)-1)
+ MID(AP95,FIND(":",AP95)+1,2)/24
+ RIGHT(AP95,2)/1440,
"")</f>
        <v>2.96527777777778</v>
      </c>
      <c r="AR95" s="0" t="n">
        <f aca="false">WEEKNUM(B95,1)</f>
        <v>3</v>
      </c>
      <c r="AS95" s="17" t="n">
        <f aca="false">IF(B95&gt;0, (B95+C95)-TIME(13,30,0), "")</f>
        <v>46036.4</v>
      </c>
      <c r="AT95" s="18" t="n">
        <f aca="false">IF(B95&gt;0, (B95+C95)-TIME(13,30,0), "")</f>
        <v>46036.4</v>
      </c>
      <c r="AU95" s="17" t="n">
        <f aca="false">IF(V95&gt;0, (V95+W95)-TIME(13,30,0), "")</f>
        <v>46041.3659722222</v>
      </c>
      <c r="AV95" s="18" t="n">
        <f aca="false">IF(V95&gt;0, (V95+W95)-TIME(13,30,0), "")</f>
        <v>46041.3659722222</v>
      </c>
      <c r="AW95" s="19" t="n">
        <f aca="false">24*(
MAX(0,
IF(NETWORKDAYS(AS95,AU95)=1,
MIN(MOD(AV95,1),TIME(17,30,0)) - MAX(MOD(AT95,1),TIME(8,30,0)),
(TIME(17,30,0)-MAX(MOD(AT95,1),TIME(8,30,0)))
+ (MIN(MOD(AV95,1),TIME(17,30,0))-TIME(8,30,0))
+ (NETWORKDAYS(AS95,AU95)-2)*9/24
)
)
)</f>
        <v>26.1833333333333</v>
      </c>
      <c r="AX95" s="19" t="n">
        <f aca="false">24*(
MAX(0,
IF(NETWORKDAYS(AS95,AU95)=1,
MIN(MOD(AV95,1),TIME(17,30,0)) - MAX(MOD(AT95,1),TIME(8,30,0)),
(TIME(17,30,0)-MAX(MOD(AT95,1),TIME(8,30,0)))
+ (MIN(MOD(AV95,1),TIME(17,30,0))-TIME(8,30,0))
+ (NETWORKDAYS(AS95,AU95)-2)* (TIME(17,30,0)-TIME(8,30,0))
)
)
)</f>
        <v>26.1833333333333</v>
      </c>
      <c r="AY95" s="20" t="n">
        <f aca="false">ROUND(
IF(AS95=AU95,
MAX(0,
(MIN(MOD(AV95,1),TIME(17,30,0))-
MAX(MOD(AT95,1),TIME(8,30,0)))*24
),
(
(MAX(0,TIME(17,30,0)-MAX(MOD(AT95,1),TIME(8,30,0)))*24)
+
(MAX(0,MIN(MOD(AV95,1),TIME(17,30,0))-TIME(8,30,0))*24)
+
(MAX(0,NETWORKDAYS(AS95+1,AU95-1))*9)
)
),
2)</f>
        <v>26.18</v>
      </c>
      <c r="AZ95" s="0" t="n">
        <f aca="false" t="array" ref="AZ95:AZ95">_xlfn.XLOOKUP(J95,{"Low","Medium","High"},{270,72,24})</f>
        <v>270</v>
      </c>
      <c r="BA95" s="0" t="str">
        <f aca="false">IF(AW95&gt;AZ95,"Not Met","Met")</f>
        <v>Met</v>
      </c>
      <c r="BB95" s="21" t="str">
        <f aca="false">IF(AS95="","",TEXT(AS95,"MMM")&amp;"'"&amp;TEXT(AS95,"yy"))</f>
        <v>Jan'26</v>
      </c>
      <c r="BC95" s="0" t="str">
        <f aca="false">IF(AU95="","",TEXT(AU95,"MMM")&amp;"'"&amp;TEXT(AU95,"yy"))</f>
        <v>Jan'26</v>
      </c>
    </row>
    <row r="96" customFormat="false" ht="15" hidden="false" customHeight="false" outlineLevel="0" collapsed="false">
      <c r="A96" s="23" t="s">
        <v>427</v>
      </c>
      <c r="B96" s="24" t="n">
        <v>46037</v>
      </c>
      <c r="C96" s="12" t="n">
        <v>0.05625</v>
      </c>
      <c r="D96" s="13" t="str">
        <f aca="false">IF(B96="","",TEXT(B96,"MMM")&amp;"'"&amp;TEXT(B96,"yy"))</f>
        <v>Jan'26</v>
      </c>
      <c r="E96" s="1" t="s">
        <v>55</v>
      </c>
      <c r="F96" s="1" t="s">
        <v>39</v>
      </c>
      <c r="G96" s="1" t="str">
        <f aca="false">IF(F96="Closed","Closed","Pending")</f>
        <v>Closed</v>
      </c>
      <c r="H96" s="23" t="s">
        <v>56</v>
      </c>
      <c r="I96" s="1" t="s">
        <v>82</v>
      </c>
      <c r="J96" s="1" t="s">
        <v>74</v>
      </c>
      <c r="K96" s="1" t="s">
        <v>59</v>
      </c>
      <c r="L96" s="23" t="s">
        <v>428</v>
      </c>
      <c r="M96" s="23" t="s">
        <v>429</v>
      </c>
      <c r="N96" s="1" t="s">
        <v>65</v>
      </c>
      <c r="O96" s="1" t="s">
        <v>106</v>
      </c>
      <c r="Q96" s="1" t="s">
        <v>65</v>
      </c>
      <c r="R96" s="23" t="s">
        <v>426</v>
      </c>
      <c r="U96" s="12" t="n">
        <v>0.0756944444444444</v>
      </c>
      <c r="V96" s="11" t="n">
        <v>46037</v>
      </c>
      <c r="W96" s="12" t="n">
        <v>0.970138888888889</v>
      </c>
      <c r="X96" s="11" t="n">
        <v>46038</v>
      </c>
      <c r="Y96" s="12" t="n">
        <v>0.0111111111111111</v>
      </c>
      <c r="Z96" s="1" t="s">
        <v>108</v>
      </c>
      <c r="AA96" s="1" t="s">
        <v>68</v>
      </c>
      <c r="AB96" s="2" t="e">
        <f aca="false">U96-G96</f>
        <v>#VALUE!</v>
      </c>
      <c r="AC96" s="14" t="n">
        <f aca="false">(V96+W96)-(B96+C96)</f>
        <v>0.913888888888889</v>
      </c>
      <c r="AD96" s="4" t="str">
        <f aca="false">INT((V96+W96)-(B96+C96)) &amp; ":" &amp;
TEXT(HOUR((V96+W96)-(B96+C96)), "00") &amp; ":" &amp;
TEXT(MINUTE((V96+W96)-(B96+C96)), "00")</f>
        <v>0:21:56</v>
      </c>
      <c r="AE96" s="1" t="n">
        <f aca="false">IFERROR(
LEFT(AD96,FIND(":",AD96)-1)
+ MID(AD96,FIND(":",AD96)+1,2)/24
+ RIGHT(AD96,2)/1440,
"")</f>
        <v>0.913888888888889</v>
      </c>
      <c r="AF96" s="4" t="str">
        <f aca="false">INT((X96+Y96)-(B96+C96)) &amp; ":" &amp;
TEXT(HOUR((X96+Y96)-(B96+C96)), "00") &amp; ":" &amp;
TEXT(MINUTE((X96+Y96)-(B96+C96)), "00")</f>
        <v>0:22:55</v>
      </c>
      <c r="AG96" s="4" t="str">
        <f aca="false" t="array" ref="AG96:AG96">INT(_xlfn.XLOOKUP(J96,{"Low","Medium","High","Urgent"},{48,24,12,8})/24) &amp; ":" &amp;
TEXT(MOD(_xlfn.XLOOKUP(J96,{"Low","Medium","High","Urgent"},{48,24,12,8}),24)/24,"hh:mm")</f>
        <v>2:00:00</v>
      </c>
      <c r="AH96" s="4" t="str">
        <f aca="false">IF(AD96&gt;AG96,"Not Met","Met")</f>
        <v>Met</v>
      </c>
      <c r="AI96" s="4" t="e">
        <f aca="false">IF(AB96&lt;TIME(0,30,0),"Met","Not Met")</f>
        <v>#VALUE!</v>
      </c>
      <c r="AN96" s="1" t="str">
        <f aca="false">TEXT(B96,"dd")</f>
        <v>15</v>
      </c>
      <c r="AO96" s="1" t="str">
        <f aca="false">TEXT(X96,"dd")</f>
        <v>16</v>
      </c>
      <c r="AP96" s="16" t="str">
        <f aca="false">INT(
  NETWORKDAYS(B96,V96)-1
  + IF(WEEKDAY(V96,2)&lt;6,MOD(V96+W96,1),0)
  - IF(WEEKDAY(B96,2)&lt;6,MOD(B96+C96,1),0)
)
&amp; ":" &amp;
TEXT(HOUR(
  NETWORKDAYS(B96,V96)-1
  + IF(WEEKDAY(V96,2)&lt;6,MOD(V96+W96,1),0)
  - IF(WEEKDAY(B96,2)&lt;6,MOD(B96+C96,1),0)
),"00")
&amp; ":" &amp;
TEXT(MINUTE(
  NETWORKDAYS(B96,V96)-1
  + IF(WEEKDAY(V96,2)&lt;6,MOD(V96+W96,1),0)
  - IF(WEEKDAY(B96,2)&lt;6,MOD(B96+C96,1),0)
),"00")</f>
        <v>0:21:55</v>
      </c>
      <c r="AQ96" s="0" t="n">
        <f aca="false">IFERROR(
LEFT(AP96,FIND(":",AP96)-1)
+ MID(AP96,FIND(":",AP96)+1,2)/24
+ RIGHT(AP96,2)/1440,
"")</f>
        <v>0.913194444444444</v>
      </c>
      <c r="AR96" s="0" t="n">
        <f aca="false">WEEKNUM(B96,1)</f>
        <v>3</v>
      </c>
      <c r="AS96" s="17" t="n">
        <f aca="false">IF(B96&gt;0, (B96+C96)-TIME(13,30,0), "")</f>
        <v>46036.49375</v>
      </c>
      <c r="AT96" s="18" t="n">
        <f aca="false">IF(B96&gt;0, (B96+C96)-TIME(13,30,0), "")</f>
        <v>46036.49375</v>
      </c>
      <c r="AU96" s="17" t="n">
        <f aca="false">IF(V96&gt;0, (V96+W96)-TIME(13,30,0), "")</f>
        <v>46037.4076388889</v>
      </c>
      <c r="AV96" s="18" t="n">
        <f aca="false">IF(V96&gt;0, (V96+W96)-TIME(13,30,0), "")</f>
        <v>46037.4076388889</v>
      </c>
      <c r="AW96" s="19" t="n">
        <f aca="false">24*(
MAX(0,
IF(NETWORKDAYS(AS96,AU96)=1,
MIN(MOD(AV96,1),TIME(17,30,0)) - MAX(MOD(AT96,1),TIME(8,30,0)),
(TIME(17,30,0)-MAX(MOD(AT96,1),TIME(8,30,0)))
+ (MIN(MOD(AV96,1),TIME(17,30,0))-TIME(8,30,0))
+ (NETWORKDAYS(AS96,AU96)-2)*9/24
)
)
)</f>
        <v>6.93333333333333</v>
      </c>
      <c r="AX96" s="19" t="n">
        <f aca="false">24*(
MAX(0,
IF(NETWORKDAYS(AS96,AU96)=1,
MIN(MOD(AV96,1),TIME(17,30,0)) - MAX(MOD(AT96,1),TIME(8,30,0)),
(TIME(17,30,0)-MAX(MOD(AT96,1),TIME(8,30,0)))
+ (MIN(MOD(AV96,1),TIME(17,30,0))-TIME(8,30,0))
+ (NETWORKDAYS(AS96,AU96)-2)* (TIME(17,30,0)-TIME(8,30,0))
)
)
)</f>
        <v>6.93333333333333</v>
      </c>
      <c r="AY96" s="20" t="n">
        <f aca="false">ROUND(
IF(AS96=AU96,
MAX(0,
(MIN(MOD(AV96,1),TIME(17,30,0))-
MAX(MOD(AT96,1),TIME(8,30,0)))*24
),
(
(MAX(0,TIME(17,30,0)-MAX(MOD(AT96,1),TIME(8,30,0)))*24)
+
(MAX(0,MIN(MOD(AV96,1),TIME(17,30,0))-TIME(8,30,0))*24)
+
(MAX(0,NETWORKDAYS(AS96+1,AU96-1))*9)
)
),
2)</f>
        <v>6.93</v>
      </c>
      <c r="AZ96" s="0" t="n">
        <f aca="false" t="array" ref="AZ96:AZ96">_xlfn.XLOOKUP(J96,{"Low","Medium","High"},{270,72,24})</f>
        <v>270</v>
      </c>
      <c r="BA96" s="0" t="str">
        <f aca="false">IF(AW96&gt;AZ96,"Not Met","Met")</f>
        <v>Met</v>
      </c>
      <c r="BB96" s="21" t="str">
        <f aca="false">IF(AS96="","",TEXT(AS96,"MMM")&amp;"'"&amp;TEXT(AS96,"yy"))</f>
        <v>Jan'26</v>
      </c>
      <c r="BC96" s="0" t="str">
        <f aca="false">IF(AU96="","",TEXT(AU96,"MMM")&amp;"'"&amp;TEXT(AU96,"yy"))</f>
        <v>Jan'26</v>
      </c>
    </row>
    <row r="97" customFormat="false" ht="15" hidden="false" customHeight="false" outlineLevel="0" collapsed="false">
      <c r="A97" s="23" t="s">
        <v>430</v>
      </c>
      <c r="B97" s="24" t="n">
        <v>46037</v>
      </c>
      <c r="C97" s="12" t="n">
        <v>0.21875</v>
      </c>
      <c r="D97" s="13" t="str">
        <f aca="false">IF(B97="","",TEXT(B97,"MMM")&amp;"'"&amp;TEXT(B97,"yy"))</f>
        <v>Jan'26</v>
      </c>
      <c r="E97" s="1" t="s">
        <v>55</v>
      </c>
      <c r="F97" s="1" t="s">
        <v>39</v>
      </c>
      <c r="G97" s="1" t="str">
        <f aca="false">IF(F97="Closed","Closed","Pending")</f>
        <v>Closed</v>
      </c>
      <c r="H97" s="1" t="s">
        <v>81</v>
      </c>
      <c r="I97" s="1" t="s">
        <v>82</v>
      </c>
      <c r="J97" s="1" t="s">
        <v>58</v>
      </c>
      <c r="K97" s="1" t="s">
        <v>59</v>
      </c>
      <c r="L97" s="23" t="s">
        <v>431</v>
      </c>
      <c r="M97" s="23" t="s">
        <v>429</v>
      </c>
      <c r="N97" s="1" t="s">
        <v>65</v>
      </c>
      <c r="O97" s="1" t="s">
        <v>106</v>
      </c>
      <c r="Q97" s="1" t="s">
        <v>65</v>
      </c>
      <c r="R97" s="23" t="s">
        <v>426</v>
      </c>
      <c r="U97" s="12" t="n">
        <v>0.951388888888889</v>
      </c>
      <c r="V97" s="11" t="n">
        <v>46037</v>
      </c>
      <c r="W97" s="12" t="n">
        <v>0.951388888888889</v>
      </c>
      <c r="X97" s="11" t="n">
        <v>46037</v>
      </c>
      <c r="Y97" s="12" t="n">
        <v>0.964583333333333</v>
      </c>
      <c r="Z97" s="1" t="s">
        <v>108</v>
      </c>
      <c r="AA97" s="1" t="s">
        <v>68</v>
      </c>
      <c r="AB97" s="2" t="e">
        <f aca="false">U97-G97</f>
        <v>#VALUE!</v>
      </c>
      <c r="AC97" s="14" t="n">
        <f aca="false">(V97+W97)-(B97+C97)</f>
        <v>0.732638888888889</v>
      </c>
      <c r="AD97" s="4" t="str">
        <f aca="false">INT((V97+W97)-(B97+C97)) &amp; ":" &amp;
TEXT(HOUR((V97+W97)-(B97+C97)), "00") &amp; ":" &amp;
TEXT(MINUTE((V97+W97)-(B97+C97)), "00")</f>
        <v>0:17:35</v>
      </c>
      <c r="AE97" s="1" t="n">
        <f aca="false">IFERROR(
LEFT(AD97,FIND(":",AD97)-1)
+ MID(AD97,FIND(":",AD97)+1,2)/24
+ RIGHT(AD97,2)/1440,
"")</f>
        <v>0.732638888888889</v>
      </c>
      <c r="AF97" s="4" t="str">
        <f aca="false">INT((X97+Y97)-(B97+C97)) &amp; ":" &amp;
TEXT(HOUR((X97+Y97)-(B97+C97)), "00") &amp; ":" &amp;
TEXT(MINUTE((X97+Y97)-(B97+C97)), "00")</f>
        <v>0:17:54</v>
      </c>
      <c r="AG97" s="4" t="str">
        <f aca="false" t="array" ref="AG97:AG97">INT(_xlfn.XLOOKUP(J97,{"Low","Medium","High","Urgent"},{48,24,12,8})/24) &amp; ":" &amp;
TEXT(MOD(_xlfn.XLOOKUP(J97,{"Low","Medium","High","Urgent"},{48,24,12,8}),24)/24,"hh:mm")</f>
        <v>1:00:00</v>
      </c>
      <c r="AH97" s="4" t="str">
        <f aca="false">IF(AD97&gt;AG97,"Not Met","Met")</f>
        <v>Met</v>
      </c>
      <c r="AI97" s="4" t="e">
        <f aca="false">IF(AB97&lt;TIME(0,30,0),"Met","Not Met")</f>
        <v>#VALUE!</v>
      </c>
      <c r="AN97" s="1" t="str">
        <f aca="false">TEXT(B97,"dd")</f>
        <v>15</v>
      </c>
      <c r="AO97" s="1" t="str">
        <f aca="false">TEXT(X97,"dd")</f>
        <v>15</v>
      </c>
      <c r="AP97" s="16" t="str">
        <f aca="false">INT(
  NETWORKDAYS(B97,V97)-1
  + IF(WEEKDAY(V97,2)&lt;6,MOD(V97+W97,1),0)
  - IF(WEEKDAY(B97,2)&lt;6,MOD(B97+C97,1),0)
)
&amp; ":" &amp;
TEXT(HOUR(
  NETWORKDAYS(B97,V97)-1
  + IF(WEEKDAY(V97,2)&lt;6,MOD(V97+W97,1),0)
  - IF(WEEKDAY(B97,2)&lt;6,MOD(B97+C97,1),0)
),"00")
&amp; ":" &amp;
TEXT(MINUTE(
  NETWORKDAYS(B97,V97)-1
  + IF(WEEKDAY(V97,2)&lt;6,MOD(V97+W97,1),0)
  - IF(WEEKDAY(B97,2)&lt;6,MOD(B97+C97,1),0)
),"00")</f>
        <v>0:17:35</v>
      </c>
      <c r="AQ97" s="0" t="n">
        <f aca="false">IFERROR(
LEFT(AP97,FIND(":",AP97)-1)
+ MID(AP97,FIND(":",AP97)+1,2)/24
+ RIGHT(AP97,2)/1440,
"")</f>
        <v>0.732638888888889</v>
      </c>
      <c r="AR97" s="0" t="n">
        <f aca="false">WEEKNUM(B97,1)</f>
        <v>3</v>
      </c>
      <c r="AS97" s="17" t="n">
        <f aca="false">IF(B97&gt;0, (B97+C97)-TIME(13,30,0), "")</f>
        <v>46036.65625</v>
      </c>
      <c r="AT97" s="18" t="n">
        <f aca="false">IF(B97&gt;0, (B97+C97)-TIME(13,30,0), "")</f>
        <v>46036.65625</v>
      </c>
      <c r="AU97" s="17" t="n">
        <f aca="false">IF(V97&gt;0, (V97+W97)-TIME(13,30,0), "")</f>
        <v>46037.3888888889</v>
      </c>
      <c r="AV97" s="18" t="n">
        <f aca="false">IF(V97&gt;0, (V97+W97)-TIME(13,30,0), "")</f>
        <v>46037.3888888889</v>
      </c>
      <c r="AW97" s="19" t="n">
        <f aca="false">24*(
MAX(0,
IF(NETWORKDAYS(AS97,AU97)=1,
MIN(MOD(AV97,1),TIME(17,30,0)) - MAX(MOD(AT97,1),TIME(8,30,0)),
(TIME(17,30,0)-MAX(MOD(AT97,1),TIME(8,30,0)))
+ (MIN(MOD(AV97,1),TIME(17,30,0))-TIME(8,30,0))
+ (NETWORKDAYS(AS97,AU97)-2)*9/24
)
)
)</f>
        <v>2.58333333333333</v>
      </c>
      <c r="AX97" s="19" t="n">
        <f aca="false">24*(
MAX(0,
IF(NETWORKDAYS(AS97,AU97)=1,
MIN(MOD(AV97,1),TIME(17,30,0)) - MAX(MOD(AT97,1),TIME(8,30,0)),
(TIME(17,30,0)-MAX(MOD(AT97,1),TIME(8,30,0)))
+ (MIN(MOD(AV97,1),TIME(17,30,0))-TIME(8,30,0))
+ (NETWORKDAYS(AS97,AU97)-2)* (TIME(17,30,0)-TIME(8,30,0))
)
)
)</f>
        <v>2.58333333333333</v>
      </c>
      <c r="AY97" s="20" t="n">
        <f aca="false">ROUND(
IF(AS97=AU97,
MAX(0,
(MIN(MOD(AV97,1),TIME(17,30,0))-
MAX(MOD(AT97,1),TIME(8,30,0)))*24
),
(
(MAX(0,TIME(17,30,0)-MAX(MOD(AT97,1),TIME(8,30,0)))*24)
+
(MAX(0,MIN(MOD(AV97,1),TIME(17,30,0))-TIME(8,30,0))*24)
+
(MAX(0,NETWORKDAYS(AS97+1,AU97-1))*9)
)
),
2)</f>
        <v>2.58</v>
      </c>
      <c r="AZ97" s="0" t="n">
        <f aca="false" t="array" ref="AZ97:AZ97">_xlfn.XLOOKUP(J97,{"Low","Medium","High"},{270,72,24})</f>
        <v>72</v>
      </c>
      <c r="BA97" s="0" t="str">
        <f aca="false">IF(AW97&gt;AZ97,"Not Met","Met")</f>
        <v>Met</v>
      </c>
      <c r="BB97" s="21" t="str">
        <f aca="false">IF(AS97="","",TEXT(AS97,"MMM")&amp;"'"&amp;TEXT(AS97,"yy"))</f>
        <v>Jan'26</v>
      </c>
      <c r="BC97" s="0" t="str">
        <f aca="false">IF(AU97="","",TEXT(AU97,"MMM")&amp;"'"&amp;TEXT(AU97,"yy"))</f>
        <v>Jan'26</v>
      </c>
    </row>
    <row r="98" customFormat="false" ht="15" hidden="false" customHeight="false" outlineLevel="0" collapsed="false">
      <c r="A98" s="23" t="s">
        <v>432</v>
      </c>
      <c r="B98" s="24" t="n">
        <v>46037</v>
      </c>
      <c r="C98" s="12" t="n">
        <v>0.271527777777778</v>
      </c>
      <c r="D98" s="13" t="str">
        <f aca="false">IF(B98="","",TEXT(B98,"MMM")&amp;"'"&amp;TEXT(B98,"yy"))</f>
        <v>Jan'26</v>
      </c>
      <c r="E98" s="1" t="s">
        <v>55</v>
      </c>
      <c r="F98" s="1" t="s">
        <v>39</v>
      </c>
      <c r="G98" s="1" t="str">
        <f aca="false">IF(F98="Closed","Closed","Pending")</f>
        <v>Closed</v>
      </c>
      <c r="H98" s="23" t="s">
        <v>56</v>
      </c>
      <c r="I98" s="1" t="s">
        <v>103</v>
      </c>
      <c r="J98" s="1" t="s">
        <v>74</v>
      </c>
      <c r="K98" s="1" t="s">
        <v>59</v>
      </c>
      <c r="L98" s="48" t="s">
        <v>433</v>
      </c>
      <c r="M98" s="23" t="s">
        <v>434</v>
      </c>
      <c r="N98" s="1" t="s">
        <v>65</v>
      </c>
      <c r="O98" s="1" t="s">
        <v>106</v>
      </c>
      <c r="Q98" s="1" t="s">
        <v>65</v>
      </c>
      <c r="R98" s="23" t="s">
        <v>79</v>
      </c>
      <c r="U98" s="12" t="n">
        <v>0.954166666666667</v>
      </c>
      <c r="V98" s="11" t="n">
        <v>46037</v>
      </c>
      <c r="W98" s="12" t="n">
        <v>0.954166666666667</v>
      </c>
      <c r="X98" s="11" t="n">
        <v>46039</v>
      </c>
      <c r="Y98" s="12" t="n">
        <v>0.0645833333333333</v>
      </c>
      <c r="Z98" s="1" t="s">
        <v>108</v>
      </c>
      <c r="AA98" s="1" t="s">
        <v>68</v>
      </c>
      <c r="AB98" s="2" t="e">
        <f aca="false">U98-G98</f>
        <v>#VALUE!</v>
      </c>
      <c r="AC98" s="14" t="n">
        <f aca="false">(V98+W98)-(B98+C98)</f>
        <v>0.682638888888889</v>
      </c>
      <c r="AD98" s="4" t="str">
        <f aca="false">INT((V98+W98)-(B98+C98)) &amp; ":" &amp;
TEXT(HOUR((V98+W98)-(B98+C98)), "00") &amp; ":" &amp;
TEXT(MINUTE((V98+W98)-(B98+C98)), "00")</f>
        <v>0:16:23</v>
      </c>
      <c r="AE98" s="1" t="n">
        <f aca="false">IFERROR(
LEFT(AD98,FIND(":",AD98)-1)
+ MID(AD98,FIND(":",AD98)+1,2)/24
+ RIGHT(AD98,2)/1440,
"")</f>
        <v>0.682638888888889</v>
      </c>
      <c r="AF98" s="4" t="str">
        <f aca="false">INT((X98+Y98)-(B98+C98)) &amp; ":" &amp;
TEXT(HOUR((X98+Y98)-(B98+C98)), "00") &amp; ":" &amp;
TEXT(MINUTE((X98+Y98)-(B98+C98)), "00")</f>
        <v>1:19:02</v>
      </c>
      <c r="AG98" s="4" t="str">
        <f aca="false" t="array" ref="AG98:AG98">INT(_xlfn.XLOOKUP(J98,{"Low","Medium","High","Urgent"},{48,24,12,8})/24) &amp; ":" &amp;
TEXT(MOD(_xlfn.XLOOKUP(J98,{"Low","Medium","High","Urgent"},{48,24,12,8}),24)/24,"hh:mm")</f>
        <v>2:00:00</v>
      </c>
      <c r="AH98" s="4" t="str">
        <f aca="false">IF(AD98&gt;AG98,"Not Met","Met")</f>
        <v>Met</v>
      </c>
      <c r="AI98" s="4" t="e">
        <f aca="false">IF(AB98&lt;TIME(0,30,0),"Met","Not Met")</f>
        <v>#VALUE!</v>
      </c>
      <c r="AN98" s="1" t="str">
        <f aca="false">TEXT(B98,"dd")</f>
        <v>15</v>
      </c>
      <c r="AO98" s="1" t="str">
        <f aca="false">TEXT(X98,"dd")</f>
        <v>17</v>
      </c>
      <c r="AP98" s="16" t="str">
        <f aca="false">INT(
  NETWORKDAYS(B98,V98)-1
  + IF(WEEKDAY(V98,2)&lt;6,MOD(V98+W98,1),0)
  - IF(WEEKDAY(B98,2)&lt;6,MOD(B98+C98,1),0)
)
&amp; ":" &amp;
TEXT(HOUR(
  NETWORKDAYS(B98,V98)-1
  + IF(WEEKDAY(V98,2)&lt;6,MOD(V98+W98,1),0)
  - IF(WEEKDAY(B98,2)&lt;6,MOD(B98+C98,1),0)
),"00")
&amp; ":" &amp;
TEXT(MINUTE(
  NETWORKDAYS(B98,V98)-1
  + IF(WEEKDAY(V98,2)&lt;6,MOD(V98+W98,1),0)
  - IF(WEEKDAY(B98,2)&lt;6,MOD(B98+C98,1),0)
),"00")</f>
        <v>0:16:23</v>
      </c>
      <c r="AQ98" s="0" t="n">
        <f aca="false">IFERROR(
LEFT(AP98,FIND(":",AP98)-1)
+ MID(AP98,FIND(":",AP98)+1,2)/24
+ RIGHT(AP98,2)/1440,
"")</f>
        <v>0.682638888888889</v>
      </c>
      <c r="AR98" s="0" t="n">
        <f aca="false">WEEKNUM(B98,1)</f>
        <v>3</v>
      </c>
      <c r="AS98" s="17" t="n">
        <f aca="false">IF(B98&gt;0, (B98+C98)-TIME(13,30,0), "")</f>
        <v>46036.7090277778</v>
      </c>
      <c r="AT98" s="18" t="n">
        <f aca="false">IF(B98&gt;0, (B98+C98)-TIME(13,30,0), "")</f>
        <v>46036.7090277778</v>
      </c>
      <c r="AU98" s="17" t="n">
        <f aca="false">IF(V98&gt;0, (V98+W98)-TIME(13,30,0), "")</f>
        <v>46037.3916666667</v>
      </c>
      <c r="AV98" s="18" t="n">
        <f aca="false">IF(V98&gt;0, (V98+W98)-TIME(13,30,0), "")</f>
        <v>46037.3916666667</v>
      </c>
      <c r="AW98" s="19" t="n">
        <f aca="false">24*(
MAX(0,
IF(NETWORKDAYS(AS98,AU98)=1,
MIN(MOD(AV98,1),TIME(17,30,0)) - MAX(MOD(AT98,1),TIME(8,30,0)),
(TIME(17,30,0)-MAX(MOD(AT98,1),TIME(8,30,0)))
+ (MIN(MOD(AV98,1),TIME(17,30,0))-TIME(8,30,0))
+ (NETWORKDAYS(AS98,AU98)-2)*9/24
)
)
)</f>
        <v>1.38333333333333</v>
      </c>
      <c r="AX98" s="19" t="n">
        <f aca="false">24*(
MAX(0,
IF(NETWORKDAYS(AS98,AU98)=1,
MIN(MOD(AV98,1),TIME(17,30,0)) - MAX(MOD(AT98,1),TIME(8,30,0)),
(TIME(17,30,0)-MAX(MOD(AT98,1),TIME(8,30,0)))
+ (MIN(MOD(AV98,1),TIME(17,30,0))-TIME(8,30,0))
+ (NETWORKDAYS(AS98,AU98)-2)* (TIME(17,30,0)-TIME(8,30,0))
)
)
)</f>
        <v>1.38333333333333</v>
      </c>
      <c r="AY98" s="20" t="n">
        <f aca="false">ROUND(
IF(AS98=AU98,
MAX(0,
(MIN(MOD(AV98,1),TIME(17,30,0))-
MAX(MOD(AT98,1),TIME(8,30,0)))*24
),
(
(MAX(0,TIME(17,30,0)-MAX(MOD(AT98,1),TIME(8,30,0)))*24)
+
(MAX(0,MIN(MOD(AV98,1),TIME(17,30,0))-TIME(8,30,0))*24)
+
(MAX(0,NETWORKDAYS(AS98+1,AU98-1))*9)
)
),
2)</f>
        <v>1.38</v>
      </c>
      <c r="AZ98" s="0" t="n">
        <f aca="false" t="array" ref="AZ98:AZ98">_xlfn.XLOOKUP(J98,{"Low","Medium","High"},{270,72,24})</f>
        <v>270</v>
      </c>
      <c r="BA98" s="0" t="str">
        <f aca="false">IF(AW98&gt;AZ98,"Not Met","Met")</f>
        <v>Met</v>
      </c>
      <c r="BB98" s="21" t="str">
        <f aca="false">IF(AS98="","",TEXT(AS98,"MMM")&amp;"'"&amp;TEXT(AS98,"yy"))</f>
        <v>Jan'26</v>
      </c>
      <c r="BC98" s="0" t="str">
        <f aca="false">IF(AU98="","",TEXT(AU98,"MMM")&amp;"'"&amp;TEXT(AU98,"yy"))</f>
        <v>Jan'26</v>
      </c>
    </row>
    <row r="99" customFormat="false" ht="15" hidden="false" customHeight="false" outlineLevel="0" collapsed="false">
      <c r="A99" s="23" t="s">
        <v>435</v>
      </c>
      <c r="B99" s="24" t="n">
        <v>46037</v>
      </c>
      <c r="C99" s="12" t="n">
        <v>0.307638888888889</v>
      </c>
      <c r="D99" s="13" t="str">
        <f aca="false">IF(B99="","",TEXT(B99,"MMM")&amp;"'"&amp;TEXT(B99,"yy"))</f>
        <v>Jan'26</v>
      </c>
      <c r="E99" s="1" t="s">
        <v>55</v>
      </c>
      <c r="F99" s="1" t="s">
        <v>39</v>
      </c>
      <c r="G99" s="1" t="str">
        <f aca="false">IF(F99="Closed","Closed","Pending")</f>
        <v>Closed</v>
      </c>
      <c r="H99" s="23" t="s">
        <v>56</v>
      </c>
      <c r="I99" s="1" t="s">
        <v>436</v>
      </c>
      <c r="J99" s="1" t="s">
        <v>74</v>
      </c>
      <c r="K99" s="1" t="s">
        <v>59</v>
      </c>
      <c r="L99" s="23" t="s">
        <v>437</v>
      </c>
      <c r="M99" s="23" t="s">
        <v>438</v>
      </c>
      <c r="N99" s="1" t="s">
        <v>65</v>
      </c>
      <c r="O99" s="1" t="s">
        <v>106</v>
      </c>
      <c r="Q99" s="1" t="s">
        <v>65</v>
      </c>
      <c r="R99" s="23" t="s">
        <v>426</v>
      </c>
      <c r="U99" s="12" t="n">
        <v>0.95625</v>
      </c>
      <c r="V99" s="11" t="n">
        <v>46037</v>
      </c>
      <c r="W99" s="12" t="n">
        <v>0.95625</v>
      </c>
      <c r="X99" s="11" t="n">
        <v>46037</v>
      </c>
      <c r="Y99" s="12" t="n">
        <v>0.95625</v>
      </c>
      <c r="Z99" s="1" t="s">
        <v>108</v>
      </c>
      <c r="AA99" s="1" t="s">
        <v>68</v>
      </c>
      <c r="AB99" s="2" t="e">
        <f aca="false">U99-G99</f>
        <v>#VALUE!</v>
      </c>
      <c r="AC99" s="14" t="n">
        <f aca="false">(V99+W99)-(B99+C99)</f>
        <v>0.648611111111111</v>
      </c>
      <c r="AD99" s="4" t="str">
        <f aca="false">INT((V99+W99)-(B99+C99)) &amp; ":" &amp;
TEXT(HOUR((V99+W99)-(B99+C99)), "00") &amp; ":" &amp;
TEXT(MINUTE((V99+W99)-(B99+C99)), "00")</f>
        <v>0:15:34</v>
      </c>
      <c r="AE99" s="1" t="n">
        <f aca="false">IFERROR(
LEFT(AD99,FIND(":",AD99)-1)
+ MID(AD99,FIND(":",AD99)+1,2)/24
+ RIGHT(AD99,2)/1440,
"")</f>
        <v>0.648611111111111</v>
      </c>
      <c r="AF99" s="4" t="str">
        <f aca="false">INT((X99+Y99)-(B99+C99)) &amp; ":" &amp;
TEXT(HOUR((X99+Y99)-(B99+C99)), "00") &amp; ":" &amp;
TEXT(MINUTE((X99+Y99)-(B99+C99)), "00")</f>
        <v>0:15:34</v>
      </c>
      <c r="AG99" s="4" t="str">
        <f aca="false" t="array" ref="AG99:AG99">INT(_xlfn.XLOOKUP(J99,{"Low","Medium","High","Urgent"},{48,24,12,8})/24) &amp; ":" &amp;
TEXT(MOD(_xlfn.XLOOKUP(J99,{"Low","Medium","High","Urgent"},{48,24,12,8}),24)/24,"hh:mm")</f>
        <v>2:00:00</v>
      </c>
      <c r="AH99" s="4" t="str">
        <f aca="false">IF(AD99&gt;AG99,"Not Met","Met")</f>
        <v>Met</v>
      </c>
      <c r="AI99" s="4" t="e">
        <f aca="false">IF(AB99&lt;TIME(0,30,0),"Met","Not Met")</f>
        <v>#VALUE!</v>
      </c>
      <c r="AN99" s="1" t="str">
        <f aca="false">TEXT(B99,"dd")</f>
        <v>15</v>
      </c>
      <c r="AO99" s="1" t="str">
        <f aca="false">TEXT(X99,"dd")</f>
        <v>15</v>
      </c>
      <c r="AP99" s="16" t="str">
        <f aca="false">INT(
  NETWORKDAYS(B99,V99)-1
  + IF(WEEKDAY(V99,2)&lt;6,MOD(V99+W99,1),0)
  - IF(WEEKDAY(B99,2)&lt;6,MOD(B99+C99,1),0)
)
&amp; ":" &amp;
TEXT(HOUR(
  NETWORKDAYS(B99,V99)-1
  + IF(WEEKDAY(V99,2)&lt;6,MOD(V99+W99,1),0)
  - IF(WEEKDAY(B99,2)&lt;6,MOD(B99+C99,1),0)
),"00")
&amp; ":" &amp;
TEXT(MINUTE(
  NETWORKDAYS(B99,V99)-1
  + IF(WEEKDAY(V99,2)&lt;6,MOD(V99+W99,1),0)
  - IF(WEEKDAY(B99,2)&lt;6,MOD(B99+C99,1),0)
),"00")</f>
        <v>0:15:34</v>
      </c>
      <c r="AQ99" s="0" t="n">
        <f aca="false">IFERROR(
LEFT(AP99,FIND(":",AP99)-1)
+ MID(AP99,FIND(":",AP99)+1,2)/24
+ RIGHT(AP99,2)/1440,
"")</f>
        <v>0.648611111111111</v>
      </c>
      <c r="AR99" s="0" t="n">
        <f aca="false">WEEKNUM(B99,1)</f>
        <v>3</v>
      </c>
      <c r="AS99" s="17" t="n">
        <f aca="false">IF(B99&gt;0, (B99+C99)-TIME(13,30,0), "")</f>
        <v>46036.7451388889</v>
      </c>
      <c r="AT99" s="18" t="n">
        <f aca="false">IF(B99&gt;0, (B99+C99)-TIME(13,30,0), "")</f>
        <v>46036.7451388889</v>
      </c>
      <c r="AU99" s="17" t="n">
        <f aca="false">IF(V99&gt;0, (V99+W99)-TIME(13,30,0), "")</f>
        <v>46037.39375</v>
      </c>
      <c r="AV99" s="18" t="n">
        <f aca="false">IF(V99&gt;0, (V99+W99)-TIME(13,30,0), "")</f>
        <v>46037.39375</v>
      </c>
      <c r="AW99" s="19" t="n">
        <f aca="false">24*(
MAX(0,
IF(NETWORKDAYS(AS99,AU99)=1,
MIN(MOD(AV99,1),TIME(17,30,0)) - MAX(MOD(AT99,1),TIME(8,30,0)),
(TIME(17,30,0)-MAX(MOD(AT99,1),TIME(8,30,0)))
+ (MIN(MOD(AV99,1),TIME(17,30,0))-TIME(8,30,0))
+ (NETWORKDAYS(AS99,AU99)-2)*9/24
)
)
)</f>
        <v>0.566666666666667</v>
      </c>
      <c r="AX99" s="19" t="n">
        <f aca="false">24*(
MAX(0,
IF(NETWORKDAYS(AS99,AU99)=1,
MIN(MOD(AV99,1),TIME(17,30,0)) - MAX(MOD(AT99,1),TIME(8,30,0)),
(TIME(17,30,0)-MAX(MOD(AT99,1),TIME(8,30,0)))
+ (MIN(MOD(AV99,1),TIME(17,30,0))-TIME(8,30,0))
+ (NETWORKDAYS(AS99,AU99)-2)* (TIME(17,30,0)-TIME(8,30,0))
)
)
)</f>
        <v>0.566666666666667</v>
      </c>
      <c r="AY99" s="20" t="n">
        <f aca="false">ROUND(
IF(AS99=AU99,
MAX(0,
(MIN(MOD(AV99,1),TIME(17,30,0))-
MAX(MOD(AT99,1),TIME(8,30,0)))*24
),
(
(MAX(0,TIME(17,30,0)-MAX(MOD(AT99,1),TIME(8,30,0)))*24)
+
(MAX(0,MIN(MOD(AV99,1),TIME(17,30,0))-TIME(8,30,0))*24)
+
(MAX(0,NETWORKDAYS(AS99+1,AU99-1))*9)
)
),
2)</f>
        <v>0.95</v>
      </c>
      <c r="AZ99" s="0" t="n">
        <f aca="false" t="array" ref="AZ99:AZ99">_xlfn.XLOOKUP(J99,{"Low","Medium","High"},{270,72,24})</f>
        <v>270</v>
      </c>
      <c r="BA99" s="0" t="str">
        <f aca="false">IF(AW99&gt;AZ99,"Not Met","Met")</f>
        <v>Met</v>
      </c>
      <c r="BB99" s="21" t="str">
        <f aca="false">IF(AS99="","",TEXT(AS99,"MMM")&amp;"'"&amp;TEXT(AS99,"yy"))</f>
        <v>Jan'26</v>
      </c>
      <c r="BC99" s="0" t="str">
        <f aca="false">IF(AU99="","",TEXT(AU99,"MMM")&amp;"'"&amp;TEXT(AU99,"yy"))</f>
        <v>Jan'26</v>
      </c>
    </row>
    <row r="100" customFormat="false" ht="15" hidden="false" customHeight="false" outlineLevel="0" collapsed="false">
      <c r="A100" s="1" t="s">
        <v>439</v>
      </c>
      <c r="B100" s="11" t="n">
        <v>46037</v>
      </c>
      <c r="C100" s="12" t="n">
        <v>0.954166666666667</v>
      </c>
      <c r="D100" s="13" t="str">
        <f aca="false">IF(B100="","",TEXT(B100,"MMM")&amp;"'"&amp;TEXT(B100,"yy"))</f>
        <v>Jan'26</v>
      </c>
      <c r="E100" s="1" t="s">
        <v>55</v>
      </c>
      <c r="F100" s="1" t="s">
        <v>39</v>
      </c>
      <c r="G100" s="1" t="str">
        <f aca="false">IF(F100="Closed","Closed","Pending")</f>
        <v>Closed</v>
      </c>
      <c r="H100" s="23" t="s">
        <v>56</v>
      </c>
      <c r="I100" s="1" t="s">
        <v>103</v>
      </c>
      <c r="J100" s="1" t="s">
        <v>74</v>
      </c>
      <c r="K100" s="1" t="s">
        <v>59</v>
      </c>
      <c r="L100" s="23" t="s">
        <v>440</v>
      </c>
      <c r="M100" s="1" t="s">
        <v>441</v>
      </c>
      <c r="N100" s="1" t="s">
        <v>65</v>
      </c>
      <c r="O100" s="1" t="s">
        <v>106</v>
      </c>
      <c r="Q100" s="1" t="s">
        <v>65</v>
      </c>
      <c r="R100" s="1" t="s">
        <v>87</v>
      </c>
      <c r="U100" s="12" t="n">
        <v>0.963888888888889</v>
      </c>
      <c r="V100" s="11" t="n">
        <v>46038</v>
      </c>
      <c r="W100" s="12" t="n">
        <v>0.963194444444445</v>
      </c>
      <c r="X100" s="11" t="n">
        <v>46063</v>
      </c>
      <c r="Y100" s="12" t="n">
        <v>0.0444444444444444</v>
      </c>
      <c r="Z100" s="1" t="s">
        <v>108</v>
      </c>
      <c r="AA100" s="1" t="s">
        <v>68</v>
      </c>
      <c r="AB100" s="2" t="e">
        <f aca="false">U100-G100</f>
        <v>#VALUE!</v>
      </c>
      <c r="AC100" s="14" t="n">
        <f aca="false">(V100+W100)-(B100+C100)</f>
        <v>1.00902777777778</v>
      </c>
      <c r="AD100" s="4" t="str">
        <f aca="false">INT((V100+W100)-(B100+C100)) &amp; ":" &amp;
TEXT(HOUR((V100+W100)-(B100+C100)), "00") &amp; ":" &amp;
TEXT(MINUTE((V100+W100)-(B100+C100)), "00")</f>
        <v>1:00:13</v>
      </c>
      <c r="AE100" s="1" t="n">
        <f aca="false">IFERROR(
LEFT(AD100,FIND(":",AD100)-1)
+ MID(AD100,FIND(":",AD100)+1,2)/24
+ RIGHT(AD100,2)/1440,
"")</f>
        <v>1.00902777777778</v>
      </c>
      <c r="AF100" s="4" t="str">
        <f aca="false">INT((X100+Y100)-(B100+C100)) &amp; ":" &amp;
TEXT(HOUR((X100+Y100)-(B100+C100)), "00") &amp; ":" &amp;
TEXT(MINUTE((X100+Y100)-(B100+C100)), "00")</f>
        <v>25:02:10</v>
      </c>
      <c r="AG100" s="4" t="str">
        <f aca="false" t="array" ref="AG100:AG100">INT(_xlfn.XLOOKUP(J100,{"Low","Medium","High","Urgent"},{48,24,12,8})/24) &amp; ":" &amp;
TEXT(MOD(_xlfn.XLOOKUP(J100,{"Low","Medium","High","Urgent"},{48,24,12,8}),24)/24,"hh:mm")</f>
        <v>2:00:00</v>
      </c>
      <c r="AH100" s="4" t="str">
        <f aca="false">IF(AD100&gt;AG100,"Not Met","Met")</f>
        <v>Met</v>
      </c>
      <c r="AI100" s="4" t="e">
        <f aca="false">IF(AB100&lt;TIME(0,30,0),"Met","Not Met")</f>
        <v>#VALUE!</v>
      </c>
      <c r="AN100" s="1" t="str">
        <f aca="false">TEXT(B100,"dd")</f>
        <v>15</v>
      </c>
      <c r="AO100" s="1" t="str">
        <f aca="false">TEXT(X100,"dd")</f>
        <v>10</v>
      </c>
      <c r="AP100" s="16" t="str">
        <f aca="false">INT(
  NETWORKDAYS(B100,V100)-1
  + IF(WEEKDAY(V100,2)&lt;6,MOD(V100+W100,1),0)
  - IF(WEEKDAY(B100,2)&lt;6,MOD(B100+C100,1),0)
)
&amp; ":" &amp;
TEXT(HOUR(
  NETWORKDAYS(B100,V100)-1
  + IF(WEEKDAY(V100,2)&lt;6,MOD(V100+W100,1),0)
  - IF(WEEKDAY(B100,2)&lt;6,MOD(B100+C100,1),0)
),"00")
&amp; ":" &amp;
TEXT(MINUTE(
  NETWORKDAYS(B100,V100)-1
  + IF(WEEKDAY(V100,2)&lt;6,MOD(V100+W100,1),0)
  - IF(WEEKDAY(B100,2)&lt;6,MOD(B100+C100,1),0)
),"00")</f>
        <v>1:00:12</v>
      </c>
      <c r="AQ100" s="0" t="n">
        <f aca="false">IFERROR(
LEFT(AP100,FIND(":",AP100)-1)
+ MID(AP100,FIND(":",AP100)+1,2)/24
+ RIGHT(AP100,2)/1440,
"")</f>
        <v>1.00833333333333</v>
      </c>
      <c r="AR100" s="0" t="n">
        <f aca="false">WEEKNUM(B100,1)</f>
        <v>3</v>
      </c>
      <c r="AS100" s="17" t="n">
        <f aca="false">IF(B100&gt;0, (B100+C100)-TIME(13,30,0), "")</f>
        <v>46037.3916666667</v>
      </c>
      <c r="AT100" s="18" t="n">
        <f aca="false">IF(B100&gt;0, (B100+C100)-TIME(13,30,0), "")</f>
        <v>46037.3916666667</v>
      </c>
      <c r="AU100" s="17" t="n">
        <f aca="false">IF(V100&gt;0, (V100+W100)-TIME(13,30,0), "")</f>
        <v>46038.4006944444</v>
      </c>
      <c r="AV100" s="18" t="n">
        <f aca="false">IF(V100&gt;0, (V100+W100)-TIME(13,30,0), "")</f>
        <v>46038.4006944444</v>
      </c>
      <c r="AW100" s="19" t="n">
        <f aca="false">24*(
MAX(0,
IF(NETWORKDAYS(AS100,AU100)=1,
MIN(MOD(AV100,1),TIME(17,30,0)) - MAX(MOD(AT100,1),TIME(8,30,0)),
(TIME(17,30,0)-MAX(MOD(AT100,1),TIME(8,30,0)))
+ (MIN(MOD(AV100,1),TIME(17,30,0))-TIME(8,30,0))
+ (NETWORKDAYS(AS100,AU100)-2)*9/24
)
)
)</f>
        <v>9.21666666658111</v>
      </c>
      <c r="AX100" s="19" t="n">
        <f aca="false">24*(
MAX(0,
IF(NETWORKDAYS(AS100,AU100)=1,
MIN(MOD(AV100,1),TIME(17,30,0)) - MAX(MOD(AT100,1),TIME(8,30,0)),
(TIME(17,30,0)-MAX(MOD(AT100,1),TIME(8,30,0)))
+ (MIN(MOD(AV100,1),TIME(17,30,0))-TIME(8,30,0))
+ (NETWORKDAYS(AS100,AU100)-2)* (TIME(17,30,0)-TIME(8,30,0))
)
)
)</f>
        <v>9.21666666658111</v>
      </c>
      <c r="AY100" s="20" t="n">
        <f aca="false">ROUND(
IF(AS100=AU100,
MAX(0,
(MIN(MOD(AV100,1),TIME(17,30,0))-
MAX(MOD(AT100,1),TIME(8,30,0)))*24
),
(
(MAX(0,TIME(17,30,0)-MAX(MOD(AT100,1),TIME(8,30,0)))*24)
+
(MAX(0,MIN(MOD(AV100,1),TIME(17,30,0))-TIME(8,30,0))*24)
+
(MAX(0,NETWORKDAYS(AS100+1,AU100-1))*9)
)
),
2)</f>
        <v>9.22</v>
      </c>
      <c r="AZ100" s="0" t="n">
        <f aca="false" t="array" ref="AZ100:AZ100">_xlfn.XLOOKUP(J100,{"Low","Medium","High"},{270,72,24})</f>
        <v>270</v>
      </c>
      <c r="BA100" s="0" t="str">
        <f aca="false">IF(AW100&gt;AZ100,"Not Met","Met")</f>
        <v>Met</v>
      </c>
      <c r="BB100" s="21" t="str">
        <f aca="false">IF(AS100="","",TEXT(AS100,"MMM")&amp;"'"&amp;TEXT(AS100,"yy"))</f>
        <v>Jan'26</v>
      </c>
      <c r="BC100" s="0" t="str">
        <f aca="false">IF(AU100="","",TEXT(AU100,"MMM")&amp;"'"&amp;TEXT(AU100,"yy"))</f>
        <v>Jan'26</v>
      </c>
    </row>
    <row r="101" customFormat="false" ht="15" hidden="false" customHeight="false" outlineLevel="0" collapsed="false">
      <c r="A101" s="1" t="s">
        <v>442</v>
      </c>
      <c r="B101" s="11" t="n">
        <v>46038</v>
      </c>
      <c r="C101" s="12" t="n">
        <v>0.242361111111111</v>
      </c>
      <c r="D101" s="13" t="str">
        <f aca="false">IF(B101="","",TEXT(B101,"MMM")&amp;"'"&amp;TEXT(B101,"yy"))</f>
        <v>Jan'26</v>
      </c>
      <c r="E101" s="1" t="s">
        <v>55</v>
      </c>
      <c r="F101" s="1" t="s">
        <v>39</v>
      </c>
      <c r="G101" s="1" t="str">
        <f aca="false">IF(F101="Closed","Closed","Pending")</f>
        <v>Closed</v>
      </c>
      <c r="H101" s="23" t="s">
        <v>56</v>
      </c>
      <c r="I101" s="1" t="s">
        <v>158</v>
      </c>
      <c r="J101" s="1" t="s">
        <v>58</v>
      </c>
      <c r="K101" s="1" t="s">
        <v>59</v>
      </c>
      <c r="L101" s="23" t="s">
        <v>443</v>
      </c>
      <c r="M101" s="1" t="s">
        <v>444</v>
      </c>
      <c r="N101" s="1" t="s">
        <v>65</v>
      </c>
      <c r="O101" s="1" t="s">
        <v>106</v>
      </c>
      <c r="Q101" s="1" t="s">
        <v>65</v>
      </c>
      <c r="R101" s="1" t="s">
        <v>87</v>
      </c>
      <c r="U101" s="12" t="n">
        <v>0.256944444444444</v>
      </c>
      <c r="V101" s="11" t="n">
        <v>46038</v>
      </c>
      <c r="W101" s="12" t="n">
        <v>0.963888888888889</v>
      </c>
      <c r="X101" s="11" t="n">
        <v>46039</v>
      </c>
      <c r="Y101" s="12" t="n">
        <v>0.075</v>
      </c>
      <c r="Z101" s="1" t="s">
        <v>67</v>
      </c>
      <c r="AA101" s="1" t="s">
        <v>68</v>
      </c>
      <c r="AB101" s="2" t="e">
        <f aca="false">U101-G101</f>
        <v>#VALUE!</v>
      </c>
      <c r="AC101" s="14" t="n">
        <f aca="false">(V101+W101)-(B101+C101)</f>
        <v>0.721527777777778</v>
      </c>
      <c r="AD101" s="4" t="str">
        <f aca="false">INT((V101+W101)-(B101+C101)) &amp; ":" &amp;
TEXT(HOUR((V101+W101)-(B101+C101)), "00") &amp; ":" &amp;
TEXT(MINUTE((V101+W101)-(B101+C101)), "00")</f>
        <v>0:17:19</v>
      </c>
      <c r="AE101" s="1" t="n">
        <f aca="false">IFERROR(
LEFT(AD101,FIND(":",AD101)-1)
+ MID(AD101,FIND(":",AD101)+1,2)/24
+ RIGHT(AD101,2)/1440,
"")</f>
        <v>0.721527777777778</v>
      </c>
      <c r="AF101" s="4" t="str">
        <f aca="false">INT((X101+Y101)-(B101+C101)) &amp; ":" &amp;
TEXT(HOUR((X101+Y101)-(B101+C101)), "00") &amp; ":" &amp;
TEXT(MINUTE((X101+Y101)-(B101+C101)), "00")</f>
        <v>0:19:59</v>
      </c>
      <c r="AG101" s="4" t="str">
        <f aca="false" t="array" ref="AG101:AG101">INT(_xlfn.XLOOKUP(J101,{"Low","Medium","High","Urgent"},{48,24,12,8})/24) &amp; ":" &amp;
TEXT(MOD(_xlfn.XLOOKUP(J101,{"Low","Medium","High","Urgent"},{48,24,12,8}),24)/24,"hh:mm")</f>
        <v>1:00:00</v>
      </c>
      <c r="AH101" s="4" t="str">
        <f aca="false">IF(AD101&gt;AG101,"Not Met","Met")</f>
        <v>Met</v>
      </c>
      <c r="AI101" s="4" t="e">
        <f aca="false">IF(AB101&lt;TIME(0,30,0),"Met","Not Met")</f>
        <v>#VALUE!</v>
      </c>
      <c r="AN101" s="1" t="str">
        <f aca="false">TEXT(B101,"dd")</f>
        <v>16</v>
      </c>
      <c r="AO101" s="1" t="str">
        <f aca="false">TEXT(X101,"dd")</f>
        <v>17</v>
      </c>
      <c r="AP101" s="16" t="str">
        <f aca="false">INT(
  NETWORKDAYS(B101,V101)-1
  + IF(WEEKDAY(V101,2)&lt;6,MOD(V101+W101,1),0)
  - IF(WEEKDAY(B101,2)&lt;6,MOD(B101+C101,1),0)
)
&amp; ":" &amp;
TEXT(HOUR(
  NETWORKDAYS(B101,V101)-1
  + IF(WEEKDAY(V101,2)&lt;6,MOD(V101+W101,1),0)
  - IF(WEEKDAY(B101,2)&lt;6,MOD(B101+C101,1),0)
),"00")
&amp; ":" &amp;
TEXT(MINUTE(
  NETWORKDAYS(B101,V101)-1
  + IF(WEEKDAY(V101,2)&lt;6,MOD(V101+W101,1),0)
  - IF(WEEKDAY(B101,2)&lt;6,MOD(B101+C101,1),0)
),"00")</f>
        <v>0:17:19</v>
      </c>
      <c r="AQ101" s="0" t="n">
        <f aca="false">IFERROR(
LEFT(AP101,FIND(":",AP101)-1)
+ MID(AP101,FIND(":",AP101)+1,2)/24
+ RIGHT(AP101,2)/1440,
"")</f>
        <v>0.721527777777778</v>
      </c>
      <c r="AR101" s="0" t="n">
        <f aca="false">WEEKNUM(B101,1)</f>
        <v>3</v>
      </c>
      <c r="AS101" s="17" t="n">
        <f aca="false">IF(B101&gt;0, (B101+C101)-TIME(13,30,0), "")</f>
        <v>46037.6798611111</v>
      </c>
      <c r="AT101" s="18" t="n">
        <f aca="false">IF(B101&gt;0, (B101+C101)-TIME(13,30,0), "")</f>
        <v>46037.6798611111</v>
      </c>
      <c r="AU101" s="17" t="n">
        <f aca="false">IF(V101&gt;0, (V101+W101)-TIME(13,30,0), "")</f>
        <v>46038.4013888889</v>
      </c>
      <c r="AV101" s="18" t="n">
        <f aca="false">IF(V101&gt;0, (V101+W101)-TIME(13,30,0), "")</f>
        <v>46038.4013888889</v>
      </c>
      <c r="AW101" s="19" t="n">
        <f aca="false">24*(
MAX(0,
IF(NETWORKDAYS(AS101,AU101)=1,
MIN(MOD(AV101,1),TIME(17,30,0)) - MAX(MOD(AT101,1),TIME(8,30,0)),
(TIME(17,30,0)-MAX(MOD(AT101,1),TIME(8,30,0)))
+ (MIN(MOD(AV101,1),TIME(17,30,0))-TIME(8,30,0))
+ (NETWORKDAYS(AS101,AU101)-2)*9/24
)
)
)</f>
        <v>2.31666666666667</v>
      </c>
      <c r="AX101" s="19" t="n">
        <f aca="false">24*(
MAX(0,
IF(NETWORKDAYS(AS101,AU101)=1,
MIN(MOD(AV101,1),TIME(17,30,0)) - MAX(MOD(AT101,1),TIME(8,30,0)),
(TIME(17,30,0)-MAX(MOD(AT101,1),TIME(8,30,0)))
+ (MIN(MOD(AV101,1),TIME(17,30,0))-TIME(8,30,0))
+ (NETWORKDAYS(AS101,AU101)-2)* (TIME(17,30,0)-TIME(8,30,0))
)
)
)</f>
        <v>2.31666666666667</v>
      </c>
      <c r="AY101" s="20" t="n">
        <f aca="false">ROUND(
IF(AS101=AU101,
MAX(0,
(MIN(MOD(AV101,1),TIME(17,30,0))-
MAX(MOD(AT101,1),TIME(8,30,0)))*24
),
(
(MAX(0,TIME(17,30,0)-MAX(MOD(AT101,1),TIME(8,30,0)))*24)
+
(MAX(0,MIN(MOD(AV101,1),TIME(17,30,0))-TIME(8,30,0))*24)
+
(MAX(0,NETWORKDAYS(AS101+1,AU101-1))*9)
)
),
2)</f>
        <v>2.32</v>
      </c>
      <c r="AZ101" s="0" t="n">
        <f aca="false" t="array" ref="AZ101:AZ101">_xlfn.XLOOKUP(J101,{"Low","Medium","High"},{270,72,24})</f>
        <v>72</v>
      </c>
      <c r="BA101" s="0" t="str">
        <f aca="false">IF(AW101&gt;AZ101,"Not Met","Met")</f>
        <v>Met</v>
      </c>
      <c r="BB101" s="21" t="str">
        <f aca="false">IF(AS101="","",TEXT(AS101,"MMM")&amp;"'"&amp;TEXT(AS101,"yy"))</f>
        <v>Jan'26</v>
      </c>
      <c r="BC101" s="0" t="str">
        <f aca="false">IF(AU101="","",TEXT(AU101,"MMM")&amp;"'"&amp;TEXT(AU101,"yy"))</f>
        <v>Jan'26</v>
      </c>
    </row>
    <row r="102" customFormat="false" ht="15" hidden="false" customHeight="false" outlineLevel="0" collapsed="false">
      <c r="A102" s="34" t="s">
        <v>445</v>
      </c>
      <c r="B102" s="31" t="n">
        <v>46039</v>
      </c>
      <c r="C102" s="12" t="n">
        <v>0.0215277777777778</v>
      </c>
      <c r="D102" s="13" t="str">
        <f aca="false">IF(B102="","",TEXT(B102,"MMM")&amp;"'"&amp;TEXT(B102,"yy"))</f>
        <v>Jan'26</v>
      </c>
      <c r="E102" s="1" t="s">
        <v>55</v>
      </c>
      <c r="F102" s="1" t="s">
        <v>39</v>
      </c>
      <c r="G102" s="1" t="str">
        <f aca="false">IF(F102="Closed","Closed","Pending")</f>
        <v>Closed</v>
      </c>
      <c r="H102" s="23" t="s">
        <v>72</v>
      </c>
      <c r="I102" s="1" t="s">
        <v>446</v>
      </c>
      <c r="J102" s="1" t="s">
        <v>74</v>
      </c>
      <c r="K102" s="1" t="s">
        <v>59</v>
      </c>
      <c r="L102" s="23" t="s">
        <v>447</v>
      </c>
      <c r="M102" s="1" t="s">
        <v>448</v>
      </c>
      <c r="N102" s="1" t="s">
        <v>62</v>
      </c>
      <c r="O102" s="1" t="s">
        <v>77</v>
      </c>
      <c r="Q102" s="1" t="s">
        <v>86</v>
      </c>
      <c r="R102" s="1" t="s">
        <v>66</v>
      </c>
      <c r="U102" s="12" t="n">
        <v>0.0840277777777778</v>
      </c>
      <c r="V102" s="11" t="n">
        <v>46041</v>
      </c>
      <c r="W102" s="12" t="n">
        <v>0.940972222222222</v>
      </c>
      <c r="X102" s="11" t="n">
        <v>46050</v>
      </c>
      <c r="Y102" s="12" t="n">
        <v>0.460416666666667</v>
      </c>
      <c r="Z102" s="1" t="s">
        <v>108</v>
      </c>
      <c r="AA102" s="1" t="s">
        <v>68</v>
      </c>
      <c r="AB102" s="2" t="e">
        <f aca="false">U102-G102</f>
        <v>#VALUE!</v>
      </c>
      <c r="AC102" s="14" t="n">
        <f aca="false">(V102+W102)-(B102+C102)</f>
        <v>2.91944444444444</v>
      </c>
      <c r="AD102" s="4" t="str">
        <f aca="false">INT((V102+W102)-(B102+C102)) &amp; ":" &amp;
TEXT(HOUR((V102+W102)-(B102+C102)), "00") &amp; ":" &amp;
TEXT(MINUTE((V102+W102)-(B102+C102)), "00")</f>
        <v>2:22:04</v>
      </c>
      <c r="AE102" s="1" t="n">
        <f aca="false">IFERROR(
LEFT(AD102,FIND(":",AD102)-1)
+ MID(AD102,FIND(":",AD102)+1,2)/24
+ RIGHT(AD102,2)/1440,
"")</f>
        <v>2.91944444444444</v>
      </c>
      <c r="AF102" s="4" t="str">
        <f aca="false">INT((X102+Y102)-(B102+C102)) &amp; ":" &amp;
TEXT(HOUR((X102+Y102)-(B102+C102)), "00") &amp; ":" &amp;
TEXT(MINUTE((X102+Y102)-(B102+C102)), "00")</f>
        <v>11:10:32</v>
      </c>
      <c r="AG102" s="4" t="str">
        <f aca="false" t="array" ref="AG102:AG102">INT(_xlfn.XLOOKUP(J102,{"Low","Medium","High","Urgent"},{48,24,12,8})/24) &amp; ":" &amp;
TEXT(MOD(_xlfn.XLOOKUP(J102,{"Low","Medium","High","Urgent"},{48,24,12,8}),24)/24,"hh:mm")</f>
        <v>2:00:00</v>
      </c>
      <c r="AH102" s="4" t="str">
        <f aca="false">IF(AD102&gt;AG102,"Not Met","Met")</f>
        <v>Not Met</v>
      </c>
      <c r="AI102" s="4" t="e">
        <f aca="false">IF(AB102&lt;TIME(0,30,0),"Met","Not Met")</f>
        <v>#VALUE!</v>
      </c>
      <c r="AN102" s="1" t="str">
        <f aca="false">TEXT(B102,"dd")</f>
        <v>17</v>
      </c>
      <c r="AO102" s="1" t="str">
        <f aca="false">TEXT(X102,"dd")</f>
        <v>28</v>
      </c>
      <c r="AP102" s="16" t="str">
        <f aca="false">INT(
  NETWORKDAYS(B102,V102)-1
  + IF(WEEKDAY(V102,2)&lt;6,MOD(V102+W102,1),0)
  - IF(WEEKDAY(B102,2)&lt;6,MOD(B102+C102,1),0)
)
&amp; ":" &amp;
TEXT(HOUR(
  NETWORKDAYS(B102,V102)-1
  + IF(WEEKDAY(V102,2)&lt;6,MOD(V102+W102,1),0)
  - IF(WEEKDAY(B102,2)&lt;6,MOD(B102+C102,1),0)
),"00")
&amp; ":" &amp;
TEXT(MINUTE(
  NETWORKDAYS(B102,V102)-1
  + IF(WEEKDAY(V102,2)&lt;6,MOD(V102+W102,1),0)
  - IF(WEEKDAY(B102,2)&lt;6,MOD(B102+C102,1),0)
),"00")</f>
        <v>0:22:34</v>
      </c>
      <c r="AQ102" s="0" t="n">
        <f aca="false">IFERROR(
LEFT(AP102,FIND(":",AP102)-1)
+ MID(AP102,FIND(":",AP102)+1,2)/24
+ RIGHT(AP102,2)/1440,
"")</f>
        <v>0.940277777777778</v>
      </c>
      <c r="AR102" s="0" t="n">
        <f aca="false">WEEKNUM(B102,1)</f>
        <v>3</v>
      </c>
      <c r="AS102" s="17" t="n">
        <f aca="false">IF(B102&gt;0, (B102+C102)-TIME(13,30,0), "")</f>
        <v>46038.4590277778</v>
      </c>
      <c r="AT102" s="18" t="n">
        <f aca="false">IF(B102&gt;0, (B102+C102)-TIME(13,30,0), "")</f>
        <v>46038.4590277778</v>
      </c>
      <c r="AU102" s="17" t="n">
        <f aca="false">IF(V102&gt;0, (V102+W102)-TIME(13,30,0), "")</f>
        <v>46041.3784722222</v>
      </c>
      <c r="AV102" s="18" t="n">
        <f aca="false">IF(V102&gt;0, (V102+W102)-TIME(13,30,0), "")</f>
        <v>46041.3784722222</v>
      </c>
      <c r="AW102" s="19" t="n">
        <f aca="false">24*(
MAX(0,
IF(NETWORKDAYS(AS102,AU102)=1,
MIN(MOD(AV102,1),TIME(17,30,0)) - MAX(MOD(AT102,1),TIME(8,30,0)),
(TIME(17,30,0)-MAX(MOD(AT102,1),TIME(8,30,0)))
+ (MIN(MOD(AV102,1),TIME(17,30,0))-TIME(8,30,0))
+ (NETWORKDAYS(AS102,AU102)-2)*9/24
)
)
)</f>
        <v>7.06666666666667</v>
      </c>
      <c r="AX102" s="19" t="n">
        <f aca="false">24*(
MAX(0,
IF(NETWORKDAYS(AS102,AU102)=1,
MIN(MOD(AV102,1),TIME(17,30,0)) - MAX(MOD(AT102,1),TIME(8,30,0)),
(TIME(17,30,0)-MAX(MOD(AT102,1),TIME(8,30,0)))
+ (MIN(MOD(AV102,1),TIME(17,30,0))-TIME(8,30,0))
+ (NETWORKDAYS(AS102,AU102)-2)* (TIME(17,30,0)-TIME(8,30,0))
)
)
)</f>
        <v>7.06666666666667</v>
      </c>
      <c r="AY102" s="20" t="n">
        <f aca="false">ROUND(
IF(AS102=AU102,
MAX(0,
(MIN(MOD(AV102,1),TIME(17,30,0))-
MAX(MOD(AT102,1),TIME(8,30,0)))*24
),
(
(MAX(0,TIME(17,30,0)-MAX(MOD(AT102,1),TIME(8,30,0)))*24)
+
(MAX(0,MIN(MOD(AV102,1),TIME(17,30,0))-TIME(8,30,0))*24)
+
(MAX(0,NETWORKDAYS(AS102+1,AU102-1))*9)
)
),
2)</f>
        <v>7.07</v>
      </c>
      <c r="AZ102" s="0" t="n">
        <f aca="false" t="array" ref="AZ102:AZ102">_xlfn.XLOOKUP(J102,{"Low","Medium","High"},{270,72,24})</f>
        <v>270</v>
      </c>
      <c r="BA102" s="0" t="str">
        <f aca="false">IF(AW102&gt;AZ102,"Not Met","Met")</f>
        <v>Met</v>
      </c>
      <c r="BB102" s="21" t="str">
        <f aca="false">IF(AS102="","",TEXT(AS102,"MMM")&amp;"'"&amp;TEXT(AS102,"yy"))</f>
        <v>Jan'26</v>
      </c>
      <c r="BC102" s="0" t="str">
        <f aca="false">IF(AU102="","",TEXT(AU102,"MMM")&amp;"'"&amp;TEXT(AU102,"yy"))</f>
        <v>Jan'26</v>
      </c>
    </row>
    <row r="103" customFormat="false" ht="15" hidden="false" customHeight="false" outlineLevel="0" collapsed="false">
      <c r="A103" s="23" t="s">
        <v>449</v>
      </c>
      <c r="B103" s="24" t="n">
        <v>46039</v>
      </c>
      <c r="C103" s="12" t="n">
        <v>0.136805555555556</v>
      </c>
      <c r="D103" s="13" t="str">
        <f aca="false">IF(B103="","",TEXT(B103,"MMM")&amp;"'"&amp;TEXT(B103,"yy"))</f>
        <v>Jan'26</v>
      </c>
      <c r="E103" s="1" t="s">
        <v>55</v>
      </c>
      <c r="F103" s="1" t="s">
        <v>39</v>
      </c>
      <c r="G103" s="1" t="str">
        <f aca="false">IF(F103="Closed","Closed","Pending")</f>
        <v>Closed</v>
      </c>
      <c r="H103" s="23" t="s">
        <v>56</v>
      </c>
      <c r="I103" s="1" t="s">
        <v>103</v>
      </c>
      <c r="J103" s="1" t="s">
        <v>74</v>
      </c>
      <c r="K103" s="1" t="s">
        <v>59</v>
      </c>
      <c r="L103" s="23" t="s">
        <v>450</v>
      </c>
      <c r="M103" s="23" t="s">
        <v>451</v>
      </c>
      <c r="N103" s="1" t="s">
        <v>62</v>
      </c>
      <c r="O103" s="1" t="s">
        <v>77</v>
      </c>
      <c r="Q103" s="1" t="s">
        <v>86</v>
      </c>
      <c r="R103" s="1" t="s">
        <v>66</v>
      </c>
      <c r="U103" s="12" t="n">
        <v>0.160416666666667</v>
      </c>
      <c r="V103" s="11" t="n">
        <v>46041</v>
      </c>
      <c r="W103" s="12" t="n">
        <v>0.941666666666667</v>
      </c>
      <c r="X103" s="11" t="n">
        <v>46055</v>
      </c>
      <c r="Y103" s="12" t="n">
        <v>0.95625</v>
      </c>
      <c r="Z103" s="1" t="s">
        <v>108</v>
      </c>
      <c r="AA103" s="1" t="s">
        <v>68</v>
      </c>
      <c r="AB103" s="2" t="e">
        <f aca="false">U103-G103</f>
        <v>#VALUE!</v>
      </c>
      <c r="AC103" s="14" t="n">
        <f aca="false">(V103+W103)-(B103+C103)</f>
        <v>2.80486111111111</v>
      </c>
      <c r="AD103" s="4" t="str">
        <f aca="false">INT((V103+W103)-(B103+C103)) &amp; ":" &amp;
TEXT(HOUR((V103+W103)-(B103+C103)), "00") &amp; ":" &amp;
TEXT(MINUTE((V103+W103)-(B103+C103)), "00")</f>
        <v>2:19:19</v>
      </c>
      <c r="AE103" s="1" t="n">
        <f aca="false">IFERROR(
LEFT(AD103,FIND(":",AD103)-1)
+ MID(AD103,FIND(":",AD103)+1,2)/24
+ RIGHT(AD103,2)/1440,
"")</f>
        <v>2.80486111111111</v>
      </c>
      <c r="AF103" s="4" t="str">
        <f aca="false">INT((X103+Y103)-(B103+C103)) &amp; ":" &amp;
TEXT(HOUR((X103+Y103)-(B103+C103)), "00") &amp; ":" &amp;
TEXT(MINUTE((X103+Y103)-(B103+C103)), "00")</f>
        <v>16:19:40</v>
      </c>
      <c r="AG103" s="4" t="str">
        <f aca="false" t="array" ref="AG103:AG103">INT(_xlfn.XLOOKUP(J103,{"Low","Medium","High","Urgent"},{48,24,12,8})/24) &amp; ":" &amp;
TEXT(MOD(_xlfn.XLOOKUP(J103,{"Low","Medium","High","Urgent"},{48,24,12,8}),24)/24,"hh:mm")</f>
        <v>2:00:00</v>
      </c>
      <c r="AH103" s="4" t="str">
        <f aca="false">IF(AD103&gt;AG103,"Not Met","Met")</f>
        <v>Not Met</v>
      </c>
      <c r="AI103" s="4" t="e">
        <f aca="false">IF(AB103&lt;TIME(0,30,0),"Met","Not Met")</f>
        <v>#VALUE!</v>
      </c>
      <c r="AN103" s="1" t="str">
        <f aca="false">TEXT(B103,"dd")</f>
        <v>17</v>
      </c>
      <c r="AO103" s="1" t="str">
        <f aca="false">TEXT(X103,"dd")</f>
        <v>02</v>
      </c>
      <c r="AP103" s="16" t="str">
        <f aca="false">INT(
  NETWORKDAYS(B103,V103)-1
  + IF(WEEKDAY(V103,2)&lt;6,MOD(V103+W103,1),0)
  - IF(WEEKDAY(B103,2)&lt;6,MOD(B103+C103,1),0)
)
&amp; ":" &amp;
TEXT(HOUR(
  NETWORKDAYS(B103,V103)-1
  + IF(WEEKDAY(V103,2)&lt;6,MOD(V103+W103,1),0)
  - IF(WEEKDAY(B103,2)&lt;6,MOD(B103+C103,1),0)
),"00")
&amp; ":" &amp;
TEXT(MINUTE(
  NETWORKDAYS(B103,V103)-1
  + IF(WEEKDAY(V103,2)&lt;6,MOD(V103+W103,1),0)
  - IF(WEEKDAY(B103,2)&lt;6,MOD(B103+C103,1),0)
),"00")</f>
        <v>0:22:35</v>
      </c>
      <c r="AQ103" s="0" t="n">
        <f aca="false">IFERROR(
LEFT(AP103,FIND(":",AP103)-1)
+ MID(AP103,FIND(":",AP103)+1,2)/24
+ RIGHT(AP103,2)/1440,
"")</f>
        <v>0.940972222222222</v>
      </c>
      <c r="AR103" s="0" t="n">
        <f aca="false">WEEKNUM(B103,1)</f>
        <v>3</v>
      </c>
      <c r="AS103" s="17" t="n">
        <f aca="false">IF(B103&gt;0, (B103+C103)-TIME(13,30,0), "")</f>
        <v>46038.5743055556</v>
      </c>
      <c r="AT103" s="18" t="n">
        <f aca="false">IF(B103&gt;0, (B103+C103)-TIME(13,30,0), "")</f>
        <v>46038.5743055556</v>
      </c>
      <c r="AU103" s="17" t="n">
        <f aca="false">IF(V103&gt;0, (V103+W103)-TIME(13,30,0), "")</f>
        <v>46041.3791666667</v>
      </c>
      <c r="AV103" s="18" t="n">
        <f aca="false">IF(V103&gt;0, (V103+W103)-TIME(13,30,0), "")</f>
        <v>46041.3791666667</v>
      </c>
      <c r="AW103" s="19" t="n">
        <f aca="false">24*(
MAX(0,
IF(NETWORKDAYS(AS103,AU103)=1,
MIN(MOD(AV103,1),TIME(17,30,0)) - MAX(MOD(AT103,1),TIME(8,30,0)),
(TIME(17,30,0)-MAX(MOD(AT103,1),TIME(8,30,0)))
+ (MIN(MOD(AV103,1),TIME(17,30,0))-TIME(8,30,0))
+ (NETWORKDAYS(AS103,AU103)-2)*9/24
)
)
)</f>
        <v>4.31666666666667</v>
      </c>
      <c r="AX103" s="19" t="n">
        <f aca="false">24*(
MAX(0,
IF(NETWORKDAYS(AS103,AU103)=1,
MIN(MOD(AV103,1),TIME(17,30,0)) - MAX(MOD(AT103,1),TIME(8,30,0)),
(TIME(17,30,0)-MAX(MOD(AT103,1),TIME(8,30,0)))
+ (MIN(MOD(AV103,1),TIME(17,30,0))-TIME(8,30,0))
+ (NETWORKDAYS(AS103,AU103)-2)* (TIME(17,30,0)-TIME(8,30,0))
)
)
)</f>
        <v>4.31666666666667</v>
      </c>
      <c r="AY103" s="20" t="n">
        <f aca="false">ROUND(
IF(AS103=AU103,
MAX(0,
(MIN(MOD(AV103,1),TIME(17,30,0))-
MAX(MOD(AT103,1),TIME(8,30,0)))*24
),
(
(MAX(0,TIME(17,30,0)-MAX(MOD(AT103,1),TIME(8,30,0)))*24)
+
(MAX(0,MIN(MOD(AV103,1),TIME(17,30,0))-TIME(8,30,0))*24)
+
(MAX(0,NETWORKDAYS(AS103+1,AU103-1))*9)
)
),
2)</f>
        <v>4.32</v>
      </c>
      <c r="AZ103" s="0" t="n">
        <f aca="false" t="array" ref="AZ103:AZ103">_xlfn.XLOOKUP(J103,{"Low","Medium","High"},{270,72,24})</f>
        <v>270</v>
      </c>
      <c r="BA103" s="0" t="str">
        <f aca="false">IF(AW103&gt;AZ103,"Not Met","Met")</f>
        <v>Met</v>
      </c>
      <c r="BB103" s="21" t="str">
        <f aca="false">IF(AS103="","",TEXT(AS103,"MMM")&amp;"'"&amp;TEXT(AS103,"yy"))</f>
        <v>Jan'26</v>
      </c>
      <c r="BC103" s="0" t="str">
        <f aca="false">IF(AU103="","",TEXT(AU103,"MMM")&amp;"'"&amp;TEXT(AU103,"yy"))</f>
        <v>Jan'26</v>
      </c>
    </row>
    <row r="104" customFormat="false" ht="15" hidden="false" customHeight="false" outlineLevel="0" collapsed="false">
      <c r="A104" s="23" t="s">
        <v>452</v>
      </c>
      <c r="B104" s="24" t="n">
        <v>46039</v>
      </c>
      <c r="C104" s="12" t="n">
        <v>0.217361111111111</v>
      </c>
      <c r="D104" s="13" t="str">
        <f aca="false">IF(B104="","",TEXT(B104,"MMM")&amp;"'"&amp;TEXT(B104,"yy"))</f>
        <v>Jan'26</v>
      </c>
      <c r="E104" s="1" t="s">
        <v>55</v>
      </c>
      <c r="F104" s="1" t="s">
        <v>39</v>
      </c>
      <c r="G104" s="1" t="str">
        <f aca="false">IF(F104="Closed","Closed","Pending")</f>
        <v>Closed</v>
      </c>
      <c r="H104" s="34" t="s">
        <v>360</v>
      </c>
      <c r="I104" s="26" t="s">
        <v>103</v>
      </c>
      <c r="J104" s="1" t="s">
        <v>74</v>
      </c>
      <c r="K104" s="1" t="s">
        <v>59</v>
      </c>
      <c r="L104" s="23" t="s">
        <v>115</v>
      </c>
      <c r="M104" s="23" t="s">
        <v>453</v>
      </c>
      <c r="N104" s="1" t="s">
        <v>65</v>
      </c>
      <c r="O104" s="1" t="s">
        <v>106</v>
      </c>
      <c r="Q104" s="1" t="s">
        <v>65</v>
      </c>
      <c r="R104" s="1" t="s">
        <v>426</v>
      </c>
      <c r="U104" s="12" t="n">
        <v>0.252777777777778</v>
      </c>
      <c r="V104" s="11" t="n">
        <v>46041</v>
      </c>
      <c r="W104" s="12" t="n">
        <v>0.943055555555556</v>
      </c>
      <c r="X104" s="11" t="n">
        <v>46042</v>
      </c>
      <c r="Y104" s="12" t="n">
        <v>0.964583333333333</v>
      </c>
      <c r="Z104" s="1" t="s">
        <v>67</v>
      </c>
      <c r="AA104" s="1" t="s">
        <v>68</v>
      </c>
      <c r="AB104" s="2" t="e">
        <f aca="false">U104-G104</f>
        <v>#VALUE!</v>
      </c>
      <c r="AC104" s="14" t="n">
        <f aca="false">(V104+W104)-(B104+C104)</f>
        <v>2.72569444444444</v>
      </c>
      <c r="AD104" s="4" t="str">
        <f aca="false">INT((V104+W104)-(B104+C104)) &amp; ":" &amp;
TEXT(HOUR((V104+W104)-(B104+C104)), "00") &amp; ":" &amp;
TEXT(MINUTE((V104+W104)-(B104+C104)), "00")</f>
        <v>2:17:25</v>
      </c>
      <c r="AE104" s="1" t="n">
        <f aca="false">IFERROR(
LEFT(AD104,FIND(":",AD104)-1)
+ MID(AD104,FIND(":",AD104)+1,2)/24
+ RIGHT(AD104,2)/1440,
"")</f>
        <v>2.72569444444444</v>
      </c>
      <c r="AF104" s="4" t="str">
        <f aca="false">INT((X104+Y104)-(B104+C104)) &amp; ":" &amp;
TEXT(HOUR((X104+Y104)-(B104+C104)), "00") &amp; ":" &amp;
TEXT(MINUTE((X104+Y104)-(B104+C104)), "00")</f>
        <v>3:17:56</v>
      </c>
      <c r="AG104" s="4" t="str">
        <f aca="false" t="array" ref="AG104:AG104">INT(_xlfn.XLOOKUP(J104,{"Low","Medium","High","Urgent"},{48,24,12,8})/24) &amp; ":" &amp;
TEXT(MOD(_xlfn.XLOOKUP(J104,{"Low","Medium","High","Urgent"},{48,24,12,8}),24)/24,"hh:mm")</f>
        <v>2:00:00</v>
      </c>
      <c r="AH104" s="4" t="str">
        <f aca="false">IF(AD104&gt;AG104,"Not Met","Met")</f>
        <v>Not Met</v>
      </c>
      <c r="AI104" s="4" t="e">
        <f aca="false">IF(AB104&lt;TIME(0,30,0),"Met","Not Met")</f>
        <v>#VALUE!</v>
      </c>
      <c r="AN104" s="1" t="str">
        <f aca="false">TEXT(B104,"dd")</f>
        <v>17</v>
      </c>
      <c r="AO104" s="1" t="str">
        <f aca="false">TEXT(X104,"dd")</f>
        <v>20</v>
      </c>
      <c r="AP104" s="16" t="str">
        <f aca="false">INT(
  NETWORKDAYS(B104,V104)-1
  + IF(WEEKDAY(V104,2)&lt;6,MOD(V104+W104,1),0)
  - IF(WEEKDAY(B104,2)&lt;6,MOD(B104+C104,1),0)
)
&amp; ":" &amp;
TEXT(HOUR(
  NETWORKDAYS(B104,V104)-1
  + IF(WEEKDAY(V104,2)&lt;6,MOD(V104+W104,1),0)
  - IF(WEEKDAY(B104,2)&lt;6,MOD(B104+C104,1),0)
),"00")
&amp; ":" &amp;
TEXT(MINUTE(
  NETWORKDAYS(B104,V104)-1
  + IF(WEEKDAY(V104,2)&lt;6,MOD(V104+W104,1),0)
  - IF(WEEKDAY(B104,2)&lt;6,MOD(B104+C104,1),0)
),"00")</f>
        <v>0:22:38</v>
      </c>
      <c r="AQ104" s="0" t="n">
        <f aca="false">IFERROR(
LEFT(AP104,FIND(":",AP104)-1)
+ MID(AP104,FIND(":",AP104)+1,2)/24
+ RIGHT(AP104,2)/1440,
"")</f>
        <v>0.943055555555556</v>
      </c>
      <c r="AR104" s="0" t="n">
        <f aca="false">WEEKNUM(B104,1)</f>
        <v>3</v>
      </c>
      <c r="AS104" s="17" t="n">
        <f aca="false">IF(B104&gt;0, (B104+C104)-TIME(13,30,0), "")</f>
        <v>46038.6548611111</v>
      </c>
      <c r="AT104" s="18" t="n">
        <f aca="false">IF(B104&gt;0, (B104+C104)-TIME(13,30,0), "")</f>
        <v>46038.6548611111</v>
      </c>
      <c r="AU104" s="17" t="n">
        <f aca="false">IF(V104&gt;0, (V104+W104)-TIME(13,30,0), "")</f>
        <v>46041.3805555556</v>
      </c>
      <c r="AV104" s="18" t="n">
        <f aca="false">IF(V104&gt;0, (V104+W104)-TIME(13,30,0), "")</f>
        <v>46041.3805555556</v>
      </c>
      <c r="AW104" s="19" t="n">
        <f aca="false">24*(
MAX(0,
IF(NETWORKDAYS(AS104,AU104)=1,
MIN(MOD(AV104,1),TIME(17,30,0)) - MAX(MOD(AT104,1),TIME(8,30,0)),
(TIME(17,30,0)-MAX(MOD(AT104,1),TIME(8,30,0)))
+ (MIN(MOD(AV104,1),TIME(17,30,0))-TIME(8,30,0))
+ (NETWORKDAYS(AS104,AU104)-2)*9/24
)
)
)</f>
        <v>2.41666666675194</v>
      </c>
      <c r="AX104" s="19" t="n">
        <f aca="false">24*(
MAX(0,
IF(NETWORKDAYS(AS104,AU104)=1,
MIN(MOD(AV104,1),TIME(17,30,0)) - MAX(MOD(AT104,1),TIME(8,30,0)),
(TIME(17,30,0)-MAX(MOD(AT104,1),TIME(8,30,0)))
+ (MIN(MOD(AV104,1),TIME(17,30,0))-TIME(8,30,0))
+ (NETWORKDAYS(AS104,AU104)-2)* (TIME(17,30,0)-TIME(8,30,0))
)
)
)</f>
        <v>2.41666666675194</v>
      </c>
      <c r="AY104" s="20" t="n">
        <f aca="false">ROUND(
IF(AS104=AU104,
MAX(0,
(MIN(MOD(AV104,1),TIME(17,30,0))-
MAX(MOD(AT104,1),TIME(8,30,0)))*24
),
(
(MAX(0,TIME(17,30,0)-MAX(MOD(AT104,1),TIME(8,30,0)))*24)
+
(MAX(0,MIN(MOD(AV104,1),TIME(17,30,0))-TIME(8,30,0))*24)
+
(MAX(0,NETWORKDAYS(AS104+1,AU104-1))*9)
)
),
2)</f>
        <v>2.42</v>
      </c>
      <c r="AZ104" s="0" t="n">
        <f aca="false" t="array" ref="AZ104:AZ104">_xlfn.XLOOKUP(J104,{"Low","Medium","High"},{270,72,24})</f>
        <v>270</v>
      </c>
      <c r="BA104" s="0" t="str">
        <f aca="false">IF(AW104&gt;AZ104,"Not Met","Met")</f>
        <v>Met</v>
      </c>
      <c r="BB104" s="21" t="str">
        <f aca="false">IF(AS104="","",TEXT(AS104,"MMM")&amp;"'"&amp;TEXT(AS104,"yy"))</f>
        <v>Jan'26</v>
      </c>
      <c r="BC104" s="0" t="str">
        <f aca="false">IF(AU104="","",TEXT(AU104,"MMM")&amp;"'"&amp;TEXT(AU104,"yy"))</f>
        <v>Jan'26</v>
      </c>
    </row>
    <row r="105" customFormat="false" ht="15" hidden="false" customHeight="false" outlineLevel="0" collapsed="false">
      <c r="A105" s="23" t="s">
        <v>454</v>
      </c>
      <c r="B105" s="24" t="n">
        <v>46042</v>
      </c>
      <c r="C105" s="12" t="n">
        <v>0.929166666666667</v>
      </c>
      <c r="D105" s="13" t="str">
        <f aca="false">IF(B105="","",TEXT(B105,"MMM")&amp;"'"&amp;TEXT(B105,"yy"))</f>
        <v>Jan'26</v>
      </c>
      <c r="E105" s="1" t="s">
        <v>55</v>
      </c>
      <c r="F105" s="1" t="s">
        <v>39</v>
      </c>
      <c r="G105" s="46" t="str">
        <f aca="false">IF(F105="Closed","Closed","Pending")</f>
        <v>Closed</v>
      </c>
      <c r="H105" s="23" t="s">
        <v>56</v>
      </c>
      <c r="I105" s="1" t="s">
        <v>455</v>
      </c>
      <c r="J105" s="35" t="s">
        <v>74</v>
      </c>
      <c r="K105" s="1" t="s">
        <v>59</v>
      </c>
      <c r="L105" s="49" t="s">
        <v>456</v>
      </c>
      <c r="M105" s="1" t="s">
        <v>457</v>
      </c>
      <c r="N105" s="1" t="s">
        <v>65</v>
      </c>
      <c r="O105" s="1" t="s">
        <v>106</v>
      </c>
      <c r="Q105" s="1" t="s">
        <v>65</v>
      </c>
      <c r="R105" s="1" t="s">
        <v>426</v>
      </c>
      <c r="U105" s="12" t="n">
        <v>0.963888888888889</v>
      </c>
      <c r="V105" s="11" t="n">
        <v>46049</v>
      </c>
      <c r="W105" s="12" t="n">
        <v>0.925</v>
      </c>
      <c r="X105" s="11" t="n">
        <v>46049</v>
      </c>
      <c r="Y105" s="12" t="n">
        <v>0.963888888888889</v>
      </c>
      <c r="Z105" s="1" t="s">
        <v>108</v>
      </c>
      <c r="AA105" s="1" t="s">
        <v>68</v>
      </c>
      <c r="AB105" s="2" t="e">
        <f aca="false">U105-G105</f>
        <v>#VALUE!</v>
      </c>
      <c r="AC105" s="14" t="n">
        <f aca="false">(V105+W105)-(B105+C105)</f>
        <v>6.99583333333333</v>
      </c>
      <c r="AD105" s="4" t="str">
        <f aca="false">INT((V105+W105)-(B105+C105)) &amp; ":" &amp;
TEXT(HOUR((V105+W105)-(B105+C105)), "00") &amp; ":" &amp;
TEXT(MINUTE((V105+W105)-(B105+C105)), "00")</f>
        <v>6:23:54</v>
      </c>
      <c r="AE105" s="1" t="n">
        <f aca="false">IFERROR(
LEFT(AD105,FIND(":",AD105)-1)
+ MID(AD105,FIND(":",AD105)+1,2)/24
+ RIGHT(AD105,2)/1440,
"")</f>
        <v>6.99583333333333</v>
      </c>
      <c r="AF105" s="4" t="str">
        <f aca="false">INT((X105+Y105)-(B105+C105)) &amp; ":" &amp;
TEXT(HOUR((X105+Y105)-(B105+C105)), "00") &amp; ":" &amp;
TEXT(MINUTE((X105+Y105)-(B105+C105)), "00")</f>
        <v>7:00:50</v>
      </c>
      <c r="AG105" s="4" t="str">
        <f aca="false" t="array" ref="AG105:AG105">INT(_xlfn.XLOOKUP(J105,{"Low","Medium","High","Urgent"},{48,24,12,8})/24) &amp; ":" &amp;
TEXT(MOD(_xlfn.XLOOKUP(J105,{"Low","Medium","High","Urgent"},{48,24,12,8}),24)/24,"hh:mm")</f>
        <v>2:00:00</v>
      </c>
      <c r="AH105" s="4" t="str">
        <f aca="false">IF(AD105&gt;AG105,"Not Met","Met")</f>
        <v>Not Met</v>
      </c>
      <c r="AI105" s="4" t="e">
        <f aca="false">IF(AB105&lt;TIME(0,30,0),"Met","Not Met")</f>
        <v>#VALUE!</v>
      </c>
      <c r="AN105" s="1" t="str">
        <f aca="false">TEXT(B105,"dd")</f>
        <v>20</v>
      </c>
      <c r="AO105" s="1" t="str">
        <f aca="false">TEXT(X105,"dd")</f>
        <v>27</v>
      </c>
      <c r="AP105" s="16" t="str">
        <f aca="false">INT(
  NETWORKDAYS(B105,V105)-1
  + IF(WEEKDAY(V105,2)&lt;6,MOD(V105+W105,1),0)
  - IF(WEEKDAY(B105,2)&lt;6,MOD(B105+C105,1),0)
)
&amp; ":" &amp;
TEXT(HOUR(
  NETWORKDAYS(B105,V105)-1
  + IF(WEEKDAY(V105,2)&lt;6,MOD(V105+W105,1),0)
  - IF(WEEKDAY(B105,2)&lt;6,MOD(B105+C105,1),0)
),"00")
&amp; ":" &amp;
TEXT(MINUTE(
  NETWORKDAYS(B105,V105)-1
  + IF(WEEKDAY(V105,2)&lt;6,MOD(V105+W105,1),0)
  - IF(WEEKDAY(B105,2)&lt;6,MOD(B105+C105,1),0)
),"00")</f>
        <v>4:23:54</v>
      </c>
      <c r="AQ105" s="0" t="n">
        <f aca="false">IFERROR(
LEFT(AP105,FIND(":",AP105)-1)
+ MID(AP105,FIND(":",AP105)+1,2)/24
+ RIGHT(AP105,2)/1440,
"")</f>
        <v>4.99583333333333</v>
      </c>
      <c r="AR105" s="0" t="n">
        <f aca="false">WEEKNUM(B105,1)</f>
        <v>4</v>
      </c>
      <c r="AS105" s="17" t="n">
        <f aca="false">IF(B105&gt;0, (B105+C105)-TIME(13,30,0), "")</f>
        <v>46042.3666666667</v>
      </c>
      <c r="AT105" s="18" t="n">
        <f aca="false">IF(B105&gt;0, (B105+C105)-TIME(13,30,0), "")</f>
        <v>46042.3666666667</v>
      </c>
      <c r="AU105" s="17" t="n">
        <f aca="false">IF(V105&gt;0, (V105+W105)-TIME(13,30,0), "")</f>
        <v>46049.3625</v>
      </c>
      <c r="AV105" s="18" t="n">
        <f aca="false">IF(V105&gt;0, (V105+W105)-TIME(13,30,0), "")</f>
        <v>46049.3625</v>
      </c>
      <c r="AW105" s="19" t="n">
        <f aca="false">24*(
MAX(0,
IF(NETWORKDAYS(AS105,AU105)=1,
MIN(MOD(AV105,1),TIME(17,30,0)) - MAX(MOD(AT105,1),TIME(8,30,0)),
(TIME(17,30,0)-MAX(MOD(AT105,1),TIME(8,30,0)))
+ (MIN(MOD(AV105,1),TIME(17,30,0))-TIME(8,30,0))
+ (NETWORKDAYS(AS105,AU105)-2)*9/24
)
)
)</f>
        <v>44.9</v>
      </c>
      <c r="AX105" s="19" t="n">
        <f aca="false">24*(
MAX(0,
IF(NETWORKDAYS(AS105,AU105)=1,
MIN(MOD(AV105,1),TIME(17,30,0)) - MAX(MOD(AT105,1),TIME(8,30,0)),
(TIME(17,30,0)-MAX(MOD(AT105,1),TIME(8,30,0)))
+ (MIN(MOD(AV105,1),TIME(17,30,0))-TIME(8,30,0))
+ (NETWORKDAYS(AS105,AU105)-2)* (TIME(17,30,0)-TIME(8,30,0))
)
)
)</f>
        <v>44.9</v>
      </c>
      <c r="AY105" s="20" t="n">
        <f aca="false">ROUND(
IF(AS105=AU105,
MAX(0,
(MIN(MOD(AV105,1),TIME(17,30,0))-
MAX(MOD(AT105,1),TIME(8,30,0)))*24
),
(
(MAX(0,TIME(17,30,0)-MAX(MOD(AT105,1),TIME(8,30,0)))*24)
+
(MAX(0,MIN(MOD(AV105,1),TIME(17,30,0))-TIME(8,30,0))*24)
+
(MAX(0,NETWORKDAYS(AS105+1,AU105-1))*9)
)
),
2)</f>
        <v>44.9</v>
      </c>
      <c r="AZ105" s="0" t="n">
        <f aca="false" t="array" ref="AZ105:AZ105">_xlfn.XLOOKUP(J105,{"Low","Medium","High"},{270,72,24})</f>
        <v>270</v>
      </c>
      <c r="BA105" s="0" t="str">
        <f aca="false">IF(AW105&gt;AZ105,"Not Met","Met")</f>
        <v>Met</v>
      </c>
      <c r="BB105" s="21" t="str">
        <f aca="false">IF(AS105="","",TEXT(AS105,"MMM")&amp;"'"&amp;TEXT(AS105,"yy"))</f>
        <v>Jan'26</v>
      </c>
      <c r="BC105" s="0" t="str">
        <f aca="false">IF(AU105="","",TEXT(AU105,"MMM")&amp;"'"&amp;TEXT(AU105,"yy"))</f>
        <v>Jan'26</v>
      </c>
    </row>
    <row r="106" customFormat="false" ht="15" hidden="false" customHeight="false" outlineLevel="0" collapsed="false">
      <c r="A106" s="23" t="s">
        <v>458</v>
      </c>
      <c r="B106" s="24" t="n">
        <v>46043</v>
      </c>
      <c r="C106" s="12" t="n">
        <v>0.242361111111111</v>
      </c>
      <c r="D106" s="13" t="str">
        <f aca="false">IF(B106="","",TEXT(B106,"MMM")&amp;"'"&amp;TEXT(B106,"yy"))</f>
        <v>Jan'26</v>
      </c>
      <c r="E106" s="1" t="s">
        <v>55</v>
      </c>
      <c r="F106" s="1" t="s">
        <v>39</v>
      </c>
      <c r="G106" s="46" t="str">
        <f aca="false">IF(F106="Closed","Closed","Pending")</f>
        <v>Closed</v>
      </c>
      <c r="H106" s="23" t="s">
        <v>56</v>
      </c>
      <c r="I106" s="1" t="s">
        <v>459</v>
      </c>
      <c r="J106" s="35" t="s">
        <v>74</v>
      </c>
      <c r="K106" s="1" t="s">
        <v>59</v>
      </c>
      <c r="L106" s="23" t="s">
        <v>460</v>
      </c>
      <c r="M106" s="1" t="s">
        <v>461</v>
      </c>
      <c r="N106" s="1" t="s">
        <v>65</v>
      </c>
      <c r="O106" s="1" t="s">
        <v>77</v>
      </c>
      <c r="Q106" s="1" t="s">
        <v>65</v>
      </c>
      <c r="R106" s="1" t="s">
        <v>66</v>
      </c>
      <c r="U106" s="12" t="n">
        <v>0.245138888888889</v>
      </c>
      <c r="V106" s="11" t="n">
        <v>46062</v>
      </c>
      <c r="W106" s="12" t="n">
        <v>0.963194444444445</v>
      </c>
      <c r="X106" s="11" t="n">
        <v>46072</v>
      </c>
      <c r="Y106" s="12" t="n">
        <v>0.113194444444444</v>
      </c>
      <c r="Z106" s="1" t="s">
        <v>108</v>
      </c>
      <c r="AA106" s="1" t="s">
        <v>68</v>
      </c>
      <c r="AB106" s="2" t="e">
        <f aca="false">U106-G106</f>
        <v>#VALUE!</v>
      </c>
      <c r="AC106" s="14" t="n">
        <f aca="false">(V106+W106)-(B106+C106)</f>
        <v>19.7208333333333</v>
      </c>
      <c r="AD106" s="4" t="str">
        <f aca="false">INT((V106+W106)-(B106+C106)) &amp; ":" &amp;
TEXT(HOUR((V106+W106)-(B106+C106)), "00") &amp; ":" &amp;
TEXT(MINUTE((V106+W106)-(B106+C106)), "00")</f>
        <v>19:17:18</v>
      </c>
      <c r="AE106" s="1" t="n">
        <f aca="false">IFERROR(
LEFT(AD106,FIND(":",AD106)-1)
+ MID(AD106,FIND(":",AD106)+1,2)/24
+ RIGHT(AD106,2)/1440,
"")</f>
        <v>19.7208333333333</v>
      </c>
      <c r="AF106" s="4" t="str">
        <f aca="false">INT((X106+Y106)-(B106+C106)) &amp; ":" &amp;
TEXT(HOUR((X106+Y106)-(B106+C106)), "00") &amp; ":" &amp;
TEXT(MINUTE((X106+Y106)-(B106+C106)), "00")</f>
        <v>28:20:54</v>
      </c>
      <c r="AG106" s="4" t="str">
        <f aca="false" t="array" ref="AG106:AG106">INT(_xlfn.XLOOKUP(J106,{"Low","Medium","High","Urgent"},{48,24,12,8})/24) &amp; ":" &amp;
TEXT(MOD(_xlfn.XLOOKUP(J106,{"Low","Medium","High","Urgent"},{48,24,12,8}),24)/24,"hh:mm")</f>
        <v>2:00:00</v>
      </c>
      <c r="AH106" s="4" t="str">
        <f aca="false">IF(AD106&gt;AG106,"Not Met","Met")</f>
        <v>Met</v>
      </c>
      <c r="AI106" s="4" t="e">
        <f aca="false">IF(AB106&lt;TIME(0,30,0),"Met","Not Met")</f>
        <v>#VALUE!</v>
      </c>
      <c r="AN106" s="1" t="str">
        <f aca="false">TEXT(B106,"dd")</f>
        <v>21</v>
      </c>
      <c r="AO106" s="1" t="str">
        <f aca="false">TEXT(X106,"dd")</f>
        <v>19</v>
      </c>
      <c r="AP106" s="16" t="str">
        <f aca="false">INT(
  NETWORKDAYS(B106,V106)-1
  + IF(WEEKDAY(V106,2)&lt;6,MOD(V106+W106,1),0)
  - IF(WEEKDAY(B106,2)&lt;6,MOD(B106+C106,1),0)
)
&amp; ":" &amp;
TEXT(HOUR(
  NETWORKDAYS(B106,V106)-1
  + IF(WEEKDAY(V106,2)&lt;6,MOD(V106+W106,1),0)
  - IF(WEEKDAY(B106,2)&lt;6,MOD(B106+C106,1),0)
),"00")
&amp; ":" &amp;
TEXT(MINUTE(
  NETWORKDAYS(B106,V106)-1
  + IF(WEEKDAY(V106,2)&lt;6,MOD(V106+W106,1),0)
  - IF(WEEKDAY(B106,2)&lt;6,MOD(B106+C106,1),0)
),"00")</f>
        <v>13:17:17</v>
      </c>
      <c r="AQ106" s="0" t="n">
        <f aca="false">IFERROR(
LEFT(AP106,FIND(":",AP106)-1)
+ MID(AP106,FIND(":",AP106)+1,2)/24
+ RIGHT(AP106,2)/1440,
"")</f>
        <v>13.7201388888889</v>
      </c>
      <c r="AR106" s="0" t="n">
        <f aca="false">WEEKNUM(B106,1)</f>
        <v>4</v>
      </c>
      <c r="AS106" s="17" t="n">
        <f aca="false">IF(B106&gt;0, (B106+C106)-TIME(13,30,0), "")</f>
        <v>46042.6798611111</v>
      </c>
      <c r="AT106" s="18" t="n">
        <f aca="false">IF(B106&gt;0, (B106+C106)-TIME(13,30,0), "")</f>
        <v>46042.6798611111</v>
      </c>
      <c r="AU106" s="17" t="n">
        <f aca="false">IF(V106&gt;0, (V106+W106)-TIME(13,30,0), "")</f>
        <v>46062.4006944444</v>
      </c>
      <c r="AV106" s="18" t="n">
        <f aca="false">IF(V106&gt;0, (V106+W106)-TIME(13,30,0), "")</f>
        <v>46062.4006944444</v>
      </c>
      <c r="AW106" s="19" t="n">
        <f aca="false">24*(
MAX(0,
IF(NETWORKDAYS(AS106,AU106)=1,
MIN(MOD(AV106,1),TIME(17,30,0)) - MAX(MOD(AT106,1),TIME(8,30,0)),
(TIME(17,30,0)-MAX(MOD(AT106,1),TIME(8,30,0)))
+ (MIN(MOD(AV106,1),TIME(17,30,0))-TIME(8,30,0))
+ (NETWORKDAYS(AS106,AU106)-2)*9/24
)
)
)</f>
        <v>119.3</v>
      </c>
      <c r="AX106" s="19" t="n">
        <f aca="false">24*(
MAX(0,
IF(NETWORKDAYS(AS106,AU106)=1,
MIN(MOD(AV106,1),TIME(17,30,0)) - MAX(MOD(AT106,1),TIME(8,30,0)),
(TIME(17,30,0)-MAX(MOD(AT106,1),TIME(8,30,0)))
+ (MIN(MOD(AV106,1),TIME(17,30,0))-TIME(8,30,0))
+ (NETWORKDAYS(AS106,AU106)-2)* (TIME(17,30,0)-TIME(8,30,0))
)
)
)</f>
        <v>119.3</v>
      </c>
      <c r="AY106" s="20" t="n">
        <f aca="false">ROUND(
IF(AS106=AU106,
MAX(0,
(MIN(MOD(AV106,1),TIME(17,30,0))-
MAX(MOD(AT106,1),TIME(8,30,0)))*24
),
(
(MAX(0,TIME(17,30,0)-MAX(MOD(AT106,1),TIME(8,30,0)))*24)
+
(MAX(0,MIN(MOD(AV106,1),TIME(17,30,0))-TIME(8,30,0))*24)
+
(MAX(0,NETWORKDAYS(AS106+1,AU106-1))*9)
)
),
2)</f>
        <v>119.3</v>
      </c>
      <c r="AZ106" s="0" t="n">
        <f aca="false" t="array" ref="AZ106:AZ106">_xlfn.XLOOKUP(J106,{"Low","Medium","High"},{270,72,24})</f>
        <v>270</v>
      </c>
      <c r="BA106" s="0" t="str">
        <f aca="false">IF(AW106&gt;AZ106,"Not Met","Met")</f>
        <v>Met</v>
      </c>
      <c r="BB106" s="21" t="str">
        <f aca="false">IF(AS106="","",TEXT(AS106,"MMM")&amp;"'"&amp;TEXT(AS106,"yy"))</f>
        <v>Jan'26</v>
      </c>
      <c r="BC106" s="0" t="str">
        <f aca="false">IF(AU106="","",TEXT(AU106,"MMM")&amp;"'"&amp;TEXT(AU106,"yy"))</f>
        <v>Feb'26</v>
      </c>
    </row>
    <row r="107" customFormat="false" ht="15" hidden="false" customHeight="false" outlineLevel="0" collapsed="false">
      <c r="A107" s="1" t="s">
        <v>462</v>
      </c>
      <c r="B107" s="11" t="n">
        <v>46043</v>
      </c>
      <c r="C107" s="12" t="n">
        <v>0.915972222222222</v>
      </c>
      <c r="D107" s="13" t="str">
        <f aca="false">IF(B107="","",TEXT(B107,"MMM")&amp;"'"&amp;TEXT(B107,"yy"))</f>
        <v>Jan'26</v>
      </c>
      <c r="E107" s="1" t="s">
        <v>55</v>
      </c>
      <c r="F107" s="1" t="s">
        <v>39</v>
      </c>
      <c r="G107" s="46" t="str">
        <f aca="false">IF(F107="Closed","Closed","Pending")</f>
        <v>Closed</v>
      </c>
      <c r="H107" s="1" t="s">
        <v>72</v>
      </c>
      <c r="I107" s="1" t="s">
        <v>298</v>
      </c>
      <c r="J107" s="35" t="s">
        <v>58</v>
      </c>
      <c r="K107" s="1" t="s">
        <v>59</v>
      </c>
      <c r="L107" s="1" t="s">
        <v>463</v>
      </c>
      <c r="M107" s="1" t="s">
        <v>464</v>
      </c>
      <c r="N107" s="1" t="s">
        <v>62</v>
      </c>
      <c r="O107" s="1" t="s">
        <v>63</v>
      </c>
      <c r="Q107" s="1" t="s">
        <v>229</v>
      </c>
      <c r="R107" s="1" t="s">
        <v>66</v>
      </c>
      <c r="U107" s="12" t="n">
        <v>0.928472222222222</v>
      </c>
      <c r="V107" s="11" t="n">
        <v>46052</v>
      </c>
      <c r="W107" s="12" t="n">
        <v>0.919444444444444</v>
      </c>
      <c r="X107" s="11" t="n">
        <v>46063</v>
      </c>
      <c r="Y107" s="12" t="n">
        <v>0.0444444444444444</v>
      </c>
      <c r="Z107" s="1" t="s">
        <v>108</v>
      </c>
      <c r="AA107" s="1" t="s">
        <v>68</v>
      </c>
      <c r="AB107" s="2" t="e">
        <f aca="false">U107-G107</f>
        <v>#VALUE!</v>
      </c>
      <c r="AC107" s="14" t="n">
        <f aca="false">(V107+W107)-(B107+C107)</f>
        <v>9.00347222222222</v>
      </c>
      <c r="AD107" s="4" t="str">
        <f aca="false">INT((V107+W107)-(B107+C107)) &amp; ":" &amp;
TEXT(HOUR((V107+W107)-(B107+C107)), "00") &amp; ":" &amp;
TEXT(MINUTE((V107+W107)-(B107+C107)), "00")</f>
        <v>9:00:05</v>
      </c>
      <c r="AE107" s="1" t="n">
        <f aca="false">IFERROR(
LEFT(AD107,FIND(":",AD107)-1)
+ MID(AD107,FIND(":",AD107)+1,2)/24
+ RIGHT(AD107,2)/1440,
"")</f>
        <v>9.00347222222222</v>
      </c>
      <c r="AF107" s="4" t="str">
        <f aca="false">INT((X107+Y107)-(B107+C107)) &amp; ":" &amp;
TEXT(HOUR((X107+Y107)-(B107+C107)), "00") &amp; ":" &amp;
TEXT(MINUTE((X107+Y107)-(B107+C107)), "00")</f>
        <v>19:03:05</v>
      </c>
      <c r="AG107" s="4" t="str">
        <f aca="false" t="array" ref="AG107:AG107">INT(_xlfn.XLOOKUP(J107,{"Low","Medium","High","Urgent"},{48,24,12,8})/24) &amp; ":" &amp;
TEXT(MOD(_xlfn.XLOOKUP(J107,{"Low","Medium","High","Urgent"},{48,24,12,8}),24)/24,"hh:mm")</f>
        <v>1:00:00</v>
      </c>
      <c r="AH107" s="4" t="str">
        <f aca="false">IF(AD107&gt;AG107,"Not Met","Met")</f>
        <v>Not Met</v>
      </c>
      <c r="AI107" s="4" t="e">
        <f aca="false">IF(AB107&lt;TIME(0,30,0),"Met","Not Met")</f>
        <v>#VALUE!</v>
      </c>
      <c r="AN107" s="1" t="str">
        <f aca="false">TEXT(B107,"dd")</f>
        <v>21</v>
      </c>
      <c r="AO107" s="1" t="str">
        <f aca="false">TEXT(X107,"dd")</f>
        <v>10</v>
      </c>
      <c r="AP107" s="16" t="str">
        <f aca="false">INT(
  NETWORKDAYS(B107,V107)-1
  + IF(WEEKDAY(V107,2)&lt;6,MOD(V107+W107,1),0)
  - IF(WEEKDAY(B107,2)&lt;6,MOD(B107+C107,1),0)
)
&amp; ":" &amp;
TEXT(HOUR(
  NETWORKDAYS(B107,V107)-1
  + IF(WEEKDAY(V107,2)&lt;6,MOD(V107+W107,1),0)
  - IF(WEEKDAY(B107,2)&lt;6,MOD(B107+C107,1),0)
),"00")
&amp; ":" &amp;
TEXT(MINUTE(
  NETWORKDAYS(B107,V107)-1
  + IF(WEEKDAY(V107,2)&lt;6,MOD(V107+W107,1),0)
  - IF(WEEKDAY(B107,2)&lt;6,MOD(B107+C107,1),0)
),"00")</f>
        <v>7:00:04</v>
      </c>
      <c r="AQ107" s="0" t="n">
        <f aca="false">IFERROR(
LEFT(AP107,FIND(":",AP107)-1)
+ MID(AP107,FIND(":",AP107)+1,2)/24
+ RIGHT(AP107,2)/1440,
"")</f>
        <v>7.00277777777778</v>
      </c>
      <c r="AR107" s="0" t="n">
        <f aca="false">WEEKNUM(B107,1)</f>
        <v>4</v>
      </c>
      <c r="AS107" s="17" t="n">
        <f aca="false">IF(B107&gt;0, (B107+C107)-TIME(13,30,0), "")</f>
        <v>46043.3534722222</v>
      </c>
      <c r="AT107" s="18" t="n">
        <f aca="false">IF(B107&gt;0, (B107+C107)-TIME(13,30,0), "")</f>
        <v>46043.3534722222</v>
      </c>
      <c r="AU107" s="17" t="n">
        <f aca="false">IF(V107&gt;0, (V107+W107)-TIME(13,30,0), "")</f>
        <v>46052.3569444444</v>
      </c>
      <c r="AV107" s="18" t="n">
        <f aca="false">IF(V107&gt;0, (V107+W107)-TIME(13,30,0), "")</f>
        <v>46052.3569444444</v>
      </c>
      <c r="AW107" s="19" t="n">
        <f aca="false">24*(
MAX(0,
IF(NETWORKDAYS(AS107,AU107)=1,
MIN(MOD(AV107,1),TIME(17,30,0)) - MAX(MOD(AT107,1),TIME(8,30,0)),
(TIME(17,30,0)-MAX(MOD(AT107,1),TIME(8,30,0)))
+ (MIN(MOD(AV107,1),TIME(17,30,0))-TIME(8,30,0))
+ (NETWORKDAYS(AS107,AU107)-2)*9/24
)
)
)</f>
        <v>63.0666666666667</v>
      </c>
      <c r="AX107" s="19" t="n">
        <f aca="false">24*(
MAX(0,
IF(NETWORKDAYS(AS107,AU107)=1,
MIN(MOD(AV107,1),TIME(17,30,0)) - MAX(MOD(AT107,1),TIME(8,30,0)),
(TIME(17,30,0)-MAX(MOD(AT107,1),TIME(8,30,0)))
+ (MIN(MOD(AV107,1),TIME(17,30,0))-TIME(8,30,0))
+ (NETWORKDAYS(AS107,AU107)-2)* (TIME(17,30,0)-TIME(8,30,0))
)
)
)</f>
        <v>63.0666666666667</v>
      </c>
      <c r="AY107" s="20" t="n">
        <f aca="false">ROUND(
IF(AS107=AU107,
MAX(0,
(MIN(MOD(AV107,1),TIME(17,30,0))-
MAX(MOD(AT107,1),TIME(8,30,0)))*24
),
(
(MAX(0,TIME(17,30,0)-MAX(MOD(AT107,1),TIME(8,30,0)))*24)
+
(MAX(0,MIN(MOD(AV107,1),TIME(17,30,0))-TIME(8,30,0))*24)
+
(MAX(0,NETWORKDAYS(AS107+1,AU107-1))*9)
)
),
2)</f>
        <v>63.07</v>
      </c>
      <c r="AZ107" s="0" t="n">
        <f aca="false" t="array" ref="AZ107:AZ107">_xlfn.XLOOKUP(J107,{"Low","Medium","High"},{270,72,24})</f>
        <v>72</v>
      </c>
      <c r="BA107" s="0" t="str">
        <f aca="false">IF(AW107&gt;AZ107,"Not Met","Met")</f>
        <v>Met</v>
      </c>
      <c r="BB107" s="21" t="str">
        <f aca="false">IF(AS107="","",TEXT(AS107,"MMM")&amp;"'"&amp;TEXT(AS107,"yy"))</f>
        <v>Jan'26</v>
      </c>
      <c r="BC107" s="0" t="str">
        <f aca="false">IF(AU107="","",TEXT(AU107,"MMM")&amp;"'"&amp;TEXT(AU107,"yy"))</f>
        <v>Jan'26</v>
      </c>
    </row>
    <row r="108" customFormat="false" ht="15" hidden="false" customHeight="false" outlineLevel="0" collapsed="false">
      <c r="A108" s="1" t="s">
        <v>465</v>
      </c>
      <c r="B108" s="11" t="n">
        <v>46044</v>
      </c>
      <c r="C108" s="12" t="n">
        <v>0.075</v>
      </c>
      <c r="D108" s="13" t="str">
        <f aca="false">IF(B108="","",TEXT(B108,"MMM")&amp;"'"&amp;TEXT(B108,"yy"))</f>
        <v>Jan'26</v>
      </c>
      <c r="E108" s="1" t="s">
        <v>55</v>
      </c>
      <c r="F108" s="1" t="s">
        <v>39</v>
      </c>
      <c r="G108" s="46" t="str">
        <f aca="false">IF(F108="Closed","Closed","Pending")</f>
        <v>Closed</v>
      </c>
      <c r="H108" s="1" t="s">
        <v>185</v>
      </c>
      <c r="I108" s="1" t="s">
        <v>186</v>
      </c>
      <c r="J108" s="35" t="s">
        <v>58</v>
      </c>
      <c r="K108" s="1" t="s">
        <v>59</v>
      </c>
      <c r="L108" s="1" t="s">
        <v>309</v>
      </c>
      <c r="M108" s="1" t="s">
        <v>466</v>
      </c>
      <c r="N108" s="1" t="s">
        <v>62</v>
      </c>
      <c r="O108" s="1" t="s">
        <v>63</v>
      </c>
      <c r="Q108" s="1" t="s">
        <v>229</v>
      </c>
      <c r="R108" s="1" t="s">
        <v>66</v>
      </c>
      <c r="U108" s="12" t="n">
        <v>0.0944444444444444</v>
      </c>
      <c r="V108" s="11" t="n">
        <v>46049</v>
      </c>
      <c r="W108" s="12" t="n">
        <v>0.928472222222222</v>
      </c>
      <c r="X108" s="11" t="n">
        <v>46056</v>
      </c>
      <c r="Y108" s="12" t="n">
        <v>0.798611111111111</v>
      </c>
      <c r="Z108" s="23" t="s">
        <v>108</v>
      </c>
      <c r="AA108" s="1" t="s">
        <v>68</v>
      </c>
      <c r="AB108" s="2" t="e">
        <f aca="false">U108-G108</f>
        <v>#VALUE!</v>
      </c>
      <c r="AC108" s="14" t="n">
        <f aca="false">(V108+W108)-(B108+C108)</f>
        <v>5.85347222222222</v>
      </c>
      <c r="AD108" s="4" t="str">
        <f aca="false">INT((V108+W108)-(B108+C108)) &amp; ":" &amp;
TEXT(HOUR((V108+W108)-(B108+C108)), "00") &amp; ":" &amp;
TEXT(MINUTE((V108+W108)-(B108+C108)), "00")</f>
        <v>5:20:29</v>
      </c>
      <c r="AE108" s="1" t="n">
        <f aca="false">IFERROR(
LEFT(AD108,FIND(":",AD108)-1)
+ MID(AD108,FIND(":",AD108)+1,2)/24
+ RIGHT(AD108,2)/1440,
"")</f>
        <v>5.85347222222222</v>
      </c>
      <c r="AF108" s="4" t="str">
        <f aca="false">INT((X108+Y108)-(B108+C108)) &amp; ":" &amp;
TEXT(HOUR((X108+Y108)-(B108+C108)), "00") &amp; ":" &amp;
TEXT(MINUTE((X108+Y108)-(B108+C108)), "00")</f>
        <v>12:17:22</v>
      </c>
      <c r="AG108" s="4" t="str">
        <f aca="false" t="array" ref="AG108:AG108">INT(_xlfn.XLOOKUP(J108,{"Low","Medium","High","Urgent"},{48,24,12,8})/24) &amp; ":" &amp;
TEXT(MOD(_xlfn.XLOOKUP(J108,{"Low","Medium","High","Urgent"},{48,24,12,8}),24)/24,"hh:mm")</f>
        <v>1:00:00</v>
      </c>
      <c r="AH108" s="4" t="str">
        <f aca="false">IF(AD108&gt;AG108,"Not Met","Met")</f>
        <v>Not Met</v>
      </c>
      <c r="AI108" s="4" t="e">
        <f aca="false">IF(AB108&lt;TIME(0,30,0),"Met","Not Met")</f>
        <v>#VALUE!</v>
      </c>
      <c r="AN108" s="1" t="str">
        <f aca="false">TEXT(B108,"dd")</f>
        <v>22</v>
      </c>
      <c r="AO108" s="1" t="str">
        <f aca="false">TEXT(X108,"dd")</f>
        <v>03</v>
      </c>
      <c r="AP108" s="16" t="str">
        <f aca="false">INT(
  NETWORKDAYS(B108,V108)-1
  + IF(WEEKDAY(V108,2)&lt;6,MOD(V108+W108,1),0)
  - IF(WEEKDAY(B108,2)&lt;6,MOD(B108+C108,1),0)
)
&amp; ":" &amp;
TEXT(HOUR(
  NETWORKDAYS(B108,V108)-1
  + IF(WEEKDAY(V108,2)&lt;6,MOD(V108+W108,1),0)
  - IF(WEEKDAY(B108,2)&lt;6,MOD(B108+C108,1),0)
),"00")
&amp; ":" &amp;
TEXT(MINUTE(
  NETWORKDAYS(B108,V108)-1
  + IF(WEEKDAY(V108,2)&lt;6,MOD(V108+W108,1),0)
  - IF(WEEKDAY(B108,2)&lt;6,MOD(B108+C108,1),0)
),"00")</f>
        <v>3:20:29</v>
      </c>
      <c r="AQ108" s="0" t="n">
        <f aca="false">IFERROR(
LEFT(AP108,FIND(":",AP108)-1)
+ MID(AP108,FIND(":",AP108)+1,2)/24
+ RIGHT(AP108,2)/1440,
"")</f>
        <v>3.85347222222222</v>
      </c>
      <c r="AR108" s="0" t="n">
        <f aca="false">WEEKNUM(B108,1)</f>
        <v>4</v>
      </c>
      <c r="AS108" s="17" t="n">
        <f aca="false">IF(B108&gt;0, (B108+C108)-TIME(13,30,0), "")</f>
        <v>46043.5125</v>
      </c>
      <c r="AT108" s="18" t="n">
        <f aca="false">IF(B108&gt;0, (B108+C108)-TIME(13,30,0), "")</f>
        <v>46043.5125</v>
      </c>
      <c r="AU108" s="17" t="n">
        <f aca="false">IF(V108&gt;0, (V108+W108)-TIME(13,30,0), "")</f>
        <v>46049.3659722222</v>
      </c>
      <c r="AV108" s="18" t="n">
        <f aca="false">IF(V108&gt;0, (V108+W108)-TIME(13,30,0), "")</f>
        <v>46049.3659722222</v>
      </c>
      <c r="AW108" s="19" t="n">
        <f aca="false">24*(
MAX(0,
IF(NETWORKDAYS(AS108,AU108)=1,
MIN(MOD(AV108,1),TIME(17,30,0)) - MAX(MOD(AT108,1),TIME(8,30,0)),
(TIME(17,30,0)-MAX(MOD(AT108,1),TIME(8,30,0)))
+ (MIN(MOD(AV108,1),TIME(17,30,0))-TIME(8,30,0))
+ (NETWORKDAYS(AS108,AU108)-2)*9/24
)
)
)</f>
        <v>32.4833333333333</v>
      </c>
      <c r="AX108" s="19" t="n">
        <f aca="false">24*(
MAX(0,
IF(NETWORKDAYS(AS108,AU108)=1,
MIN(MOD(AV108,1),TIME(17,30,0)) - MAX(MOD(AT108,1),TIME(8,30,0)),
(TIME(17,30,0)-MAX(MOD(AT108,1),TIME(8,30,0)))
+ (MIN(MOD(AV108,1),TIME(17,30,0))-TIME(8,30,0))
+ (NETWORKDAYS(AS108,AU108)-2)* (TIME(17,30,0)-TIME(8,30,0))
)
)
)</f>
        <v>32.4833333333333</v>
      </c>
      <c r="AY108" s="20" t="n">
        <f aca="false">ROUND(
IF(AS108=AU108,
MAX(0,
(MIN(MOD(AV108,1),TIME(17,30,0))-
MAX(MOD(AT108,1),TIME(8,30,0)))*24
),
(
(MAX(0,TIME(17,30,0)-MAX(MOD(AT108,1),TIME(8,30,0)))*24)
+
(MAX(0,MIN(MOD(AV108,1),TIME(17,30,0))-TIME(8,30,0))*24)
+
(MAX(0,NETWORKDAYS(AS108+1,AU108-1))*9)
)
),
2)</f>
        <v>32.48</v>
      </c>
      <c r="AZ108" s="0" t="n">
        <f aca="false" t="array" ref="AZ108:AZ108">_xlfn.XLOOKUP(J108,{"Low","Medium","High"},{270,72,24})</f>
        <v>72</v>
      </c>
      <c r="BA108" s="0" t="str">
        <f aca="false">IF(AW108&gt;AZ108,"Not Met","Met")</f>
        <v>Met</v>
      </c>
      <c r="BB108" s="21" t="str">
        <f aca="false">IF(AS108="","",TEXT(AS108,"MMM")&amp;"'"&amp;TEXT(AS108,"yy"))</f>
        <v>Jan'26</v>
      </c>
      <c r="BC108" s="0" t="str">
        <f aca="false">IF(AU108="","",TEXT(AU108,"MMM")&amp;"'"&amp;TEXT(AU108,"yy"))</f>
        <v>Jan'26</v>
      </c>
    </row>
    <row r="109" customFormat="false" ht="15" hidden="false" customHeight="false" outlineLevel="0" collapsed="false">
      <c r="A109" s="1" t="s">
        <v>467</v>
      </c>
      <c r="B109" s="11" t="n">
        <v>46044</v>
      </c>
      <c r="C109" s="12" t="n">
        <v>0.075</v>
      </c>
      <c r="D109" s="13" t="str">
        <f aca="false">IF(B109="","",TEXT(B109,"MMM")&amp;"'"&amp;TEXT(B109,"yy"))</f>
        <v>Jan'26</v>
      </c>
      <c r="E109" s="1" t="s">
        <v>55</v>
      </c>
      <c r="F109" s="1" t="s">
        <v>39</v>
      </c>
      <c r="G109" s="46" t="str">
        <f aca="false">IF(F109="Closed","Closed","Pending")</f>
        <v>Closed</v>
      </c>
      <c r="H109" s="1" t="s">
        <v>157</v>
      </c>
      <c r="I109" s="1" t="s">
        <v>103</v>
      </c>
      <c r="J109" s="35" t="s">
        <v>74</v>
      </c>
      <c r="K109" s="1" t="s">
        <v>59</v>
      </c>
      <c r="L109" s="1" t="s">
        <v>115</v>
      </c>
      <c r="M109" s="1" t="s">
        <v>468</v>
      </c>
      <c r="N109" s="1" t="s">
        <v>65</v>
      </c>
      <c r="O109" s="1" t="s">
        <v>106</v>
      </c>
      <c r="Q109" s="1" t="s">
        <v>65</v>
      </c>
      <c r="R109" s="1" t="s">
        <v>426</v>
      </c>
      <c r="U109" s="12" t="n">
        <v>0.0979166666666667</v>
      </c>
      <c r="V109" s="11" t="n">
        <v>46044</v>
      </c>
      <c r="W109" s="12" t="n">
        <v>0.979166666666667</v>
      </c>
      <c r="X109" s="11" t="n">
        <v>46045</v>
      </c>
      <c r="Y109" s="12" t="n">
        <v>0.0340277777777778</v>
      </c>
      <c r="Z109" s="1" t="s">
        <v>108</v>
      </c>
      <c r="AA109" s="1" t="s">
        <v>68</v>
      </c>
      <c r="AB109" s="2" t="e">
        <f aca="false">U109-G109</f>
        <v>#VALUE!</v>
      </c>
      <c r="AC109" s="14" t="n">
        <f aca="false">(V109+W109)-(B109+C109)</f>
        <v>0.904166666666667</v>
      </c>
      <c r="AD109" s="4" t="str">
        <f aca="false">INT((V109+W109)-(B109+C109)) &amp; ":" &amp;
TEXT(HOUR((V109+W109)-(B109+C109)), "00") &amp; ":" &amp;
TEXT(MINUTE((V109+W109)-(B109+C109)), "00")</f>
        <v>0:21:42</v>
      </c>
      <c r="AE109" s="1" t="n">
        <f aca="false">IFERROR(
LEFT(AD109,FIND(":",AD109)-1)
+ MID(AD109,FIND(":",AD109)+1,2)/24
+ RIGHT(AD109,2)/1440,
"")</f>
        <v>0.904166666666667</v>
      </c>
      <c r="AF109" s="4" t="str">
        <f aca="false">INT((X109+Y109)-(B109+C109)) &amp; ":" &amp;
TEXT(HOUR((X109+Y109)-(B109+C109)), "00") &amp; ":" &amp;
TEXT(MINUTE((X109+Y109)-(B109+C109)), "00")</f>
        <v>0:23:01</v>
      </c>
      <c r="AG109" s="4" t="str">
        <f aca="false" t="array" ref="AG109:AG109">INT(_xlfn.XLOOKUP(J109,{"Low","Medium","High","Urgent"},{48,24,12,8})/24) &amp; ":" &amp;
TEXT(MOD(_xlfn.XLOOKUP(J109,{"Low","Medium","High","Urgent"},{48,24,12,8}),24)/24,"hh:mm")</f>
        <v>2:00:00</v>
      </c>
      <c r="AH109" s="4" t="str">
        <f aca="false">IF(AD109&gt;AG109,"Not Met","Met")</f>
        <v>Met</v>
      </c>
      <c r="AI109" s="4" t="e">
        <f aca="false">IF(AB109&lt;TIME(0,30,0),"Met","Not Met")</f>
        <v>#VALUE!</v>
      </c>
      <c r="AN109" s="1" t="str">
        <f aca="false">TEXT(B109,"dd")</f>
        <v>22</v>
      </c>
      <c r="AO109" s="1" t="str">
        <f aca="false">TEXT(X109,"dd")</f>
        <v>23</v>
      </c>
      <c r="AP109" s="16" t="str">
        <f aca="false">INT(
  NETWORKDAYS(B109,V109)-1
  + IF(WEEKDAY(V109,2)&lt;6,MOD(V109+W109,1),0)
  - IF(WEEKDAY(B109,2)&lt;6,MOD(B109+C109,1),0)
)
&amp; ":" &amp;
TEXT(HOUR(
  NETWORKDAYS(B109,V109)-1
  + IF(WEEKDAY(V109,2)&lt;6,MOD(V109+W109,1),0)
  - IF(WEEKDAY(B109,2)&lt;6,MOD(B109+C109,1),0)
),"00")
&amp; ":" &amp;
TEXT(MINUTE(
  NETWORKDAYS(B109,V109)-1
  + IF(WEEKDAY(V109,2)&lt;6,MOD(V109+W109,1),0)
  - IF(WEEKDAY(B109,2)&lt;6,MOD(B109+C109,1),0)
),"00")</f>
        <v>0:21:42</v>
      </c>
      <c r="AQ109" s="0" t="n">
        <f aca="false">IFERROR(
LEFT(AP109,FIND(":",AP109)-1)
+ MID(AP109,FIND(":",AP109)+1,2)/24
+ RIGHT(AP109,2)/1440,
"")</f>
        <v>0.904166666666667</v>
      </c>
      <c r="AR109" s="0" t="n">
        <f aca="false">WEEKNUM(B109,1)</f>
        <v>4</v>
      </c>
      <c r="AS109" s="17" t="n">
        <f aca="false">IF(B109&gt;0, (B109+C109)-TIME(13,30,0), "")</f>
        <v>46043.5125</v>
      </c>
      <c r="AT109" s="18" t="n">
        <f aca="false">IF(B109&gt;0, (B109+C109)-TIME(13,30,0), "")</f>
        <v>46043.5125</v>
      </c>
      <c r="AU109" s="17" t="n">
        <f aca="false">IF(V109&gt;0, (V109+W109)-TIME(13,30,0), "")</f>
        <v>46044.4166666667</v>
      </c>
      <c r="AV109" s="18" t="n">
        <f aca="false">IF(V109&gt;0, (V109+W109)-TIME(13,30,0), "")</f>
        <v>46044.4166666667</v>
      </c>
      <c r="AW109" s="19" t="n">
        <f aca="false">24*(
MAX(0,
IF(NETWORKDAYS(AS109,AU109)=1,
MIN(MOD(AV109,1),TIME(17,30,0)) - MAX(MOD(AT109,1),TIME(8,30,0)),
(TIME(17,30,0)-MAX(MOD(AT109,1),TIME(8,30,0)))
+ (MIN(MOD(AV109,1),TIME(17,30,0))-TIME(8,30,0))
+ (NETWORKDAYS(AS109,AU109)-2)*9/24
)
)
)</f>
        <v>6.7</v>
      </c>
      <c r="AX109" s="19" t="n">
        <f aca="false">24*(
MAX(0,
IF(NETWORKDAYS(AS109,AU109)=1,
MIN(MOD(AV109,1),TIME(17,30,0)) - MAX(MOD(AT109,1),TIME(8,30,0)),
(TIME(17,30,0)-MAX(MOD(AT109,1),TIME(8,30,0)))
+ (MIN(MOD(AV109,1),TIME(17,30,0))-TIME(8,30,0))
+ (NETWORKDAYS(AS109,AU109)-2)* (TIME(17,30,0)-TIME(8,30,0))
)
)
)</f>
        <v>6.7</v>
      </c>
      <c r="AY109" s="20" t="n">
        <f aca="false">ROUND(
IF(AS109=AU109,
MAX(0,
(MIN(MOD(AV109,1),TIME(17,30,0))-
MAX(MOD(AT109,1),TIME(8,30,0)))*24
),
(
(MAX(0,TIME(17,30,0)-MAX(MOD(AT109,1),TIME(8,30,0)))*24)
+
(MAX(0,MIN(MOD(AV109,1),TIME(17,30,0))-TIME(8,30,0))*24)
+
(MAX(0,NETWORKDAYS(AS109+1,AU109-1))*9)
)
),
2)</f>
        <v>6.7</v>
      </c>
      <c r="AZ109" s="0" t="n">
        <f aca="false" t="array" ref="AZ109:AZ109">_xlfn.XLOOKUP(J109,{"Low","Medium","High"},{270,72,24})</f>
        <v>270</v>
      </c>
      <c r="BA109" s="0" t="str">
        <f aca="false">IF(AW109&gt;AZ109,"Not Met","Met")</f>
        <v>Met</v>
      </c>
      <c r="BB109" s="21" t="str">
        <f aca="false">IF(AS109="","",TEXT(AS109,"MMM")&amp;"'"&amp;TEXT(AS109,"yy"))</f>
        <v>Jan'26</v>
      </c>
      <c r="BC109" s="0" t="str">
        <f aca="false">IF(AU109="","",TEXT(AU109,"MMM")&amp;"'"&amp;TEXT(AU109,"yy"))</f>
        <v>Jan'26</v>
      </c>
    </row>
    <row r="110" customFormat="false" ht="15" hidden="false" customHeight="false" outlineLevel="0" collapsed="false">
      <c r="A110" s="1" t="s">
        <v>469</v>
      </c>
      <c r="B110" s="11" t="n">
        <v>46044</v>
      </c>
      <c r="C110" s="12" t="n">
        <v>0.158333333333333</v>
      </c>
      <c r="D110" s="13" t="str">
        <f aca="false">IF(B110="","",TEXT(B110,"MMM")&amp;"'"&amp;TEXT(B110,"yy"))</f>
        <v>Jan'26</v>
      </c>
      <c r="E110" s="1" t="s">
        <v>55</v>
      </c>
      <c r="F110" s="1" t="s">
        <v>39</v>
      </c>
      <c r="G110" s="46" t="str">
        <f aca="false">IF(F110="Closed","Closed","Pending")</f>
        <v>Closed</v>
      </c>
      <c r="H110" s="1" t="s">
        <v>81</v>
      </c>
      <c r="I110" s="1" t="s">
        <v>82</v>
      </c>
      <c r="J110" s="35" t="s">
        <v>74</v>
      </c>
      <c r="K110" s="1" t="s">
        <v>59</v>
      </c>
      <c r="L110" s="1" t="s">
        <v>470</v>
      </c>
      <c r="M110" s="1" t="s">
        <v>471</v>
      </c>
      <c r="N110" s="1" t="s">
        <v>65</v>
      </c>
      <c r="O110" s="1" t="s">
        <v>106</v>
      </c>
      <c r="Q110" s="1" t="s">
        <v>65</v>
      </c>
      <c r="R110" s="1" t="s">
        <v>426</v>
      </c>
      <c r="U110" s="12" t="n">
        <v>0.161111111111111</v>
      </c>
      <c r="V110" s="11" t="n">
        <v>46049</v>
      </c>
      <c r="W110" s="12" t="n">
        <v>0.929861111111111</v>
      </c>
      <c r="X110" s="11" t="n">
        <v>46049</v>
      </c>
      <c r="Y110" s="12" t="n">
        <v>0.936805555555556</v>
      </c>
      <c r="Z110" s="1" t="s">
        <v>67</v>
      </c>
      <c r="AA110" s="1" t="s">
        <v>68</v>
      </c>
      <c r="AB110" s="2" t="e">
        <f aca="false">U110-G110</f>
        <v>#VALUE!</v>
      </c>
      <c r="AC110" s="14" t="n">
        <f aca="false">(V110+W110)-(B110+C110)</f>
        <v>5.77152777777778</v>
      </c>
      <c r="AD110" s="4" t="str">
        <f aca="false">INT((V110+W110)-(B110+C110)) &amp; ":" &amp;
TEXT(HOUR((V110+W110)-(B110+C110)), "00") &amp; ":" &amp;
TEXT(MINUTE((V110+W110)-(B110+C110)), "00")</f>
        <v>5:18:31</v>
      </c>
      <c r="AE110" s="1" t="n">
        <f aca="false">IFERROR(
LEFT(AD110,FIND(":",AD110)-1)
+ MID(AD110,FIND(":",AD110)+1,2)/24
+ RIGHT(AD110,2)/1440,
"")</f>
        <v>5.77152777777778</v>
      </c>
      <c r="AF110" s="4" t="str">
        <f aca="false">INT((X110+Y110)-(B110+C110)) &amp; ":" &amp;
TEXT(HOUR((X110+Y110)-(B110+C110)), "00") &amp; ":" &amp;
TEXT(MINUTE((X110+Y110)-(B110+C110)), "00")</f>
        <v>5:18:41</v>
      </c>
      <c r="AG110" s="4" t="str">
        <f aca="false" t="array" ref="AG110:AG110">INT(_xlfn.XLOOKUP(J110,{"Low","Medium","High","Urgent"},{48,24,12,8})/24) &amp; ":" &amp;
TEXT(MOD(_xlfn.XLOOKUP(J110,{"Low","Medium","High","Urgent"},{48,24,12,8}),24)/24,"hh:mm")</f>
        <v>2:00:00</v>
      </c>
      <c r="AH110" s="4" t="str">
        <f aca="false">IF(AD110&gt;AG110,"Not Met","Met")</f>
        <v>Not Met</v>
      </c>
      <c r="AI110" s="4" t="e">
        <f aca="false">IF(AB110&lt;TIME(0,30,0),"Met","Not Met")</f>
        <v>#VALUE!</v>
      </c>
      <c r="AN110" s="1" t="str">
        <f aca="false">TEXT(B110,"dd")</f>
        <v>22</v>
      </c>
      <c r="AO110" s="1" t="str">
        <f aca="false">TEXT(X110,"dd")</f>
        <v>27</v>
      </c>
      <c r="AP110" s="16" t="str">
        <f aca="false">INT(
  NETWORKDAYS(B110,V110)-1
  + IF(WEEKDAY(V110,2)&lt;6,MOD(V110+W110,1),0)
  - IF(WEEKDAY(B110,2)&lt;6,MOD(B110+C110,1),0)
)
&amp; ":" &amp;
TEXT(HOUR(
  NETWORKDAYS(B110,V110)-1
  + IF(WEEKDAY(V110,2)&lt;6,MOD(V110+W110,1),0)
  - IF(WEEKDAY(B110,2)&lt;6,MOD(B110+C110,1),0)
),"00")
&amp; ":" &amp;
TEXT(MINUTE(
  NETWORKDAYS(B110,V110)-1
  + IF(WEEKDAY(V110,2)&lt;6,MOD(V110+W110,1),0)
  - IF(WEEKDAY(B110,2)&lt;6,MOD(B110+C110,1),0)
),"00")</f>
        <v>3:18:30</v>
      </c>
      <c r="AQ110" s="0" t="n">
        <f aca="false">IFERROR(
LEFT(AP110,FIND(":",AP110)-1)
+ MID(AP110,FIND(":",AP110)+1,2)/24
+ RIGHT(AP110,2)/1440,
"")</f>
        <v>3.77083333333333</v>
      </c>
      <c r="AR110" s="0" t="n">
        <f aca="false">WEEKNUM(B110,1)</f>
        <v>4</v>
      </c>
      <c r="AS110" s="17" t="n">
        <f aca="false">IF(B110&gt;0, (B110+C110)-TIME(13,30,0), "")</f>
        <v>46043.5958333333</v>
      </c>
      <c r="AT110" s="18" t="n">
        <f aca="false">IF(B110&gt;0, (B110+C110)-TIME(13,30,0), "")</f>
        <v>46043.5958333333</v>
      </c>
      <c r="AU110" s="17" t="n">
        <f aca="false">IF(V110&gt;0, (V110+W110)-TIME(13,30,0), "")</f>
        <v>46049.3673611111</v>
      </c>
      <c r="AV110" s="18" t="n">
        <f aca="false">IF(V110&gt;0, (V110+W110)-TIME(13,30,0), "")</f>
        <v>46049.3673611111</v>
      </c>
      <c r="AW110" s="19" t="n">
        <f aca="false">24*(
MAX(0,
IF(NETWORKDAYS(AS110,AU110)=1,
MIN(MOD(AV110,1),TIME(17,30,0)) - MAX(MOD(AT110,1),TIME(8,30,0)),
(TIME(17,30,0)-MAX(MOD(AT110,1),TIME(8,30,0)))
+ (MIN(MOD(AV110,1),TIME(17,30,0))-TIME(8,30,0))
+ (NETWORKDAYS(AS110,AU110)-2)*9/24
)
)
)</f>
        <v>30.5166666666667</v>
      </c>
      <c r="AX110" s="19" t="n">
        <f aca="false">24*(
MAX(0,
IF(NETWORKDAYS(AS110,AU110)=1,
MIN(MOD(AV110,1),TIME(17,30,0)) - MAX(MOD(AT110,1),TIME(8,30,0)),
(TIME(17,30,0)-MAX(MOD(AT110,1),TIME(8,30,0)))
+ (MIN(MOD(AV110,1),TIME(17,30,0))-TIME(8,30,0))
+ (NETWORKDAYS(AS110,AU110)-2)* (TIME(17,30,0)-TIME(8,30,0))
)
)
)</f>
        <v>30.5166666666667</v>
      </c>
      <c r="AY110" s="20" t="n">
        <f aca="false">ROUND(
IF(AS110=AU110,
MAX(0,
(MIN(MOD(AV110,1),TIME(17,30,0))-
MAX(MOD(AT110,1),TIME(8,30,0)))*24
),
(
(MAX(0,TIME(17,30,0)-MAX(MOD(AT110,1),TIME(8,30,0)))*24)
+
(MAX(0,MIN(MOD(AV110,1),TIME(17,30,0))-TIME(8,30,0))*24)
+
(MAX(0,NETWORKDAYS(AS110+1,AU110-1))*9)
)
),
2)</f>
        <v>30.52</v>
      </c>
      <c r="AZ110" s="0" t="n">
        <f aca="false" t="array" ref="AZ110:AZ110">_xlfn.XLOOKUP(J110,{"Low","Medium","High"},{270,72,24})</f>
        <v>270</v>
      </c>
      <c r="BA110" s="0" t="str">
        <f aca="false">IF(AW110&gt;AZ110,"Not Met","Met")</f>
        <v>Met</v>
      </c>
      <c r="BB110" s="21" t="str">
        <f aca="false">IF(AS110="","",TEXT(AS110,"MMM")&amp;"'"&amp;TEXT(AS110,"yy"))</f>
        <v>Jan'26</v>
      </c>
      <c r="BC110" s="0" t="str">
        <f aca="false">IF(AU110="","",TEXT(AU110,"MMM")&amp;"'"&amp;TEXT(AU110,"yy"))</f>
        <v>Jan'26</v>
      </c>
    </row>
    <row r="111" customFormat="false" ht="15" hidden="false" customHeight="false" outlineLevel="0" collapsed="false">
      <c r="A111" s="1" t="s">
        <v>472</v>
      </c>
      <c r="B111" s="11" t="n">
        <v>46044</v>
      </c>
      <c r="C111" s="12" t="n">
        <v>0.228472222222222</v>
      </c>
      <c r="D111" s="13" t="str">
        <f aca="false">IF(B111="","",TEXT(B111,"MMM")&amp;"'"&amp;TEXT(B111,"yy"))</f>
        <v>Jan'26</v>
      </c>
      <c r="E111" s="1" t="s">
        <v>55</v>
      </c>
      <c r="F111" s="1" t="s">
        <v>39</v>
      </c>
      <c r="G111" s="46" t="str">
        <f aca="false">IF(F111="Closed","Closed","Pending")</f>
        <v>Closed</v>
      </c>
      <c r="H111" s="26" t="s">
        <v>72</v>
      </c>
      <c r="I111" s="26" t="s">
        <v>73</v>
      </c>
      <c r="J111" s="40" t="s">
        <v>74</v>
      </c>
      <c r="K111" s="1" t="s">
        <v>59</v>
      </c>
      <c r="L111" s="1" t="s">
        <v>473</v>
      </c>
      <c r="M111" s="1" t="s">
        <v>474</v>
      </c>
      <c r="N111" s="1" t="s">
        <v>143</v>
      </c>
      <c r="O111" s="1" t="s">
        <v>143</v>
      </c>
      <c r="Q111" s="1" t="s">
        <v>143</v>
      </c>
      <c r="R111" s="1" t="s">
        <v>87</v>
      </c>
      <c r="U111" s="12" t="n">
        <v>0.254166666666667</v>
      </c>
      <c r="V111" s="11" t="n">
        <v>46100</v>
      </c>
      <c r="W111" s="12" t="n">
        <v>0.969444444444444</v>
      </c>
      <c r="X111" s="11" t="n">
        <v>46113</v>
      </c>
      <c r="Y111" s="12" t="n">
        <v>0.0930555555555556</v>
      </c>
      <c r="Z111" s="1" t="s">
        <v>67</v>
      </c>
      <c r="AA111" s="1" t="s">
        <v>68</v>
      </c>
      <c r="AB111" s="2" t="e">
        <f aca="false">U111-G111</f>
        <v>#VALUE!</v>
      </c>
      <c r="AC111" s="14" t="n">
        <f aca="false">(V111+W111)-(B111+C111)</f>
        <v>56.7409722222222</v>
      </c>
      <c r="AD111" s="4" t="str">
        <f aca="false">INT((V111+W111)-(B111+C111)) &amp; ":" &amp;
TEXT(HOUR((V111+W111)-(B111+C111)), "00") &amp; ":" &amp;
TEXT(MINUTE((V111+W111)-(B111+C111)), "00")</f>
        <v>56:17:47</v>
      </c>
      <c r="AE111" s="1" t="n">
        <f aca="false">IFERROR(
LEFT(AD111,FIND(":",AD111)-1)
+ MID(AD111,FIND(":",AD111)+1,2)/24
+ RIGHT(AD111,2)/1440,
"")</f>
        <v>56.7409722222222</v>
      </c>
      <c r="AF111" s="4" t="str">
        <f aca="false">INT((X111+Y111)-(B111+C111)) &amp; ":" &amp;
TEXT(HOUR((X111+Y111)-(B111+C111)), "00") &amp; ":" &amp;
TEXT(MINUTE((X111+Y111)-(B111+C111)), "00")</f>
        <v>68:20:45</v>
      </c>
      <c r="AG111" s="4" t="str">
        <f aca="false" t="array" ref="AG111:AG111">INT(_xlfn.XLOOKUP(J111,{"Low","Medium","High","Urgent"},{48,24,12,8})/24) &amp; ":" &amp;
TEXT(MOD(_xlfn.XLOOKUP(J111,{"Low","Medium","High","Urgent"},{48,24,12,8}),24)/24,"hh:mm")</f>
        <v>2:00:00</v>
      </c>
      <c r="AH111" s="4" t="str">
        <f aca="false">IF(AD111&gt;AG111,"Not Met","Met")</f>
        <v>Not Met</v>
      </c>
      <c r="AI111" s="4" t="e">
        <f aca="false">IF(AB111&lt;TIME(0,30,0),"Met","Not Met")</f>
        <v>#VALUE!</v>
      </c>
      <c r="AN111" s="1" t="str">
        <f aca="false">TEXT(B111,"dd")</f>
        <v>22</v>
      </c>
      <c r="AO111" s="1" t="str">
        <f aca="false">TEXT(X111,"dd")</f>
        <v>01</v>
      </c>
      <c r="AP111" s="16" t="str">
        <f aca="false">INT(
  NETWORKDAYS(B111,V111)-1
  + IF(WEEKDAY(V111,2)&lt;6,MOD(V111+W111,1),0)
  - IF(WEEKDAY(B111,2)&lt;6,MOD(B111+C111,1),0)
)
&amp; ":" &amp;
TEXT(HOUR(
  NETWORKDAYS(B111,V111)-1
  + IF(WEEKDAY(V111,2)&lt;6,MOD(V111+W111,1),0)
  - IF(WEEKDAY(B111,2)&lt;6,MOD(B111+C111,1),0)
),"00")
&amp; ":" &amp;
TEXT(MINUTE(
  NETWORKDAYS(B111,V111)-1
  + IF(WEEKDAY(V111,2)&lt;6,MOD(V111+W111,1),0)
  - IF(WEEKDAY(B111,2)&lt;6,MOD(B111+C111,1),0)
),"00")</f>
        <v>40:17:46</v>
      </c>
      <c r="AQ111" s="0" t="n">
        <f aca="false">IFERROR(
LEFT(AP111,FIND(":",AP111)-1)
+ MID(AP111,FIND(":",AP111)+1,2)/24
+ RIGHT(AP111,2)/1440,
"")</f>
        <v>40.7402777777778</v>
      </c>
      <c r="AR111" s="0" t="n">
        <f aca="false">WEEKNUM(B111,1)</f>
        <v>4</v>
      </c>
      <c r="AS111" s="17" t="n">
        <f aca="false">IF(B111&gt;0, (B111+C111)-TIME(13,30,0), "")</f>
        <v>46043.6659722222</v>
      </c>
      <c r="AT111" s="18" t="n">
        <f aca="false">IF(B111&gt;0, (B111+C111)-TIME(13,30,0), "")</f>
        <v>46043.6659722222</v>
      </c>
      <c r="AU111" s="17" t="n">
        <f aca="false">IF(V111&gt;0, (V111+W111)-TIME(13,30,0), "")</f>
        <v>46100.4069444445</v>
      </c>
      <c r="AV111" s="18" t="n">
        <f aca="false">IF(V111&gt;0, (V111+W111)-TIME(13,30,0), "")</f>
        <v>46100.4069444445</v>
      </c>
      <c r="AW111" s="19" t="n">
        <f aca="false">24*(
MAX(0,
IF(NETWORKDAYS(AS111,AU111)=1,
MIN(MOD(AV111,1),TIME(17,30,0)) - MAX(MOD(AT111,1),TIME(8,30,0)),
(TIME(17,30,0)-MAX(MOD(AT111,1),TIME(8,30,0)))
+ (MIN(MOD(AV111,1),TIME(17,30,0))-TIME(8,30,0))
+ (NETWORKDAYS(AS111,AU111)-2)*9/24
)
)
)</f>
        <v>362.783333333333</v>
      </c>
      <c r="AX111" s="19" t="n">
        <f aca="false">24*(
MAX(0,
IF(NETWORKDAYS(AS111,AU111)=1,
MIN(MOD(AV111,1),TIME(17,30,0)) - MAX(MOD(AT111,1),TIME(8,30,0)),
(TIME(17,30,0)-MAX(MOD(AT111,1),TIME(8,30,0)))
+ (MIN(MOD(AV111,1),TIME(17,30,0))-TIME(8,30,0))
+ (NETWORKDAYS(AS111,AU111)-2)* (TIME(17,30,0)-TIME(8,30,0))
)
)
)</f>
        <v>362.783333333333</v>
      </c>
      <c r="AY111" s="20" t="n">
        <f aca="false">ROUND(
IF(AS111=AU111,
MAX(0,
(MIN(MOD(AV111,1),TIME(17,30,0))-
MAX(MOD(AT111,1),TIME(8,30,0)))*24
),
(
(MAX(0,TIME(17,30,0)-MAX(MOD(AT111,1),TIME(8,30,0)))*24)
+
(MAX(0,MIN(MOD(AV111,1),TIME(17,30,0))-TIME(8,30,0))*24)
+
(MAX(0,NETWORKDAYS(AS111+1,AU111-1))*9)
)
),
2)</f>
        <v>362.78</v>
      </c>
      <c r="AZ111" s="0" t="n">
        <f aca="false" t="array" ref="AZ111:AZ111">_xlfn.XLOOKUP(J111,{"Low","Medium","High"},{270,72,24})</f>
        <v>270</v>
      </c>
      <c r="BA111" s="0" t="str">
        <f aca="false">IF(AW111&gt;AZ111,"Not Met","Met")</f>
        <v>Not Met</v>
      </c>
      <c r="BB111" s="21" t="str">
        <f aca="false">IF(AS111="","",TEXT(AS111,"MMM")&amp;"'"&amp;TEXT(AS111,"yy"))</f>
        <v>Jan'26</v>
      </c>
      <c r="BC111" s="0" t="str">
        <f aca="false">IF(AU111="","",TEXT(AU111,"MMM")&amp;"'"&amp;TEXT(AU111,"yy"))</f>
        <v>Mar'26</v>
      </c>
    </row>
    <row r="112" customFormat="false" ht="15" hidden="false" customHeight="false" outlineLevel="0" collapsed="false">
      <c r="A112" s="1" t="s">
        <v>475</v>
      </c>
      <c r="B112" s="11" t="n">
        <v>46044</v>
      </c>
      <c r="C112" s="12" t="n">
        <v>0.96875</v>
      </c>
      <c r="D112" s="13" t="str">
        <f aca="false">IF(B112="","",TEXT(B112,"MMM")&amp;"'"&amp;TEXT(B112,"yy"))</f>
        <v>Jan'26</v>
      </c>
      <c r="E112" s="1" t="s">
        <v>55</v>
      </c>
      <c r="F112" s="1" t="s">
        <v>39</v>
      </c>
      <c r="G112" s="1" t="str">
        <f aca="false">IF(F112="Closed","Closed","Pending")</f>
        <v>Closed</v>
      </c>
      <c r="H112" s="1" t="s">
        <v>72</v>
      </c>
      <c r="I112" s="1" t="s">
        <v>298</v>
      </c>
      <c r="J112" s="1" t="s">
        <v>74</v>
      </c>
      <c r="K112" s="35" t="s">
        <v>59</v>
      </c>
      <c r="L112" s="1" t="s">
        <v>476</v>
      </c>
      <c r="M112" s="1" t="s">
        <v>477</v>
      </c>
      <c r="N112" s="1" t="s">
        <v>62</v>
      </c>
      <c r="O112" s="1" t="s">
        <v>77</v>
      </c>
      <c r="Q112" s="1" t="s">
        <v>86</v>
      </c>
      <c r="R112" s="1" t="s">
        <v>87</v>
      </c>
      <c r="U112" s="12" t="n">
        <v>0.984027777777778</v>
      </c>
      <c r="V112" s="11" t="n">
        <v>46051</v>
      </c>
      <c r="W112" s="12" t="n">
        <v>0.935416666666667</v>
      </c>
      <c r="X112" s="11" t="n">
        <v>46052</v>
      </c>
      <c r="Y112" s="12" t="n">
        <v>0.9375</v>
      </c>
      <c r="Z112" s="1" t="s">
        <v>67</v>
      </c>
      <c r="AA112" s="1" t="s">
        <v>68</v>
      </c>
      <c r="AB112" s="2" t="e">
        <f aca="false">U112-G112</f>
        <v>#VALUE!</v>
      </c>
      <c r="AC112" s="14" t="n">
        <f aca="false">(V112+W112)-(B112+C112)</f>
        <v>6.96666666666667</v>
      </c>
      <c r="AD112" s="4" t="str">
        <f aca="false">INT((V112+W112)-(B112+C112)) &amp; ":" &amp;
TEXT(HOUR((V112+W112)-(B112+C112)), "00") &amp; ":" &amp;
TEXT(MINUTE((V112+W112)-(B112+C112)), "00")</f>
        <v>6:23:12</v>
      </c>
      <c r="AE112" s="1" t="n">
        <f aca="false">IFERROR(
LEFT(AD112,FIND(":",AD112)-1)
+ MID(AD112,FIND(":",AD112)+1,2)/24
+ RIGHT(AD112,2)/1440,
"")</f>
        <v>6.96666666666667</v>
      </c>
      <c r="AF112" s="4" t="str">
        <f aca="false">INT((X112+Y112)-(B112+C112)) &amp; ":" &amp;
TEXT(HOUR((X112+Y112)-(B112+C112)), "00") &amp; ":" &amp;
TEXT(MINUTE((X112+Y112)-(B112+C112)), "00")</f>
        <v>7:23:15</v>
      </c>
      <c r="AG112" s="4" t="str">
        <f aca="false" t="array" ref="AG112:AG112">INT(_xlfn.XLOOKUP(J112,{"Low","Medium","High","Urgent"},{48,24,12,8})/24) &amp; ":" &amp;
TEXT(MOD(_xlfn.XLOOKUP(J112,{"Low","Medium","High","Urgent"},{48,24,12,8}),24)/24,"hh:mm")</f>
        <v>2:00:00</v>
      </c>
      <c r="AH112" s="4" t="str">
        <f aca="false">IF(AD112&gt;AG112,"Not Met","Met")</f>
        <v>Not Met</v>
      </c>
      <c r="AI112" s="4" t="e">
        <f aca="false">IF(AB112&lt;TIME(0,30,0),"Met","Not Met")</f>
        <v>#VALUE!</v>
      </c>
      <c r="AN112" s="1" t="str">
        <f aca="false">TEXT(B112,"dd")</f>
        <v>22</v>
      </c>
      <c r="AO112" s="1" t="str">
        <f aca="false">TEXT(X112,"dd")</f>
        <v>30</v>
      </c>
      <c r="AP112" s="16" t="str">
        <f aca="false">INT(
  NETWORKDAYS(B112,V112)-1
  + IF(WEEKDAY(V112,2)&lt;6,MOD(V112+W112,1),0)
  - IF(WEEKDAY(B112,2)&lt;6,MOD(B112+C112,1),0)
)
&amp; ":" &amp;
TEXT(HOUR(
  NETWORKDAYS(B112,V112)-1
  + IF(WEEKDAY(V112,2)&lt;6,MOD(V112+W112,1),0)
  - IF(WEEKDAY(B112,2)&lt;6,MOD(B112+C112,1),0)
),"00")
&amp; ":" &amp;
TEXT(MINUTE(
  NETWORKDAYS(B112,V112)-1
  + IF(WEEKDAY(V112,2)&lt;6,MOD(V112+W112,1),0)
  - IF(WEEKDAY(B112,2)&lt;6,MOD(B112+C112,1),0)
),"00")</f>
        <v>4:23:12</v>
      </c>
      <c r="AQ112" s="0" t="n">
        <f aca="false">IFERROR(
LEFT(AP112,FIND(":",AP112)-1)
+ MID(AP112,FIND(":",AP112)+1,2)/24
+ RIGHT(AP112,2)/1440,
"")</f>
        <v>4.96666666666667</v>
      </c>
      <c r="AR112" s="0" t="n">
        <f aca="false">WEEKNUM(B112,1)</f>
        <v>4</v>
      </c>
      <c r="AS112" s="17" t="n">
        <f aca="false">IF(B112&gt;0, (B112+C112)-TIME(13,30,0), "")</f>
        <v>46044.40625</v>
      </c>
      <c r="AT112" s="18" t="n">
        <f aca="false">IF(B112&gt;0, (B112+C112)-TIME(13,30,0), "")</f>
        <v>46044.40625</v>
      </c>
      <c r="AU112" s="17" t="n">
        <f aca="false">IF(V112&gt;0, (V112+W112)-TIME(13,30,0), "")</f>
        <v>46051.3729166667</v>
      </c>
      <c r="AV112" s="18" t="n">
        <f aca="false">IF(V112&gt;0, (V112+W112)-TIME(13,30,0), "")</f>
        <v>46051.3729166667</v>
      </c>
      <c r="AW112" s="19" t="n">
        <f aca="false">24*(
MAX(0,
IF(NETWORKDAYS(AS112,AU112)=1,
MIN(MOD(AV112,1),TIME(17,30,0)) - MAX(MOD(AT112,1),TIME(8,30,0)),
(TIME(17,30,0)-MAX(MOD(AT112,1),TIME(8,30,0)))
+ (MIN(MOD(AV112,1),TIME(17,30,0))-TIME(8,30,0))
+ (NETWORKDAYS(AS112,AU112)-2)*9/24
)
)
)</f>
        <v>44.2</v>
      </c>
      <c r="AX112" s="19" t="n">
        <f aca="false">24*(
MAX(0,
IF(NETWORKDAYS(AS112,AU112)=1,
MIN(MOD(AV112,1),TIME(17,30,0)) - MAX(MOD(AT112,1),TIME(8,30,0)),
(TIME(17,30,0)-MAX(MOD(AT112,1),TIME(8,30,0)))
+ (MIN(MOD(AV112,1),TIME(17,30,0))-TIME(8,30,0))
+ (NETWORKDAYS(AS112,AU112)-2)* (TIME(17,30,0)-TIME(8,30,0))
)
)
)</f>
        <v>44.2</v>
      </c>
      <c r="AY112" s="20" t="n">
        <f aca="false">ROUND(
IF(AS112=AU112,
MAX(0,
(MIN(MOD(AV112,1),TIME(17,30,0))-
MAX(MOD(AT112,1),TIME(8,30,0)))*24
),
(
(MAX(0,TIME(17,30,0)-MAX(MOD(AT112,1),TIME(8,30,0)))*24)
+
(MAX(0,MIN(MOD(AV112,1),TIME(17,30,0))-TIME(8,30,0))*24)
+
(MAX(0,NETWORKDAYS(AS112+1,AU112-1))*9)
)
),
2)</f>
        <v>44.2</v>
      </c>
      <c r="AZ112" s="0" t="n">
        <f aca="false" t="array" ref="AZ112:AZ112">_xlfn.XLOOKUP(J112,{"Low","Medium","High"},{270,72,24})</f>
        <v>270</v>
      </c>
      <c r="BA112" s="0" t="str">
        <f aca="false">IF(AW112&gt;AZ112,"Not Met","Met")</f>
        <v>Met</v>
      </c>
      <c r="BB112" s="21" t="str">
        <f aca="false">IF(AS112="","",TEXT(AS112,"MMM")&amp;"'"&amp;TEXT(AS112,"yy"))</f>
        <v>Jan'26</v>
      </c>
      <c r="BC112" s="0" t="str">
        <f aca="false">IF(AU112="","",TEXT(AU112,"MMM")&amp;"'"&amp;TEXT(AU112,"yy"))</f>
        <v>Jan'26</v>
      </c>
    </row>
    <row r="113" customFormat="false" ht="15" hidden="false" customHeight="false" outlineLevel="0" collapsed="false">
      <c r="A113" s="1" t="s">
        <v>478</v>
      </c>
      <c r="B113" s="11" t="n">
        <v>46044</v>
      </c>
      <c r="C113" s="12" t="n">
        <v>0.980555555555556</v>
      </c>
      <c r="D113" s="13" t="str">
        <f aca="false">IF(B113="","",TEXT(B113,"MMM")&amp;"'"&amp;TEXT(B113,"yy"))</f>
        <v>Jan'26</v>
      </c>
      <c r="E113" s="1" t="s">
        <v>55</v>
      </c>
      <c r="F113" s="1" t="s">
        <v>39</v>
      </c>
      <c r="G113" s="1" t="str">
        <f aca="false">IF(F113="Closed","Closed","Pending")</f>
        <v>Closed</v>
      </c>
      <c r="H113" s="1" t="s">
        <v>120</v>
      </c>
      <c r="I113" s="1" t="s">
        <v>210</v>
      </c>
      <c r="J113" s="1" t="s">
        <v>74</v>
      </c>
      <c r="K113" s="35" t="s">
        <v>59</v>
      </c>
      <c r="L113" s="1" t="s">
        <v>479</v>
      </c>
      <c r="M113" s="1" t="s">
        <v>480</v>
      </c>
      <c r="N113" s="1" t="s">
        <v>65</v>
      </c>
      <c r="O113" s="1" t="s">
        <v>106</v>
      </c>
      <c r="Q113" s="1" t="s">
        <v>65</v>
      </c>
      <c r="R113" s="1" t="s">
        <v>426</v>
      </c>
      <c r="U113" s="12" t="n">
        <v>0.990277777777778</v>
      </c>
      <c r="V113" s="11" t="n">
        <v>46049</v>
      </c>
      <c r="W113" s="12" t="n">
        <v>0.938194444444444</v>
      </c>
      <c r="X113" s="11" t="n">
        <v>46049</v>
      </c>
      <c r="Y113" s="12" t="n">
        <v>0.979166666666667</v>
      </c>
      <c r="Z113" s="1" t="s">
        <v>108</v>
      </c>
      <c r="AA113" s="1" t="s">
        <v>68</v>
      </c>
      <c r="AB113" s="2" t="e">
        <f aca="false">U113-G113</f>
        <v>#VALUE!</v>
      </c>
      <c r="AC113" s="14" t="n">
        <f aca="false">(V113+W113)-(B113+C113)</f>
        <v>4.95763888888889</v>
      </c>
      <c r="AD113" s="4" t="str">
        <f aca="false">INT((V113+W113)-(B113+C113)) &amp; ":" &amp;
TEXT(HOUR((V113+W113)-(B113+C113)), "00") &amp; ":" &amp;
TEXT(MINUTE((V113+W113)-(B113+C113)), "00")</f>
        <v>4:22:59</v>
      </c>
      <c r="AE113" s="1" t="n">
        <f aca="false">IFERROR(
LEFT(AD113,FIND(":",AD113)-1)
+ MID(AD113,FIND(":",AD113)+1,2)/24
+ RIGHT(AD113,2)/1440,
"")</f>
        <v>4.95763888888889</v>
      </c>
      <c r="AF113" s="4" t="str">
        <f aca="false">INT((X113+Y113)-(B113+C113)) &amp; ":" &amp;
TEXT(HOUR((X113+Y113)-(B113+C113)), "00") &amp; ":" &amp;
TEXT(MINUTE((X113+Y113)-(B113+C113)), "00")</f>
        <v>4:23:58</v>
      </c>
      <c r="AG113" s="4" t="str">
        <f aca="false" t="array" ref="AG113:AG113">INT(_xlfn.XLOOKUP(J113,{"Low","Medium","High","Urgent"},{48,24,12,8})/24) &amp; ":" &amp;
TEXT(MOD(_xlfn.XLOOKUP(J113,{"Low","Medium","High","Urgent"},{48,24,12,8}),24)/24,"hh:mm")</f>
        <v>2:00:00</v>
      </c>
      <c r="AH113" s="4" t="str">
        <f aca="false">IF(AD113&gt;AG113,"Not Met","Met")</f>
        <v>Not Met</v>
      </c>
      <c r="AI113" s="4" t="e">
        <f aca="false">IF(AB113&lt;TIME(0,30,0),"Met","Not Met")</f>
        <v>#VALUE!</v>
      </c>
      <c r="AN113" s="1" t="str">
        <f aca="false">TEXT(B113,"dd")</f>
        <v>22</v>
      </c>
      <c r="AO113" s="1" t="str">
        <f aca="false">TEXT(X113,"dd")</f>
        <v>27</v>
      </c>
      <c r="AP113" s="16" t="str">
        <f aca="false">INT(
  NETWORKDAYS(B113,V113)-1
  + IF(WEEKDAY(V113,2)&lt;6,MOD(V113+W113,1),0)
  - IF(WEEKDAY(B113,2)&lt;6,MOD(B113+C113,1),0)
)
&amp; ":" &amp;
TEXT(HOUR(
  NETWORKDAYS(B113,V113)-1
  + IF(WEEKDAY(V113,2)&lt;6,MOD(V113+W113,1),0)
  - IF(WEEKDAY(B113,2)&lt;6,MOD(B113+C113,1),0)
),"00")
&amp; ":" &amp;
TEXT(MINUTE(
  NETWORKDAYS(B113,V113)-1
  + IF(WEEKDAY(V113,2)&lt;6,MOD(V113+W113,1),0)
  - IF(WEEKDAY(B113,2)&lt;6,MOD(B113+C113,1),0)
),"00")</f>
        <v>2:22:59</v>
      </c>
      <c r="AQ113" s="0" t="n">
        <f aca="false">IFERROR(
LEFT(AP113,FIND(":",AP113)-1)
+ MID(AP113,FIND(":",AP113)+1,2)/24
+ RIGHT(AP113,2)/1440,
"")</f>
        <v>2.95763888888889</v>
      </c>
      <c r="AR113" s="0" t="n">
        <f aca="false">WEEKNUM(B113,1)</f>
        <v>4</v>
      </c>
      <c r="AS113" s="17" t="n">
        <f aca="false">IF(B113&gt;0, (B113+C113)-TIME(13,30,0), "")</f>
        <v>46044.4180555556</v>
      </c>
      <c r="AT113" s="18" t="n">
        <f aca="false">IF(B113&gt;0, (B113+C113)-TIME(13,30,0), "")</f>
        <v>46044.4180555556</v>
      </c>
      <c r="AU113" s="17" t="n">
        <f aca="false">IF(V113&gt;0, (V113+W113)-TIME(13,30,0), "")</f>
        <v>46049.3756944445</v>
      </c>
      <c r="AV113" s="18" t="n">
        <f aca="false">IF(V113&gt;0, (V113+W113)-TIME(13,30,0), "")</f>
        <v>46049.3756944445</v>
      </c>
      <c r="AW113" s="19" t="n">
        <f aca="false">24*(
MAX(0,
IF(NETWORKDAYS(AS113,AU113)=1,
MIN(MOD(AV113,1),TIME(17,30,0)) - MAX(MOD(AT113,1),TIME(8,30,0)),
(TIME(17,30,0)-MAX(MOD(AT113,1),TIME(8,30,0)))
+ (MIN(MOD(AV113,1),TIME(17,30,0))-TIME(8,30,0))
+ (NETWORKDAYS(AS113,AU113)-2)*9/24
)
)
)</f>
        <v>25.9833333333333</v>
      </c>
      <c r="AX113" s="19" t="n">
        <f aca="false">24*(
MAX(0,
IF(NETWORKDAYS(AS113,AU113)=1,
MIN(MOD(AV113,1),TIME(17,30,0)) - MAX(MOD(AT113,1),TIME(8,30,0)),
(TIME(17,30,0)-MAX(MOD(AT113,1),TIME(8,30,0)))
+ (MIN(MOD(AV113,1),TIME(17,30,0))-TIME(8,30,0))
+ (NETWORKDAYS(AS113,AU113)-2)* (TIME(17,30,0)-TIME(8,30,0))
)
)
)</f>
        <v>25.9833333333333</v>
      </c>
      <c r="AY113" s="20" t="n">
        <f aca="false">ROUND(
IF(AS113=AU113,
MAX(0,
(MIN(MOD(AV113,1),TIME(17,30,0))-
MAX(MOD(AT113,1),TIME(8,30,0)))*24
),
(
(MAX(0,TIME(17,30,0)-MAX(MOD(AT113,1),TIME(8,30,0)))*24)
+
(MAX(0,MIN(MOD(AV113,1),TIME(17,30,0))-TIME(8,30,0))*24)
+
(MAX(0,NETWORKDAYS(AS113+1,AU113-1))*9)
)
),
2)</f>
        <v>25.98</v>
      </c>
      <c r="AZ113" s="0" t="n">
        <f aca="false" t="array" ref="AZ113:AZ113">_xlfn.XLOOKUP(J113,{"Low","Medium","High"},{270,72,24})</f>
        <v>270</v>
      </c>
      <c r="BA113" s="0" t="str">
        <f aca="false">IF(AW113&gt;AZ113,"Not Met","Met")</f>
        <v>Met</v>
      </c>
      <c r="BB113" s="21" t="str">
        <f aca="false">IF(AS113="","",TEXT(AS113,"MMM")&amp;"'"&amp;TEXT(AS113,"yy"))</f>
        <v>Jan'26</v>
      </c>
      <c r="BC113" s="0" t="str">
        <f aca="false">IF(AU113="","",TEXT(AU113,"MMM")&amp;"'"&amp;TEXT(AU113,"yy"))</f>
        <v>Jan'26</v>
      </c>
    </row>
    <row r="114" customFormat="false" ht="15" hidden="false" customHeight="false" outlineLevel="0" collapsed="false">
      <c r="A114" s="1" t="s">
        <v>481</v>
      </c>
      <c r="B114" s="11" t="n">
        <v>46044</v>
      </c>
      <c r="C114" s="12" t="n">
        <v>0.986111111111111</v>
      </c>
      <c r="D114" s="13" t="str">
        <f aca="false">IF(B114="","",TEXT(B114,"MMM")&amp;"'"&amp;TEXT(B114,"yy"))</f>
        <v>Jan'26</v>
      </c>
      <c r="E114" s="1" t="s">
        <v>55</v>
      </c>
      <c r="F114" s="26" t="s">
        <v>39</v>
      </c>
      <c r="G114" s="33" t="str">
        <f aca="false">IF(F114="Closed","Closed","Pending")</f>
        <v>Closed</v>
      </c>
      <c r="H114" s="26" t="s">
        <v>72</v>
      </c>
      <c r="I114" s="26" t="s">
        <v>323</v>
      </c>
      <c r="J114" s="1" t="s">
        <v>74</v>
      </c>
      <c r="K114" s="35" t="s">
        <v>59</v>
      </c>
      <c r="L114" s="1" t="s">
        <v>482</v>
      </c>
      <c r="M114" s="1" t="s">
        <v>483</v>
      </c>
      <c r="N114" s="1" t="s">
        <v>62</v>
      </c>
      <c r="O114" s="1" t="s">
        <v>63</v>
      </c>
      <c r="Q114" s="1" t="s">
        <v>229</v>
      </c>
      <c r="R114" s="1" t="s">
        <v>87</v>
      </c>
      <c r="U114" s="12" t="n">
        <v>0.991666666666667</v>
      </c>
      <c r="V114" s="11" t="n">
        <v>46049</v>
      </c>
      <c r="W114" s="12" t="n">
        <v>0.95</v>
      </c>
      <c r="X114" s="11" t="n">
        <v>46049</v>
      </c>
      <c r="Y114" s="12" t="n">
        <v>0.979861111111111</v>
      </c>
      <c r="Z114" s="1" t="s">
        <v>67</v>
      </c>
      <c r="AA114" s="1" t="s">
        <v>68</v>
      </c>
      <c r="AB114" s="2" t="e">
        <f aca="false">U114-G114</f>
        <v>#VALUE!</v>
      </c>
      <c r="AC114" s="14" t="n">
        <f aca="false">(V114+W114)-(B114+C114)</f>
        <v>4.96388888888889</v>
      </c>
      <c r="AD114" s="4" t="str">
        <f aca="false">INT((V114+W114)-(B114+C114)) &amp; ":" &amp;
TEXT(HOUR((V114+W114)-(B114+C114)), "00") &amp; ":" &amp;
TEXT(MINUTE((V114+W114)-(B114+C114)), "00")</f>
        <v>4:23:08</v>
      </c>
      <c r="AE114" s="1" t="n">
        <f aca="false">IFERROR(
LEFT(AD114,FIND(":",AD114)-1)
+ MID(AD114,FIND(":",AD114)+1,2)/24
+ RIGHT(AD114,2)/1440,
"")</f>
        <v>4.96388888888889</v>
      </c>
      <c r="AF114" s="4" t="str">
        <f aca="false">INT((X114+Y114)-(B114+C114)) &amp; ":" &amp;
TEXT(HOUR((X114+Y114)-(B114+C114)), "00") &amp; ":" &amp;
TEXT(MINUTE((X114+Y114)-(B114+C114)), "00")</f>
        <v>4:23:51</v>
      </c>
      <c r="AG114" s="4" t="str">
        <f aca="false" t="array" ref="AG114:AG114">INT(_xlfn.XLOOKUP(J114,{"Low","Medium","High","Urgent"},{48,24,12,8})/24) &amp; ":" &amp;
TEXT(MOD(_xlfn.XLOOKUP(J114,{"Low","Medium","High","Urgent"},{48,24,12,8}),24)/24,"hh:mm")</f>
        <v>2:00:00</v>
      </c>
      <c r="AH114" s="4" t="str">
        <f aca="false">IF(AD114&gt;AG114,"Not Met","Met")</f>
        <v>Not Met</v>
      </c>
      <c r="AI114" s="4" t="e">
        <f aca="false">IF(AB114&lt;TIME(0,30,0),"Met","Not Met")</f>
        <v>#VALUE!</v>
      </c>
      <c r="AN114" s="1" t="str">
        <f aca="false">TEXT(B114,"dd")</f>
        <v>22</v>
      </c>
      <c r="AO114" s="1" t="str">
        <f aca="false">TEXT(X114,"dd")</f>
        <v>27</v>
      </c>
      <c r="AP114" s="16" t="str">
        <f aca="false">INT(
  NETWORKDAYS(B114,V114)-1
  + IF(WEEKDAY(V114,2)&lt;6,MOD(V114+W114,1),0)
  - IF(WEEKDAY(B114,2)&lt;6,MOD(B114+C114,1),0)
)
&amp; ":" &amp;
TEXT(HOUR(
  NETWORKDAYS(B114,V114)-1
  + IF(WEEKDAY(V114,2)&lt;6,MOD(V114+W114,1),0)
  - IF(WEEKDAY(B114,2)&lt;6,MOD(B114+C114,1),0)
),"00")
&amp; ":" &amp;
TEXT(MINUTE(
  NETWORKDAYS(B114,V114)-1
  + IF(WEEKDAY(V114,2)&lt;6,MOD(V114+W114,1),0)
  - IF(WEEKDAY(B114,2)&lt;6,MOD(B114+C114,1),0)
),"00")</f>
        <v>2:23:07</v>
      </c>
      <c r="AQ114" s="0" t="n">
        <f aca="false">IFERROR(
LEFT(AP114,FIND(":",AP114)-1)
+ MID(AP114,FIND(":",AP114)+1,2)/24
+ RIGHT(AP114,2)/1440,
"")</f>
        <v>2.96319444444444</v>
      </c>
      <c r="AR114" s="0" t="n">
        <f aca="false">WEEKNUM(B114,1)</f>
        <v>4</v>
      </c>
      <c r="AS114" s="17" t="n">
        <f aca="false">IF(B114&gt;0, (B114+C114)-TIME(13,30,0), "")</f>
        <v>46044.4236111111</v>
      </c>
      <c r="AT114" s="18" t="n">
        <f aca="false">IF(B114&gt;0, (B114+C114)-TIME(13,30,0), "")</f>
        <v>46044.4236111111</v>
      </c>
      <c r="AU114" s="17" t="n">
        <f aca="false">IF(V114&gt;0, (V114+W114)-TIME(13,30,0), "")</f>
        <v>46049.3875</v>
      </c>
      <c r="AV114" s="18" t="n">
        <f aca="false">IF(V114&gt;0, (V114+W114)-TIME(13,30,0), "")</f>
        <v>46049.3875</v>
      </c>
      <c r="AW114" s="19" t="n">
        <f aca="false">24*(
MAX(0,
IF(NETWORKDAYS(AS114,AU114)=1,
MIN(MOD(AV114,1),TIME(17,30,0)) - MAX(MOD(AT114,1),TIME(8,30,0)),
(TIME(17,30,0)-MAX(MOD(AT114,1),TIME(8,30,0)))
+ (MIN(MOD(AV114,1),TIME(17,30,0))-TIME(8,30,0))
+ (NETWORKDAYS(AS114,AU114)-2)*9/24
)
)
)</f>
        <v>26.1333333333333</v>
      </c>
      <c r="AX114" s="19" t="n">
        <f aca="false">24*(
MAX(0,
IF(NETWORKDAYS(AS114,AU114)=1,
MIN(MOD(AV114,1),TIME(17,30,0)) - MAX(MOD(AT114,1),TIME(8,30,0)),
(TIME(17,30,0)-MAX(MOD(AT114,1),TIME(8,30,0)))
+ (MIN(MOD(AV114,1),TIME(17,30,0))-TIME(8,30,0))
+ (NETWORKDAYS(AS114,AU114)-2)* (TIME(17,30,0)-TIME(8,30,0))
)
)
)</f>
        <v>26.1333333333333</v>
      </c>
      <c r="AY114" s="20" t="n">
        <f aca="false">ROUND(
IF(AS114=AU114,
MAX(0,
(MIN(MOD(AV114,1),TIME(17,30,0))-
MAX(MOD(AT114,1),TIME(8,30,0)))*24
),
(
(MAX(0,TIME(17,30,0)-MAX(MOD(AT114,1),TIME(8,30,0)))*24)
+
(MAX(0,MIN(MOD(AV114,1),TIME(17,30,0))-TIME(8,30,0))*24)
+
(MAX(0,NETWORKDAYS(AS114+1,AU114-1))*9)
)
),
2)</f>
        <v>26.13</v>
      </c>
      <c r="AZ114" s="0" t="n">
        <f aca="false" t="array" ref="AZ114:AZ114">_xlfn.XLOOKUP(J114,{"Low","Medium","High"},{270,72,24})</f>
        <v>270</v>
      </c>
      <c r="BA114" s="0" t="str">
        <f aca="false">IF(AW114&gt;AZ114,"Not Met","Met")</f>
        <v>Met</v>
      </c>
      <c r="BB114" s="21" t="str">
        <f aca="false">IF(AS114="","",TEXT(AS114,"MMM")&amp;"'"&amp;TEXT(AS114,"yy"))</f>
        <v>Jan'26</v>
      </c>
      <c r="BC114" s="0" t="str">
        <f aca="false">IF(AU114="","",TEXT(AU114,"MMM")&amp;"'"&amp;TEXT(AU114,"yy"))</f>
        <v>Jan'26</v>
      </c>
    </row>
    <row r="115" customFormat="false" ht="15" hidden="false" customHeight="false" outlineLevel="0" collapsed="false">
      <c r="A115" s="1" t="s">
        <v>484</v>
      </c>
      <c r="B115" s="11" t="n">
        <v>46044</v>
      </c>
      <c r="C115" s="12" t="n">
        <v>0.986111111111111</v>
      </c>
      <c r="D115" s="13" t="str">
        <f aca="false">IF(B115="","",TEXT(B115,"MMM")&amp;"'"&amp;TEXT(B115,"yy"))</f>
        <v>Jan'26</v>
      </c>
      <c r="E115" s="27" t="s">
        <v>55</v>
      </c>
      <c r="F115" s="1" t="s">
        <v>39</v>
      </c>
      <c r="G115" s="1" t="str">
        <f aca="false">IF(F115="Closed","Closed","Pending")</f>
        <v>Closed</v>
      </c>
      <c r="H115" s="1" t="s">
        <v>120</v>
      </c>
      <c r="I115" s="1" t="s">
        <v>349</v>
      </c>
      <c r="J115" s="35" t="s">
        <v>74</v>
      </c>
      <c r="K115" s="35" t="s">
        <v>59</v>
      </c>
      <c r="L115" s="1" t="s">
        <v>485</v>
      </c>
      <c r="M115" s="1" t="s">
        <v>486</v>
      </c>
      <c r="N115" s="1" t="s">
        <v>65</v>
      </c>
      <c r="O115" s="1" t="s">
        <v>106</v>
      </c>
      <c r="Q115" s="1" t="s">
        <v>65</v>
      </c>
      <c r="R115" s="1" t="s">
        <v>87</v>
      </c>
      <c r="U115" s="12" t="n">
        <v>0.99375</v>
      </c>
      <c r="V115" s="11" t="n">
        <v>46077</v>
      </c>
      <c r="W115" s="12" t="n">
        <v>0.936805555555556</v>
      </c>
      <c r="X115" s="11" t="n">
        <v>46081</v>
      </c>
      <c r="Y115" s="12" t="n">
        <v>0.03125</v>
      </c>
      <c r="Z115" s="1" t="s">
        <v>67</v>
      </c>
      <c r="AA115" s="1" t="s">
        <v>89</v>
      </c>
      <c r="AB115" s="2" t="e">
        <f aca="false">U115-G115</f>
        <v>#VALUE!</v>
      </c>
      <c r="AC115" s="14" t="n">
        <f aca="false">(V115+W115)-(B115+C115)</f>
        <v>32.9506944444444</v>
      </c>
      <c r="AD115" s="4" t="str">
        <f aca="false">INT((V115+W115)-(B115+C115)) &amp; ":" &amp;
TEXT(HOUR((V115+W115)-(B115+C115)), "00") &amp; ":" &amp;
TEXT(MINUTE((V115+W115)-(B115+C115)), "00")</f>
        <v>32:22:49</v>
      </c>
      <c r="AE115" s="1" t="n">
        <f aca="false">IFERROR(
LEFT(AD115,FIND(":",AD115)-1)
+ MID(AD115,FIND(":",AD115)+1,2)/24
+ RIGHT(AD115,2)/1440,
"")</f>
        <v>32.9506944444444</v>
      </c>
      <c r="AF115" s="4" t="str">
        <f aca="false">INT((X115+Y115)-(B115+C115)) &amp; ":" &amp;
TEXT(HOUR((X115+Y115)-(B115+C115)), "00") &amp; ":" &amp;
TEXT(MINUTE((X115+Y115)-(B115+C115)), "00")</f>
        <v>36:01:05</v>
      </c>
      <c r="AG115" s="4" t="str">
        <f aca="false" t="array" ref="AG115:AG115">INT(_xlfn.XLOOKUP(J115,{"Low","Medium","High","Urgent"},{48,24,12,8})/24) &amp; ":" &amp;
TEXT(MOD(_xlfn.XLOOKUP(J115,{"Low","Medium","High","Urgent"},{48,24,12,8}),24)/24,"hh:mm")</f>
        <v>2:00:00</v>
      </c>
      <c r="AH115" s="4" t="str">
        <f aca="false">IF(AD115&gt;AG115,"Not Met","Met")</f>
        <v>Not Met</v>
      </c>
      <c r="AI115" s="4" t="e">
        <f aca="false">IF(AB115&lt;TIME(0,30,0),"Met","Not Met")</f>
        <v>#VALUE!</v>
      </c>
      <c r="AJ115" s="25" t="n">
        <v>46076.8291666667</v>
      </c>
      <c r="AN115" s="1" t="str">
        <f aca="false">TEXT(B115,"dd")</f>
        <v>22</v>
      </c>
      <c r="AO115" s="1" t="str">
        <f aca="false">TEXT(X115,"dd")</f>
        <v>28</v>
      </c>
      <c r="AP115" s="16" t="str">
        <f aca="false">INT(
  NETWORKDAYS(B115,V115)-1
  + IF(WEEKDAY(V115,2)&lt;6,MOD(V115+W115,1),0)
  - IF(WEEKDAY(B115,2)&lt;6,MOD(B115+C115,1),0)
)
&amp; ":" &amp;
TEXT(HOUR(
  NETWORKDAYS(B115,V115)-1
  + IF(WEEKDAY(V115,2)&lt;6,MOD(V115+W115,1),0)
  - IF(WEEKDAY(B115,2)&lt;6,MOD(B115+C115,1),0)
),"00")
&amp; ":" &amp;
TEXT(MINUTE(
  NETWORKDAYS(B115,V115)-1
  + IF(WEEKDAY(V115,2)&lt;6,MOD(V115+W115,1),0)
  - IF(WEEKDAY(B115,2)&lt;6,MOD(B115+C115,1),0)
),"00")</f>
        <v>22:22:48</v>
      </c>
      <c r="AQ115" s="0" t="n">
        <f aca="false">IFERROR(
LEFT(AP115,FIND(":",AP115)-1)
+ MID(AP115,FIND(":",AP115)+1,2)/24
+ RIGHT(AP115,2)/1440,
"")</f>
        <v>22.95</v>
      </c>
      <c r="AR115" s="0" t="n">
        <f aca="false">WEEKNUM(B115,1)</f>
        <v>4</v>
      </c>
      <c r="AS115" s="17" t="n">
        <f aca="false">IF(B115&gt;0, (B115+C115)-TIME(13,30,0), "")</f>
        <v>46044.4236111111</v>
      </c>
      <c r="AT115" s="18" t="n">
        <f aca="false">IF(B115&gt;0, (B115+C115)-TIME(13,30,0), "")</f>
        <v>46044.4236111111</v>
      </c>
      <c r="AU115" s="17" t="n">
        <f aca="false">IF(V115&gt;0, (V115+W115)-TIME(13,30,0), "")</f>
        <v>46077.3743055556</v>
      </c>
      <c r="AV115" s="18" t="n">
        <f aca="false">IF(V115&gt;0, (V115+W115)-TIME(13,30,0), "")</f>
        <v>46077.3743055556</v>
      </c>
      <c r="AW115" s="19" t="n">
        <f aca="false">24*(
MAX(0,
IF(NETWORKDAYS(AS115,AU115)=1,
MIN(MOD(AV115,1),TIME(17,30,0)) - MAX(MOD(AT115,1),TIME(8,30,0)),
(TIME(17,30,0)-MAX(MOD(AT115,1),TIME(8,30,0)))
+ (MIN(MOD(AV115,1),TIME(17,30,0))-TIME(8,30,0))
+ (NETWORKDAYS(AS115,AU115)-2)*9/24
)
)
)</f>
        <v>205.816666666667</v>
      </c>
      <c r="AX115" s="19" t="n">
        <f aca="false">24*(
MAX(0,
IF(NETWORKDAYS(AS115,AU115)=1,
MIN(MOD(AV115,1),TIME(17,30,0)) - MAX(MOD(AT115,1),TIME(8,30,0)),
(TIME(17,30,0)-MAX(MOD(AT115,1),TIME(8,30,0)))
+ (MIN(MOD(AV115,1),TIME(17,30,0))-TIME(8,30,0))
+ (NETWORKDAYS(AS115,AU115)-2)* (TIME(17,30,0)-TIME(8,30,0))
)
)
)</f>
        <v>205.816666666667</v>
      </c>
      <c r="AY115" s="20" t="n">
        <f aca="false">ROUND(
IF(AS115=AU115,
MAX(0,
(MIN(MOD(AV115,1),TIME(17,30,0))-
MAX(MOD(AT115,1),TIME(8,30,0)))*24
),
(
(MAX(0,TIME(17,30,0)-MAX(MOD(AT115,1),TIME(8,30,0)))*24)
+
(MAX(0,MIN(MOD(AV115,1),TIME(17,30,0))-TIME(8,30,0))*24)
+
(MAX(0,NETWORKDAYS(AS115+1,AU115-1))*9)
)
),
2)</f>
        <v>205.82</v>
      </c>
      <c r="AZ115" s="0" t="n">
        <f aca="false" t="array" ref="AZ115:AZ115">_xlfn.XLOOKUP(J115,{"Low","Medium","High"},{270,72,24})</f>
        <v>270</v>
      </c>
      <c r="BA115" s="0" t="str">
        <f aca="false">IF(AW115&gt;AZ115,"Not Met","Met")</f>
        <v>Met</v>
      </c>
      <c r="BB115" s="21" t="str">
        <f aca="false">IF(AS115="","",TEXT(AS115,"MMM")&amp;"'"&amp;TEXT(AS115,"yy"))</f>
        <v>Jan'26</v>
      </c>
      <c r="BC115" s="0" t="str">
        <f aca="false">IF(AU115="","",TEXT(AU115,"MMM")&amp;"'"&amp;TEXT(AU115,"yy"))</f>
        <v>Feb'26</v>
      </c>
    </row>
    <row r="116" customFormat="false" ht="15" hidden="false" customHeight="false" outlineLevel="0" collapsed="false">
      <c r="A116" s="1" t="s">
        <v>487</v>
      </c>
      <c r="B116" s="11" t="n">
        <v>46045</v>
      </c>
      <c r="C116" s="12" t="n">
        <v>0.929166666666667</v>
      </c>
      <c r="D116" s="13" t="str">
        <f aca="false">IF(B116="","",TEXT(B116,"MMM")&amp;"'"&amp;TEXT(B116,"yy"))</f>
        <v>Jan'26</v>
      </c>
      <c r="E116" s="27" t="s">
        <v>55</v>
      </c>
      <c r="F116" s="1" t="s">
        <v>39</v>
      </c>
      <c r="G116" s="1" t="str">
        <f aca="false">IF(F116="Closed","Closed","Pending")</f>
        <v>Closed</v>
      </c>
      <c r="H116" s="1" t="s">
        <v>185</v>
      </c>
      <c r="I116" s="1" t="s">
        <v>302</v>
      </c>
      <c r="J116" s="50" t="s">
        <v>74</v>
      </c>
      <c r="K116" s="35" t="s">
        <v>59</v>
      </c>
      <c r="L116" s="1" t="s">
        <v>488</v>
      </c>
      <c r="M116" s="1" t="s">
        <v>489</v>
      </c>
      <c r="N116" s="1" t="s">
        <v>62</v>
      </c>
      <c r="O116" s="1" t="s">
        <v>63</v>
      </c>
      <c r="Q116" s="1" t="s">
        <v>229</v>
      </c>
      <c r="R116" s="1" t="s">
        <v>490</v>
      </c>
      <c r="U116" s="12" t="n">
        <v>0.991666666666667</v>
      </c>
      <c r="V116" s="11" t="n">
        <v>46050</v>
      </c>
      <c r="W116" s="12" t="n">
        <v>0.944444444444444</v>
      </c>
      <c r="X116" s="11" t="n">
        <v>46051</v>
      </c>
      <c r="Y116" s="12" t="n">
        <v>0.0388888888888889</v>
      </c>
      <c r="Z116" s="1" t="s">
        <v>108</v>
      </c>
      <c r="AA116" s="1" t="s">
        <v>68</v>
      </c>
      <c r="AB116" s="2" t="e">
        <f aca="false">U116-G116</f>
        <v>#VALUE!</v>
      </c>
      <c r="AC116" s="14" t="n">
        <f aca="false">(V116+W116)-(B116+C116)</f>
        <v>5.01527777777778</v>
      </c>
      <c r="AD116" s="4" t="str">
        <f aca="false">INT((V116+W116)-(B116+C116)) &amp; ":" &amp;
TEXT(HOUR((V116+W116)-(B116+C116)), "00") &amp; ":" &amp;
TEXT(MINUTE((V116+W116)-(B116+C116)), "00")</f>
        <v>5:00:22</v>
      </c>
      <c r="AE116" s="1" t="n">
        <f aca="false">IFERROR(
LEFT(AD116,FIND(":",AD116)-1)
+ MID(AD116,FIND(":",AD116)+1,2)/24
+ RIGHT(AD116,2)/1440,
"")</f>
        <v>5.01527777777778</v>
      </c>
      <c r="AF116" s="4" t="str">
        <f aca="false">INT((X116+Y116)-(B116+C116)) &amp; ":" &amp;
TEXT(HOUR((X116+Y116)-(B116+C116)), "00") &amp; ":" &amp;
TEXT(MINUTE((X116+Y116)-(B116+C116)), "00")</f>
        <v>5:02:38</v>
      </c>
      <c r="AG116" s="4" t="str">
        <f aca="false" t="array" ref="AG116:AG116">INT(_xlfn.XLOOKUP(J116,{"Low","Medium","High","Urgent"},{48,24,12,8})/24) &amp; ":" &amp;
TEXT(MOD(_xlfn.XLOOKUP(J116,{"Low","Medium","High","Urgent"},{48,24,12,8}),24)/24,"hh:mm")</f>
        <v>2:00:00</v>
      </c>
      <c r="AH116" s="4" t="str">
        <f aca="false">IF(AD116&gt;AG116,"Not Met","Met")</f>
        <v>Not Met</v>
      </c>
      <c r="AI116" s="4" t="e">
        <f aca="false">IF(AB116&lt;TIME(0,30,0),"Met","Not Met")</f>
        <v>#VALUE!</v>
      </c>
      <c r="AN116" s="1" t="str">
        <f aca="false">TEXT(B116,"dd")</f>
        <v>23</v>
      </c>
      <c r="AO116" s="1" t="str">
        <f aca="false">TEXT(X116,"dd")</f>
        <v>29</v>
      </c>
      <c r="AP116" s="16" t="str">
        <f aca="false">INT(
  NETWORKDAYS(B116,V116)-1
  + IF(WEEKDAY(V116,2)&lt;6,MOD(V116+W116,1),0)
  - IF(WEEKDAY(B116,2)&lt;6,MOD(B116+C116,1),0)
)
&amp; ":" &amp;
TEXT(HOUR(
  NETWORKDAYS(B116,V116)-1
  + IF(WEEKDAY(V116,2)&lt;6,MOD(V116+W116,1),0)
  - IF(WEEKDAY(B116,2)&lt;6,MOD(B116+C116,1),0)
),"00")
&amp; ":" &amp;
TEXT(MINUTE(
  NETWORKDAYS(B116,V116)-1
  + IF(WEEKDAY(V116,2)&lt;6,MOD(V116+W116,1),0)
  - IF(WEEKDAY(B116,2)&lt;6,MOD(B116+C116,1),0)
),"00")</f>
        <v>3:00:21</v>
      </c>
      <c r="AQ116" s="0" t="n">
        <f aca="false">IFERROR(
LEFT(AP116,FIND(":",AP116)-1)
+ MID(AP116,FIND(":",AP116)+1,2)/24
+ RIGHT(AP116,2)/1440,
"")</f>
        <v>3.01458333333333</v>
      </c>
      <c r="AR116" s="0" t="n">
        <f aca="false">WEEKNUM(B116,1)</f>
        <v>4</v>
      </c>
      <c r="AS116" s="17" t="n">
        <f aca="false">IF(B116&gt;0, (B116+C116)-TIME(13,30,0), "")</f>
        <v>46045.3666666667</v>
      </c>
      <c r="AT116" s="18" t="n">
        <f aca="false">IF(B116&gt;0, (B116+C116)-TIME(13,30,0), "")</f>
        <v>46045.3666666667</v>
      </c>
      <c r="AU116" s="17" t="n">
        <f aca="false">IF(V116&gt;0, (V116+W116)-TIME(13,30,0), "")</f>
        <v>46050.3819444444</v>
      </c>
      <c r="AV116" s="18" t="n">
        <f aca="false">IF(V116&gt;0, (V116+W116)-TIME(13,30,0), "")</f>
        <v>46050.3819444444</v>
      </c>
      <c r="AW116" s="19" t="n">
        <f aca="false">24*(
MAX(0,
IF(NETWORKDAYS(AS116,AU116)=1,
MIN(MOD(AV116,1),TIME(17,30,0)) - MAX(MOD(AT116,1),TIME(8,30,0)),
(TIME(17,30,0)-MAX(MOD(AT116,1),TIME(8,30,0)))
+ (MIN(MOD(AV116,1),TIME(17,30,0))-TIME(8,30,0))
+ (NETWORKDAYS(AS116,AU116)-2)*9/24
)
)
)</f>
        <v>27.3666666666667</v>
      </c>
      <c r="AX116" s="19" t="n">
        <f aca="false">24*(
MAX(0,
IF(NETWORKDAYS(AS116,AU116)=1,
MIN(MOD(AV116,1),TIME(17,30,0)) - MAX(MOD(AT116,1),TIME(8,30,0)),
(TIME(17,30,0)-MAX(MOD(AT116,1),TIME(8,30,0)))
+ (MIN(MOD(AV116,1),TIME(17,30,0))-TIME(8,30,0))
+ (NETWORKDAYS(AS116,AU116)-2)* (TIME(17,30,0)-TIME(8,30,0))
)
)
)</f>
        <v>27.3666666666667</v>
      </c>
      <c r="AY116" s="20" t="n">
        <f aca="false">ROUND(
IF(AS116=AU116,
MAX(0,
(MIN(MOD(AV116,1),TIME(17,30,0))-
MAX(MOD(AT116,1),TIME(8,30,0)))*24
),
(
(MAX(0,TIME(17,30,0)-MAX(MOD(AT116,1),TIME(8,30,0)))*24)
+
(MAX(0,MIN(MOD(AV116,1),TIME(17,30,0))-TIME(8,30,0))*24)
+
(MAX(0,NETWORKDAYS(AS116+1,AU116-1))*9)
)
),
2)</f>
        <v>27.37</v>
      </c>
      <c r="AZ116" s="0" t="n">
        <f aca="false" t="array" ref="AZ116:AZ116">_xlfn.XLOOKUP(J116,{"Low","Medium","High"},{270,72,24})</f>
        <v>270</v>
      </c>
      <c r="BA116" s="0" t="str">
        <f aca="false">IF(AW116&gt;AZ116,"Not Met","Met")</f>
        <v>Met</v>
      </c>
      <c r="BB116" s="21" t="str">
        <f aca="false">IF(AS116="","",TEXT(AS116,"MMM")&amp;"'"&amp;TEXT(AS116,"yy"))</f>
        <v>Jan'26</v>
      </c>
      <c r="BC116" s="0" t="str">
        <f aca="false">IF(AU116="","",TEXT(AU116,"MMM")&amp;"'"&amp;TEXT(AU116,"yy"))</f>
        <v>Jan'26</v>
      </c>
    </row>
    <row r="117" customFormat="false" ht="15" hidden="false" customHeight="false" outlineLevel="0" collapsed="false">
      <c r="A117" s="1" t="s">
        <v>491</v>
      </c>
      <c r="B117" s="11" t="n">
        <v>46045</v>
      </c>
      <c r="C117" s="12" t="n">
        <v>0.940277777777778</v>
      </c>
      <c r="D117" s="13" t="str">
        <f aca="false">IF(B117="","",TEXT(B117,"MMM")&amp;"'"&amp;TEXT(B117,"yy"))</f>
        <v>Jan'26</v>
      </c>
      <c r="E117" s="27" t="s">
        <v>55</v>
      </c>
      <c r="F117" s="1" t="s">
        <v>39</v>
      </c>
      <c r="G117" s="1" t="str">
        <f aca="false">IF(F117="Closed","Closed","Pending")</f>
        <v>Closed</v>
      </c>
      <c r="H117" s="1" t="s">
        <v>157</v>
      </c>
      <c r="I117" s="1" t="s">
        <v>371</v>
      </c>
      <c r="J117" s="35" t="s">
        <v>58</v>
      </c>
      <c r="K117" s="35" t="s">
        <v>59</v>
      </c>
      <c r="L117" s="1" t="s">
        <v>492</v>
      </c>
      <c r="M117" s="1" t="s">
        <v>464</v>
      </c>
      <c r="N117" s="1" t="s">
        <v>62</v>
      </c>
      <c r="O117" s="1" t="s">
        <v>63</v>
      </c>
      <c r="Q117" s="1" t="s">
        <v>229</v>
      </c>
      <c r="R117" s="1" t="s">
        <v>66</v>
      </c>
      <c r="U117" s="12" t="n">
        <v>0.991666666666667</v>
      </c>
      <c r="V117" s="11" t="n">
        <v>46050</v>
      </c>
      <c r="W117" s="12" t="n">
        <v>0.490277777777778</v>
      </c>
      <c r="X117" s="11" t="n">
        <v>46050</v>
      </c>
      <c r="Y117" s="12" t="n">
        <v>0.490277777777778</v>
      </c>
      <c r="Z117" s="1" t="s">
        <v>108</v>
      </c>
      <c r="AA117" s="1" t="s">
        <v>68</v>
      </c>
      <c r="AB117" s="2" t="e">
        <f aca="false">U117-G117</f>
        <v>#VALUE!</v>
      </c>
      <c r="AC117" s="14" t="n">
        <f aca="false">(V117+W117)-(B117+C117)</f>
        <v>4.55</v>
      </c>
      <c r="AD117" s="4" t="str">
        <f aca="false">INT((V117+W117)-(B117+C117)) &amp; ":" &amp;
TEXT(HOUR((V117+W117)-(B117+C117)), "00") &amp; ":" &amp;
TEXT(MINUTE((V117+W117)-(B117+C117)), "00")</f>
        <v>4:13:12</v>
      </c>
      <c r="AE117" s="1" t="n">
        <f aca="false">IFERROR(
LEFT(AD117,FIND(":",AD117)-1)
+ MID(AD117,FIND(":",AD117)+1,2)/24
+ RIGHT(AD117,2)/1440,
"")</f>
        <v>4.55</v>
      </c>
      <c r="AF117" s="4" t="str">
        <f aca="false">INT((X117+Y117)-(B117+C117)) &amp; ":" &amp;
TEXT(HOUR((X117+Y117)-(B117+C117)), "00") &amp; ":" &amp;
TEXT(MINUTE((X117+Y117)-(B117+C117)), "00")</f>
        <v>4:13:12</v>
      </c>
      <c r="AG117" s="4" t="str">
        <f aca="false" t="array" ref="AG117:AG117">INT(_xlfn.XLOOKUP(J117,{"Low","Medium","High","Urgent"},{48,24,12,8})/24) &amp; ":" &amp;
TEXT(MOD(_xlfn.XLOOKUP(J117,{"Low","Medium","High","Urgent"},{48,24,12,8}),24)/24,"hh:mm")</f>
        <v>1:00:00</v>
      </c>
      <c r="AH117" s="4" t="str">
        <f aca="false">IF(AD117&gt;AG117,"Not Met","Met")</f>
        <v>Not Met</v>
      </c>
      <c r="AI117" s="4" t="e">
        <f aca="false">IF(AB117&lt;TIME(0,30,0),"Met","Not Met")</f>
        <v>#VALUE!</v>
      </c>
      <c r="AN117" s="1" t="str">
        <f aca="false">TEXT(B117,"dd")</f>
        <v>23</v>
      </c>
      <c r="AO117" s="1" t="str">
        <f aca="false">TEXT(X117,"dd")</f>
        <v>28</v>
      </c>
      <c r="AP117" s="16" t="str">
        <f aca="false">INT(
  NETWORKDAYS(B117,V117)-1
  + IF(WEEKDAY(V117,2)&lt;6,MOD(V117+W117,1),0)
  - IF(WEEKDAY(B117,2)&lt;6,MOD(B117+C117,1),0)
)
&amp; ":" &amp;
TEXT(HOUR(
  NETWORKDAYS(B117,V117)-1
  + IF(WEEKDAY(V117,2)&lt;6,MOD(V117+W117,1),0)
  - IF(WEEKDAY(B117,2)&lt;6,MOD(B117+C117,1),0)
),"00")
&amp; ":" &amp;
TEXT(MINUTE(
  NETWORKDAYS(B117,V117)-1
  + IF(WEEKDAY(V117,2)&lt;6,MOD(V117+W117,1),0)
  - IF(WEEKDAY(B117,2)&lt;6,MOD(B117+C117,1),0)
),"00")</f>
        <v>2:13:11</v>
      </c>
      <c r="AQ117" s="0" t="n">
        <f aca="false">IFERROR(
LEFT(AP117,FIND(":",AP117)-1)
+ MID(AP117,FIND(":",AP117)+1,2)/24
+ RIGHT(AP117,2)/1440,
"")</f>
        <v>2.54930555555556</v>
      </c>
      <c r="AR117" s="0" t="n">
        <f aca="false">WEEKNUM(B117,1)</f>
        <v>4</v>
      </c>
      <c r="AS117" s="17" t="n">
        <f aca="false">IF(B117&gt;0, (B117+C117)-TIME(13,30,0), "")</f>
        <v>46045.3777777778</v>
      </c>
      <c r="AT117" s="18" t="n">
        <f aca="false">IF(B117&gt;0, (B117+C117)-TIME(13,30,0), "")</f>
        <v>46045.3777777778</v>
      </c>
      <c r="AU117" s="17" t="n">
        <f aca="false">IF(V117&gt;0, (V117+W117)-TIME(13,30,0), "")</f>
        <v>46049.9277777778</v>
      </c>
      <c r="AV117" s="18" t="n">
        <f aca="false">IF(V117&gt;0, (V117+W117)-TIME(13,30,0), "")</f>
        <v>46049.9277777778</v>
      </c>
      <c r="AW117" s="19" t="n">
        <f aca="false">24*(
MAX(0,
IF(NETWORKDAYS(AS117,AU117)=1,
MIN(MOD(AV117,1),TIME(17,30,0)) - MAX(MOD(AT117,1),TIME(8,30,0)),
(TIME(17,30,0)-MAX(MOD(AT117,1),TIME(8,30,0)))
+ (MIN(MOD(AV117,1),TIME(17,30,0))-TIME(8,30,0))
+ (NETWORKDAYS(AS117,AU117)-2)*9/24
)
)
)</f>
        <v>26.4333333333333</v>
      </c>
      <c r="AX117" s="19" t="n">
        <f aca="false">24*(
MAX(0,
IF(NETWORKDAYS(AS117,AU117)=1,
MIN(MOD(AV117,1),TIME(17,30,0)) - MAX(MOD(AT117,1),TIME(8,30,0)),
(TIME(17,30,0)-MAX(MOD(AT117,1),TIME(8,30,0)))
+ (MIN(MOD(AV117,1),TIME(17,30,0))-TIME(8,30,0))
+ (NETWORKDAYS(AS117,AU117)-2)* (TIME(17,30,0)-TIME(8,30,0))
)
)
)</f>
        <v>26.4333333333333</v>
      </c>
      <c r="AY117" s="20" t="n">
        <f aca="false">ROUND(
IF(AS117=AU117,
MAX(0,
(MIN(MOD(AV117,1),TIME(17,30,0))-
MAX(MOD(AT117,1),TIME(8,30,0)))*24
),
(
(MAX(0,TIME(17,30,0)-MAX(MOD(AT117,1),TIME(8,30,0)))*24)
+
(MAX(0,MIN(MOD(AV117,1),TIME(17,30,0))-TIME(8,30,0))*24)
+
(MAX(0,NETWORKDAYS(AS117+1,AU117-1))*9)
)
),
2)</f>
        <v>26.43</v>
      </c>
      <c r="AZ117" s="0" t="n">
        <f aca="false" t="array" ref="AZ117:AZ117">_xlfn.XLOOKUP(J117,{"Low","Medium","High"},{270,72,24})</f>
        <v>72</v>
      </c>
      <c r="BA117" s="0" t="str">
        <f aca="false">IF(AW117&gt;AZ117,"Not Met","Met")</f>
        <v>Met</v>
      </c>
      <c r="BB117" s="21" t="str">
        <f aca="false">IF(AS117="","",TEXT(AS117,"MMM")&amp;"'"&amp;TEXT(AS117,"yy"))</f>
        <v>Jan'26</v>
      </c>
      <c r="BC117" s="0" t="str">
        <f aca="false">IF(AU117="","",TEXT(AU117,"MMM")&amp;"'"&amp;TEXT(AU117,"yy"))</f>
        <v>Jan'26</v>
      </c>
    </row>
    <row r="118" customFormat="false" ht="15" hidden="false" customHeight="false" outlineLevel="0" collapsed="false">
      <c r="A118" s="1" t="s">
        <v>493</v>
      </c>
      <c r="B118" s="11" t="n">
        <v>46045</v>
      </c>
      <c r="C118" s="12" t="n">
        <v>0.997916666666667</v>
      </c>
      <c r="D118" s="13" t="str">
        <f aca="false">IF(B118="","",TEXT(B118,"MMM")&amp;"'"&amp;TEXT(B118,"yy"))</f>
        <v>Jan'26</v>
      </c>
      <c r="E118" s="27" t="s">
        <v>55</v>
      </c>
      <c r="F118" s="1" t="s">
        <v>39</v>
      </c>
      <c r="G118" s="1" t="str">
        <f aca="false">IF(F118="Closed","Closed","Pending")</f>
        <v>Closed</v>
      </c>
      <c r="H118" s="1" t="s">
        <v>56</v>
      </c>
      <c r="I118" s="1" t="s">
        <v>82</v>
      </c>
      <c r="J118" s="35" t="s">
        <v>74</v>
      </c>
      <c r="K118" s="35" t="s">
        <v>59</v>
      </c>
      <c r="L118" s="1" t="s">
        <v>494</v>
      </c>
      <c r="M118" s="1" t="s">
        <v>494</v>
      </c>
      <c r="N118" s="1" t="s">
        <v>65</v>
      </c>
      <c r="O118" s="1" t="s">
        <v>106</v>
      </c>
      <c r="Q118" s="1" t="s">
        <v>65</v>
      </c>
      <c r="R118" s="1" t="s">
        <v>66</v>
      </c>
      <c r="U118" s="1" t="s">
        <v>495</v>
      </c>
      <c r="V118" s="11" t="n">
        <v>46063</v>
      </c>
      <c r="W118" s="12" t="n">
        <v>0.941666666666667</v>
      </c>
      <c r="X118" s="11" t="n">
        <v>46092</v>
      </c>
      <c r="Y118" s="12" t="n">
        <v>0.0493055555555556</v>
      </c>
      <c r="Z118" s="1" t="s">
        <v>108</v>
      </c>
      <c r="AA118" s="1" t="s">
        <v>68</v>
      </c>
      <c r="AB118" s="2" t="n">
        <v>0.0145833333333333</v>
      </c>
      <c r="AC118" s="14" t="n">
        <f aca="false">(V118+W118)-(B118+C118)</f>
        <v>17.94375</v>
      </c>
      <c r="AD118" s="4" t="str">
        <f aca="false">INT((V118+W118)-(B118+C118)) &amp; ":" &amp;
TEXT(HOUR((V118+W118)-(B118+C118)), "00") &amp; ":" &amp;
TEXT(MINUTE((V118+W118)-(B118+C118)), "00")</f>
        <v>17:22:39</v>
      </c>
      <c r="AE118" s="1" t="n">
        <f aca="false">IFERROR(
LEFT(AD118,FIND(":",AD118)-1)
+ MID(AD118,FIND(":",AD118)+1,2)/24
+ RIGHT(AD118,2)/1440,
"")</f>
        <v>17.94375</v>
      </c>
      <c r="AF118" s="4" t="str">
        <f aca="false">INT((X118+Y118)-(B118+C118)) &amp; ":" &amp;
TEXT(HOUR((X118+Y118)-(B118+C118)), "00") &amp; ":" &amp;
TEXT(MINUTE((X118+Y118)-(B118+C118)), "00")</f>
        <v>46:01:14</v>
      </c>
      <c r="AG118" s="4" t="str">
        <f aca="false" t="array" ref="AG118:AG118">INT(_xlfn.XLOOKUP(J118,{"Low","Medium","High","Urgent"},{48,24,12,8})/24) &amp; ":" &amp;
TEXT(MOD(_xlfn.XLOOKUP(J118,{"Low","Medium","High","Urgent"},{48,24,12,8}),24)/24,"hh:mm")</f>
        <v>2:00:00</v>
      </c>
      <c r="AH118" s="4" t="str">
        <f aca="false">IF(AD118&gt;AG118,"Not Met","Met")</f>
        <v>Met</v>
      </c>
      <c r="AI118" s="4" t="str">
        <f aca="false">IF(AB118&lt;TIME(0,30,0),"Met","Not Met")</f>
        <v>Met</v>
      </c>
      <c r="AN118" s="1" t="str">
        <f aca="false">TEXT(B118,"dd")</f>
        <v>23</v>
      </c>
      <c r="AO118" s="1" t="str">
        <f aca="false">TEXT(X118,"dd")</f>
        <v>11</v>
      </c>
      <c r="AP118" s="16" t="str">
        <f aca="false">INT(
  NETWORKDAYS(B118,V118)-1
  + IF(WEEKDAY(V118,2)&lt;6,MOD(V118+W118,1),0)
  - IF(WEEKDAY(B118,2)&lt;6,MOD(B118+C118,1),0)
)
&amp; ":" &amp;
TEXT(HOUR(
  NETWORKDAYS(B118,V118)-1
  + IF(WEEKDAY(V118,2)&lt;6,MOD(V118+W118,1),0)
  - IF(WEEKDAY(B118,2)&lt;6,MOD(B118+C118,1),0)
),"00")
&amp; ":" &amp;
TEXT(MINUTE(
  NETWORKDAYS(B118,V118)-1
  + IF(WEEKDAY(V118,2)&lt;6,MOD(V118+W118,1),0)
  - IF(WEEKDAY(B118,2)&lt;6,MOD(B118+C118,1),0)
),"00")</f>
        <v>11:22:38</v>
      </c>
      <c r="AQ118" s="0" t="n">
        <f aca="false">IFERROR(
LEFT(AP118,FIND(":",AP118)-1)
+ MID(AP118,FIND(":",AP118)+1,2)/24
+ RIGHT(AP118,2)/1440,
"")</f>
        <v>11.9430555555556</v>
      </c>
      <c r="AR118" s="0" t="n">
        <f aca="false">WEEKNUM(B118,1)</f>
        <v>4</v>
      </c>
      <c r="AS118" s="17" t="n">
        <f aca="false">IF(B118&gt;0, (B118+C118)-TIME(13,30,0), "")</f>
        <v>46045.4354166667</v>
      </c>
      <c r="AT118" s="18" t="n">
        <f aca="false">IF(B118&gt;0, (B118+C118)-TIME(13,30,0), "")</f>
        <v>46045.4354166667</v>
      </c>
      <c r="AU118" s="17" t="n">
        <f aca="false">IF(V118&gt;0, (V118+W118)-TIME(13,30,0), "")</f>
        <v>46063.3791666667</v>
      </c>
      <c r="AV118" s="18" t="n">
        <f aca="false">IF(V118&gt;0, (V118+W118)-TIME(13,30,0), "")</f>
        <v>46063.3791666667</v>
      </c>
      <c r="AW118" s="19" t="n">
        <f aca="false">24*(
MAX(0,
IF(NETWORKDAYS(AS118,AU118)=1,
MIN(MOD(AV118,1),TIME(17,30,0)) - MAX(MOD(AT118,1),TIME(8,30,0)),
(TIME(17,30,0)-MAX(MOD(AT118,1),TIME(8,30,0)))
+ (MIN(MOD(AV118,1),TIME(17,30,0))-TIME(8,30,0))
+ (NETWORKDAYS(AS118,AU118)-2)*9/24
)
)
)</f>
        <v>106.65</v>
      </c>
      <c r="AX118" s="19" t="n">
        <f aca="false">24*(
MAX(0,
IF(NETWORKDAYS(AS118,AU118)=1,
MIN(MOD(AV118,1),TIME(17,30,0)) - MAX(MOD(AT118,1),TIME(8,30,0)),
(TIME(17,30,0)-MAX(MOD(AT118,1),TIME(8,30,0)))
+ (MIN(MOD(AV118,1),TIME(17,30,0))-TIME(8,30,0))
+ (NETWORKDAYS(AS118,AU118)-2)* (TIME(17,30,0)-TIME(8,30,0))
)
)
)</f>
        <v>106.65</v>
      </c>
      <c r="AY118" s="20" t="n">
        <f aca="false">ROUND(
IF(AS118=AU118,
MAX(0,
(MIN(MOD(AV118,1),TIME(17,30,0))-
MAX(MOD(AT118,1),TIME(8,30,0)))*24
),
(
(MAX(0,TIME(17,30,0)-MAX(MOD(AT118,1),TIME(8,30,0)))*24)
+
(MAX(0,MIN(MOD(AV118,1),TIME(17,30,0))-TIME(8,30,0))*24)
+
(MAX(0,NETWORKDAYS(AS118+1,AU118-1))*9)
)
),
2)</f>
        <v>106.65</v>
      </c>
      <c r="AZ118" s="0" t="n">
        <f aca="false" t="array" ref="AZ118:AZ118">_xlfn.XLOOKUP(J118,{"Low","Medium","High"},{270,72,24})</f>
        <v>270</v>
      </c>
      <c r="BA118" s="0" t="str">
        <f aca="false">IF(AW118&gt;AZ118,"Not Met","Met")</f>
        <v>Met</v>
      </c>
      <c r="BB118" s="21" t="str">
        <f aca="false">IF(AS118="","",TEXT(AS118,"MMM")&amp;"'"&amp;TEXT(AS118,"yy"))</f>
        <v>Jan'26</v>
      </c>
      <c r="BC118" s="0" t="str">
        <f aca="false">IF(AU118="","",TEXT(AU118,"MMM")&amp;"'"&amp;TEXT(AU118,"yy"))</f>
        <v>Feb'26</v>
      </c>
    </row>
    <row r="119" customFormat="false" ht="15" hidden="false" customHeight="false" outlineLevel="0" collapsed="false">
      <c r="A119" s="1" t="s">
        <v>496</v>
      </c>
      <c r="B119" s="11" t="n">
        <v>46046</v>
      </c>
      <c r="C119" s="12" t="n">
        <v>0.00208333333333333</v>
      </c>
      <c r="D119" s="13" t="str">
        <f aca="false">IF(B119="","",TEXT(B119,"MMM")&amp;"'"&amp;TEXT(B119,"yy"))</f>
        <v>Jan'26</v>
      </c>
      <c r="E119" s="27" t="s">
        <v>55</v>
      </c>
      <c r="F119" s="1" t="s">
        <v>39</v>
      </c>
      <c r="G119" s="1" t="str">
        <f aca="false">IF(F119="Closed","Closed","Pending")</f>
        <v>Closed</v>
      </c>
      <c r="H119" s="1" t="s">
        <v>263</v>
      </c>
      <c r="I119" s="1" t="s">
        <v>103</v>
      </c>
      <c r="J119" s="35" t="s">
        <v>74</v>
      </c>
      <c r="K119" s="35" t="s">
        <v>59</v>
      </c>
      <c r="L119" s="1" t="s">
        <v>115</v>
      </c>
      <c r="M119" s="1" t="s">
        <v>361</v>
      </c>
      <c r="N119" s="1" t="s">
        <v>65</v>
      </c>
      <c r="O119" s="1" t="s">
        <v>106</v>
      </c>
      <c r="Q119" s="1" t="s">
        <v>65</v>
      </c>
      <c r="R119" s="1" t="s">
        <v>426</v>
      </c>
      <c r="U119" s="12" t="n">
        <v>0.0125</v>
      </c>
      <c r="V119" s="11" t="n">
        <v>46049</v>
      </c>
      <c r="W119" s="12" t="n">
        <v>0.959722222222222</v>
      </c>
      <c r="X119" s="11" t="n">
        <v>46053</v>
      </c>
      <c r="Y119" s="12" t="n">
        <v>0.150694444444444</v>
      </c>
      <c r="Z119" s="1" t="s">
        <v>67</v>
      </c>
      <c r="AA119" s="1" t="s">
        <v>68</v>
      </c>
      <c r="AB119" s="2" t="e">
        <f aca="false">U119-G119</f>
        <v>#VALUE!</v>
      </c>
      <c r="AC119" s="14" t="n">
        <f aca="false">(V119+W119)-(B119+C119)</f>
        <v>3.95763888888889</v>
      </c>
      <c r="AD119" s="4" t="str">
        <f aca="false">INT((V119+W119)-(B119+C119)) &amp; ":" &amp;
TEXT(HOUR((V119+W119)-(B119+C119)), "00") &amp; ":" &amp;
TEXT(MINUTE((V119+W119)-(B119+C119)), "00")</f>
        <v>3:22:59</v>
      </c>
      <c r="AE119" s="1" t="n">
        <f aca="false">IFERROR(
LEFT(AD119,FIND(":",AD119)-1)
+ MID(AD119,FIND(":",AD119)+1,2)/24
+ RIGHT(AD119,2)/1440,
"")</f>
        <v>3.95763888888889</v>
      </c>
      <c r="AF119" s="4" t="str">
        <f aca="false">INT((X119+Y119)-(B119+C119)) &amp; ":" &amp;
TEXT(HOUR((X119+Y119)-(B119+C119)), "00") &amp; ":" &amp;
TEXT(MINUTE((X119+Y119)-(B119+C119)), "00")</f>
        <v>7:03:34</v>
      </c>
      <c r="AG119" s="4" t="str">
        <f aca="false" t="array" ref="AG119:AG119">INT(_xlfn.XLOOKUP(J119,{"Low","Medium","High","Urgent"},{48,24,12,8})/24) &amp; ":" &amp;
TEXT(MOD(_xlfn.XLOOKUP(J119,{"Low","Medium","High","Urgent"},{48,24,12,8}),24)/24,"hh:mm")</f>
        <v>2:00:00</v>
      </c>
      <c r="AH119" s="4" t="str">
        <f aca="false">IF(AD119&gt;AG119,"Not Met","Met")</f>
        <v>Not Met</v>
      </c>
      <c r="AI119" s="4" t="e">
        <f aca="false">IF(AB119&lt;TIME(0,30,0),"Met","Not Met")</f>
        <v>#VALUE!</v>
      </c>
      <c r="AN119" s="1" t="str">
        <f aca="false">TEXT(B119,"dd")</f>
        <v>24</v>
      </c>
      <c r="AO119" s="1" t="str">
        <f aca="false">TEXT(X119,"dd")</f>
        <v>31</v>
      </c>
      <c r="AP119" s="16" t="str">
        <f aca="false">INT(
  NETWORKDAYS(B119,V119)-1
  + IF(WEEKDAY(V119,2)&lt;6,MOD(V119+W119,1),0)
  - IF(WEEKDAY(B119,2)&lt;6,MOD(B119+C119,1),0)
)
&amp; ":" &amp;
TEXT(HOUR(
  NETWORKDAYS(B119,V119)-1
  + IF(WEEKDAY(V119,2)&lt;6,MOD(V119+W119,1),0)
  - IF(WEEKDAY(B119,2)&lt;6,MOD(B119+C119,1),0)
),"00")
&amp; ":" &amp;
TEXT(MINUTE(
  NETWORKDAYS(B119,V119)-1
  + IF(WEEKDAY(V119,2)&lt;6,MOD(V119+W119,1),0)
  - IF(WEEKDAY(B119,2)&lt;6,MOD(B119+C119,1),0)
),"00")</f>
        <v>1:23:01</v>
      </c>
      <c r="AQ119" s="0" t="n">
        <f aca="false">IFERROR(
LEFT(AP119,FIND(":",AP119)-1)
+ MID(AP119,FIND(":",AP119)+1,2)/24
+ RIGHT(AP119,2)/1440,
"")</f>
        <v>1.95902777777778</v>
      </c>
      <c r="AR119" s="0" t="n">
        <f aca="false">WEEKNUM(B119,1)</f>
        <v>4</v>
      </c>
      <c r="AS119" s="17" t="n">
        <f aca="false">IF(B119&gt;0, (B119+C119)-TIME(13,30,0), "")</f>
        <v>46045.4395833333</v>
      </c>
      <c r="AT119" s="18" t="n">
        <f aca="false">IF(B119&gt;0, (B119+C119)-TIME(13,30,0), "")</f>
        <v>46045.4395833333</v>
      </c>
      <c r="AU119" s="17" t="n">
        <f aca="false">IF(V119&gt;0, (V119+W119)-TIME(13,30,0), "")</f>
        <v>46049.3972222222</v>
      </c>
      <c r="AV119" s="18" t="n">
        <f aca="false">IF(V119&gt;0, (V119+W119)-TIME(13,30,0), "")</f>
        <v>46049.3972222222</v>
      </c>
      <c r="AW119" s="19" t="n">
        <f aca="false">24*(
MAX(0,
IF(NETWORKDAYS(AS119,AU119)=1,
MIN(MOD(AV119,1),TIME(17,30,0)) - MAX(MOD(AT119,1),TIME(8,30,0)),
(TIME(17,30,0)-MAX(MOD(AT119,1),TIME(8,30,0)))
+ (MIN(MOD(AV119,1),TIME(17,30,0))-TIME(8,30,0))
+ (NETWORKDAYS(AS119,AU119)-2)*9/24
)
)
)</f>
        <v>16.9833333333333</v>
      </c>
      <c r="AX119" s="19" t="n">
        <f aca="false">24*(
MAX(0,
IF(NETWORKDAYS(AS119,AU119)=1,
MIN(MOD(AV119,1),TIME(17,30,0)) - MAX(MOD(AT119,1),TIME(8,30,0)),
(TIME(17,30,0)-MAX(MOD(AT119,1),TIME(8,30,0)))
+ (MIN(MOD(AV119,1),TIME(17,30,0))-TIME(8,30,0))
+ (NETWORKDAYS(AS119,AU119)-2)* (TIME(17,30,0)-TIME(8,30,0))
)
)
)</f>
        <v>16.9833333333333</v>
      </c>
      <c r="AY119" s="20" t="n">
        <f aca="false">ROUND(
IF(AS119=AU119,
MAX(0,
(MIN(MOD(AV119,1),TIME(17,30,0))-
MAX(MOD(AT119,1),TIME(8,30,0)))*24
),
(
(MAX(0,TIME(17,30,0)-MAX(MOD(AT119,1),TIME(8,30,0)))*24)
+
(MAX(0,MIN(MOD(AV119,1),TIME(17,30,0))-TIME(8,30,0))*24)
+
(MAX(0,NETWORKDAYS(AS119+1,AU119-1))*9)
)
),
2)</f>
        <v>16.98</v>
      </c>
      <c r="AZ119" s="0" t="n">
        <f aca="false" t="array" ref="AZ119:AZ119">_xlfn.XLOOKUP(J119,{"Low","Medium","High"},{270,72,24})</f>
        <v>270</v>
      </c>
      <c r="BA119" s="0" t="str">
        <f aca="false">IF(AW119&gt;AZ119,"Not Met","Met")</f>
        <v>Met</v>
      </c>
      <c r="BB119" s="21" t="str">
        <f aca="false">IF(AS119="","",TEXT(AS119,"MMM")&amp;"'"&amp;TEXT(AS119,"yy"))</f>
        <v>Jan'26</v>
      </c>
      <c r="BC119" s="0" t="str">
        <f aca="false">IF(AU119="","",TEXT(AU119,"MMM")&amp;"'"&amp;TEXT(AU119,"yy"))</f>
        <v>Jan'26</v>
      </c>
    </row>
    <row r="120" customFormat="false" ht="15" hidden="false" customHeight="false" outlineLevel="0" collapsed="false">
      <c r="A120" s="1" t="s">
        <v>497</v>
      </c>
      <c r="B120" s="11" t="n">
        <v>46046</v>
      </c>
      <c r="C120" s="12" t="n">
        <v>0.0270833333333333</v>
      </c>
      <c r="D120" s="13" t="str">
        <f aca="false">IF(B120="","",TEXT(B120,"MMM")&amp;"'"&amp;TEXT(B120,"yy"))</f>
        <v>Jan'26</v>
      </c>
      <c r="E120" s="27" t="s">
        <v>55</v>
      </c>
      <c r="F120" s="1" t="s">
        <v>39</v>
      </c>
      <c r="G120" s="1" t="str">
        <f aca="false">IF(F120="Closed","Closed","Pending")</f>
        <v>Closed</v>
      </c>
      <c r="H120" s="1" t="s">
        <v>120</v>
      </c>
      <c r="I120" s="1" t="s">
        <v>210</v>
      </c>
      <c r="J120" s="35" t="s">
        <v>74</v>
      </c>
      <c r="K120" s="35" t="s">
        <v>59</v>
      </c>
      <c r="L120" s="1" t="s">
        <v>498</v>
      </c>
      <c r="M120" s="1" t="s">
        <v>499</v>
      </c>
      <c r="N120" s="1" t="s">
        <v>65</v>
      </c>
      <c r="O120" s="1" t="s">
        <v>106</v>
      </c>
      <c r="Q120" s="1" t="s">
        <v>65</v>
      </c>
      <c r="R120" s="1" t="s">
        <v>426</v>
      </c>
      <c r="U120" s="12" t="n">
        <v>0.0645833333333333</v>
      </c>
      <c r="V120" s="11" t="n">
        <v>46049</v>
      </c>
      <c r="W120" s="12" t="n">
        <v>0.961111111111111</v>
      </c>
      <c r="X120" s="11" t="n">
        <v>46049</v>
      </c>
      <c r="Y120" s="12" t="n">
        <v>0.979166666666667</v>
      </c>
      <c r="Z120" s="1" t="s">
        <v>67</v>
      </c>
      <c r="AA120" s="1" t="s">
        <v>68</v>
      </c>
      <c r="AB120" s="2" t="e">
        <f aca="false">U120-G120</f>
        <v>#VALUE!</v>
      </c>
      <c r="AC120" s="14" t="n">
        <f aca="false">(V120+W120)-(B120+C120)</f>
        <v>3.93402777777778</v>
      </c>
      <c r="AD120" s="4" t="str">
        <f aca="false">INT((V120+W120)-(B120+C120)) &amp; ":" &amp;
TEXT(HOUR((V120+W120)-(B120+C120)), "00") &amp; ":" &amp;
TEXT(MINUTE((V120+W120)-(B120+C120)), "00")</f>
        <v>3:22:25</v>
      </c>
      <c r="AE120" s="1" t="n">
        <f aca="false">IFERROR(
LEFT(AD120,FIND(":",AD120)-1)
+ MID(AD120,FIND(":",AD120)+1,2)/24
+ RIGHT(AD120,2)/1440,
"")</f>
        <v>3.93402777777778</v>
      </c>
      <c r="AF120" s="4" t="str">
        <f aca="false">INT((X120+Y120)-(B120+C120)) &amp; ":" &amp;
TEXT(HOUR((X120+Y120)-(B120+C120)), "00") &amp; ":" &amp;
TEXT(MINUTE((X120+Y120)-(B120+C120)), "00")</f>
        <v>3:22:51</v>
      </c>
      <c r="AG120" s="4" t="str">
        <f aca="false" t="array" ref="AG120:AG120">INT(_xlfn.XLOOKUP(J120,{"Low","Medium","High","Urgent"},{48,24,12,8})/24) &amp; ":" &amp;
TEXT(MOD(_xlfn.XLOOKUP(J120,{"Low","Medium","High","Urgent"},{48,24,12,8}),24)/24,"hh:mm")</f>
        <v>2:00:00</v>
      </c>
      <c r="AH120" s="4" t="str">
        <f aca="false">IF(AD120&gt;AG120,"Not Met","Met")</f>
        <v>Not Met</v>
      </c>
      <c r="AI120" s="4" t="e">
        <f aca="false">IF(AB120&lt;TIME(0,30,0),"Met","Not Met")</f>
        <v>#VALUE!</v>
      </c>
      <c r="AN120" s="1" t="str">
        <f aca="false">TEXT(B120,"dd")</f>
        <v>24</v>
      </c>
      <c r="AO120" s="1" t="str">
        <f aca="false">TEXT(X120,"dd")</f>
        <v>27</v>
      </c>
      <c r="AP120" s="16" t="str">
        <f aca="false">INT(
  NETWORKDAYS(B120,V120)-1
  + IF(WEEKDAY(V120,2)&lt;6,MOD(V120+W120,1),0)
  - IF(WEEKDAY(B120,2)&lt;6,MOD(B120+C120,1),0)
)
&amp; ":" &amp;
TEXT(HOUR(
  NETWORKDAYS(B120,V120)-1
  + IF(WEEKDAY(V120,2)&lt;6,MOD(V120+W120,1),0)
  - IF(WEEKDAY(B120,2)&lt;6,MOD(B120+C120,1),0)
),"00")
&amp; ":" &amp;
TEXT(MINUTE(
  NETWORKDAYS(B120,V120)-1
  + IF(WEEKDAY(V120,2)&lt;6,MOD(V120+W120,1),0)
  - IF(WEEKDAY(B120,2)&lt;6,MOD(B120+C120,1),0)
),"00")</f>
        <v>1:23:03</v>
      </c>
      <c r="AQ120" s="0" t="n">
        <f aca="false">IFERROR(
LEFT(AP120,FIND(":",AP120)-1)
+ MID(AP120,FIND(":",AP120)+1,2)/24
+ RIGHT(AP120,2)/1440,
"")</f>
        <v>1.96041666666667</v>
      </c>
      <c r="AR120" s="0" t="n">
        <f aca="false">WEEKNUM(B120,1)</f>
        <v>4</v>
      </c>
      <c r="AS120" s="17" t="n">
        <f aca="false">IF(B120&gt;0, (B120+C120)-TIME(13,30,0), "")</f>
        <v>46045.4645833333</v>
      </c>
      <c r="AT120" s="18" t="n">
        <f aca="false">IF(B120&gt;0, (B120+C120)-TIME(13,30,0), "")</f>
        <v>46045.4645833333</v>
      </c>
      <c r="AU120" s="17" t="n">
        <f aca="false">IF(V120&gt;0, (V120+W120)-TIME(13,30,0), "")</f>
        <v>46049.3986111111</v>
      </c>
      <c r="AV120" s="18" t="n">
        <f aca="false">IF(V120&gt;0, (V120+W120)-TIME(13,30,0), "")</f>
        <v>46049.3986111111</v>
      </c>
      <c r="AW120" s="19" t="n">
        <f aca="false">24*(
MAX(0,
IF(NETWORKDAYS(AS120,AU120)=1,
MIN(MOD(AV120,1),TIME(17,30,0)) - MAX(MOD(AT120,1),TIME(8,30,0)),
(TIME(17,30,0)-MAX(MOD(AT120,1),TIME(8,30,0)))
+ (MIN(MOD(AV120,1),TIME(17,30,0))-TIME(8,30,0))
+ (NETWORKDAYS(AS120,AU120)-2)*9/24
)
)
)</f>
        <v>16.4166666666667</v>
      </c>
      <c r="AX120" s="19" t="n">
        <f aca="false">24*(
MAX(0,
IF(NETWORKDAYS(AS120,AU120)=1,
MIN(MOD(AV120,1),TIME(17,30,0)) - MAX(MOD(AT120,1),TIME(8,30,0)),
(TIME(17,30,0)-MAX(MOD(AT120,1),TIME(8,30,0)))
+ (MIN(MOD(AV120,1),TIME(17,30,0))-TIME(8,30,0))
+ (NETWORKDAYS(AS120,AU120)-2)* (TIME(17,30,0)-TIME(8,30,0))
)
)
)</f>
        <v>16.4166666666667</v>
      </c>
      <c r="AY120" s="20" t="n">
        <f aca="false">ROUND(
IF(AS120=AU120,
MAX(0,
(MIN(MOD(AV120,1),TIME(17,30,0))-
MAX(MOD(AT120,1),TIME(8,30,0)))*24
),
(
(MAX(0,TIME(17,30,0)-MAX(MOD(AT120,1),TIME(8,30,0)))*24)
+
(MAX(0,MIN(MOD(AV120,1),TIME(17,30,0))-TIME(8,30,0))*24)
+
(MAX(0,NETWORKDAYS(AS120+1,AU120-1))*9)
)
),
2)</f>
        <v>16.42</v>
      </c>
      <c r="AZ120" s="0" t="n">
        <f aca="false" t="array" ref="AZ120:AZ120">_xlfn.XLOOKUP(J120,{"Low","Medium","High"},{270,72,24})</f>
        <v>270</v>
      </c>
      <c r="BA120" s="0" t="str">
        <f aca="false">IF(AW120&gt;AZ120,"Not Met","Met")</f>
        <v>Met</v>
      </c>
      <c r="BB120" s="21" t="str">
        <f aca="false">IF(AS120="","",TEXT(AS120,"MMM")&amp;"'"&amp;TEXT(AS120,"yy"))</f>
        <v>Jan'26</v>
      </c>
      <c r="BC120" s="0" t="str">
        <f aca="false">IF(AU120="","",TEXT(AU120,"MMM")&amp;"'"&amp;TEXT(AU120,"yy"))</f>
        <v>Jan'26</v>
      </c>
    </row>
    <row r="121" customFormat="false" ht="15" hidden="false" customHeight="false" outlineLevel="0" collapsed="false">
      <c r="A121" s="1" t="s">
        <v>500</v>
      </c>
      <c r="B121" s="11" t="n">
        <v>46046</v>
      </c>
      <c r="C121" s="12" t="n">
        <v>0.119444444444444</v>
      </c>
      <c r="D121" s="13" t="str">
        <f aca="false">IF(B121="","",TEXT(B121,"MMM")&amp;"'"&amp;TEXT(B121,"yy"))</f>
        <v>Jan'26</v>
      </c>
      <c r="E121" s="27" t="s">
        <v>55</v>
      </c>
      <c r="F121" s="1" t="s">
        <v>39</v>
      </c>
      <c r="G121" s="1" t="str">
        <f aca="false">IF(F121="Closed","Closed","Pending")</f>
        <v>Closed</v>
      </c>
      <c r="H121" s="26" t="s">
        <v>72</v>
      </c>
      <c r="I121" s="26" t="s">
        <v>501</v>
      </c>
      <c r="J121" s="40" t="s">
        <v>74</v>
      </c>
      <c r="K121" s="35" t="s">
        <v>59</v>
      </c>
      <c r="L121" s="26" t="s">
        <v>502</v>
      </c>
      <c r="M121" s="26" t="s">
        <v>503</v>
      </c>
      <c r="N121" s="1" t="s">
        <v>65</v>
      </c>
      <c r="O121" s="1" t="s">
        <v>106</v>
      </c>
      <c r="Q121" s="1" t="s">
        <v>504</v>
      </c>
      <c r="R121" s="1" t="s">
        <v>426</v>
      </c>
      <c r="U121" s="12" t="n">
        <v>0.136111111111111</v>
      </c>
      <c r="V121" s="11" t="n">
        <v>46049</v>
      </c>
      <c r="W121" s="12" t="n">
        <v>0.9625</v>
      </c>
      <c r="X121" s="11" t="n">
        <v>46049</v>
      </c>
      <c r="Y121" s="12" t="n">
        <v>0.979861111111111</v>
      </c>
      <c r="Z121" s="1" t="s">
        <v>67</v>
      </c>
      <c r="AA121" s="1" t="s">
        <v>68</v>
      </c>
      <c r="AB121" s="2" t="e">
        <f aca="false">U121-G121</f>
        <v>#VALUE!</v>
      </c>
      <c r="AC121" s="14" t="n">
        <f aca="false">(V121+W121)-(B121+C121)</f>
        <v>3.84305555555556</v>
      </c>
      <c r="AD121" s="4" t="str">
        <f aca="false">INT((V121+W121)-(B121+C121)) &amp; ":" &amp;
TEXT(HOUR((V121+W121)-(B121+C121)), "00") &amp; ":" &amp;
TEXT(MINUTE((V121+W121)-(B121+C121)), "00")</f>
        <v>3:20:14</v>
      </c>
      <c r="AE121" s="1" t="n">
        <f aca="false">IFERROR(
LEFT(AD121,FIND(":",AD121)-1)
+ MID(AD121,FIND(":",AD121)+1,2)/24
+ RIGHT(AD121,2)/1440,
"")</f>
        <v>3.84305555555556</v>
      </c>
      <c r="AF121" s="4" t="str">
        <f aca="false">INT((X121+Y121)-(B121+C121)) &amp; ":" &amp;
TEXT(HOUR((X121+Y121)-(B121+C121)), "00") &amp; ":" &amp;
TEXT(MINUTE((X121+Y121)-(B121+C121)), "00")</f>
        <v>3:20:39</v>
      </c>
      <c r="AG121" s="4" t="str">
        <f aca="false" t="array" ref="AG121:AG121">INT(_xlfn.XLOOKUP(J121,{"Low","Medium","High","Urgent"},{48,24,12,8})/24) &amp; ":" &amp;
TEXT(MOD(_xlfn.XLOOKUP(J121,{"Low","Medium","High","Urgent"},{48,24,12,8}),24)/24,"hh:mm")</f>
        <v>2:00:00</v>
      </c>
      <c r="AH121" s="4" t="str">
        <f aca="false">IF(AD121&gt;AG121,"Not Met","Met")</f>
        <v>Not Met</v>
      </c>
      <c r="AI121" s="4" t="e">
        <f aca="false">IF(AB121&lt;TIME(0,30,0),"Met","Not Met")</f>
        <v>#VALUE!</v>
      </c>
      <c r="AN121" s="1" t="str">
        <f aca="false">TEXT(B121,"dd")</f>
        <v>24</v>
      </c>
      <c r="AO121" s="1" t="str">
        <f aca="false">TEXT(X121,"dd")</f>
        <v>27</v>
      </c>
      <c r="AP121" s="16" t="str">
        <f aca="false">INT(
  NETWORKDAYS(B121,V121)-1
  + IF(WEEKDAY(V121,2)&lt;6,MOD(V121+W121,1),0)
  - IF(WEEKDAY(B121,2)&lt;6,MOD(B121+C121,1),0)
)
&amp; ":" &amp;
TEXT(HOUR(
  NETWORKDAYS(B121,V121)-1
  + IF(WEEKDAY(V121,2)&lt;6,MOD(V121+W121,1),0)
  - IF(WEEKDAY(B121,2)&lt;6,MOD(B121+C121,1),0)
),"00")
&amp; ":" &amp;
TEXT(MINUTE(
  NETWORKDAYS(B121,V121)-1
  + IF(WEEKDAY(V121,2)&lt;6,MOD(V121+W121,1),0)
  - IF(WEEKDAY(B121,2)&lt;6,MOD(B121+C121,1),0)
),"00")</f>
        <v>1:23:06</v>
      </c>
      <c r="AQ121" s="0" t="n">
        <f aca="false">IFERROR(
LEFT(AP121,FIND(":",AP121)-1)
+ MID(AP121,FIND(":",AP121)+1,2)/24
+ RIGHT(AP121,2)/1440,
"")</f>
        <v>1.9625</v>
      </c>
      <c r="AR121" s="0" t="n">
        <f aca="false">WEEKNUM(B121,1)</f>
        <v>4</v>
      </c>
      <c r="AS121" s="17" t="n">
        <f aca="false">IF(B121&gt;0, (B121+C121)-TIME(13,30,0), "")</f>
        <v>46045.5569444444</v>
      </c>
      <c r="AT121" s="18" t="n">
        <f aca="false">IF(B121&gt;0, (B121+C121)-TIME(13,30,0), "")</f>
        <v>46045.5569444444</v>
      </c>
      <c r="AU121" s="17" t="n">
        <f aca="false">IF(V121&gt;0, (V121+W121)-TIME(13,30,0), "")</f>
        <v>46049.4</v>
      </c>
      <c r="AV121" s="18" t="n">
        <f aca="false">IF(V121&gt;0, (V121+W121)-TIME(13,30,0), "")</f>
        <v>46049.4</v>
      </c>
      <c r="AW121" s="19" t="n">
        <f aca="false">24*(
MAX(0,
IF(NETWORKDAYS(AS121,AU121)=1,
MIN(MOD(AV121,1),TIME(17,30,0)) - MAX(MOD(AT121,1),TIME(8,30,0)),
(TIME(17,30,0)-MAX(MOD(AT121,1),TIME(8,30,0)))
+ (MIN(MOD(AV121,1),TIME(17,30,0))-TIME(8,30,0))
+ (NETWORKDAYS(AS121,AU121)-2)*9/24
)
)
)</f>
        <v>14.2333333334186</v>
      </c>
      <c r="AX121" s="19" t="n">
        <f aca="false">24*(
MAX(0,
IF(NETWORKDAYS(AS121,AU121)=1,
MIN(MOD(AV121,1),TIME(17,30,0)) - MAX(MOD(AT121,1),TIME(8,30,0)),
(TIME(17,30,0)-MAX(MOD(AT121,1),TIME(8,30,0)))
+ (MIN(MOD(AV121,1),TIME(17,30,0))-TIME(8,30,0))
+ (NETWORKDAYS(AS121,AU121)-2)* (TIME(17,30,0)-TIME(8,30,0))
)
)
)</f>
        <v>14.2333333334186</v>
      </c>
      <c r="AY121" s="20" t="n">
        <f aca="false">ROUND(
IF(AS121=AU121,
MAX(0,
(MIN(MOD(AV121,1),TIME(17,30,0))-
MAX(MOD(AT121,1),TIME(8,30,0)))*24
),
(
(MAX(0,TIME(17,30,0)-MAX(MOD(AT121,1),TIME(8,30,0)))*24)
+
(MAX(0,MIN(MOD(AV121,1),TIME(17,30,0))-TIME(8,30,0))*24)
+
(MAX(0,NETWORKDAYS(AS121+1,AU121-1))*9)
)
),
2)</f>
        <v>14.23</v>
      </c>
      <c r="AZ121" s="0" t="n">
        <f aca="false" t="array" ref="AZ121:AZ121">_xlfn.XLOOKUP(J121,{"Low","Medium","High"},{270,72,24})</f>
        <v>270</v>
      </c>
      <c r="BA121" s="0" t="str">
        <f aca="false">IF(AW121&gt;AZ121,"Not Met","Met")</f>
        <v>Met</v>
      </c>
      <c r="BB121" s="21" t="str">
        <f aca="false">IF(AS121="","",TEXT(AS121,"MMM")&amp;"'"&amp;TEXT(AS121,"yy"))</f>
        <v>Jan'26</v>
      </c>
      <c r="BC121" s="0" t="str">
        <f aca="false">IF(AU121="","",TEXT(AU121,"MMM")&amp;"'"&amp;TEXT(AU121,"yy"))</f>
        <v>Jan'26</v>
      </c>
    </row>
    <row r="122" customFormat="false" ht="15" hidden="false" customHeight="false" outlineLevel="0" collapsed="false">
      <c r="A122" s="1" t="s">
        <v>505</v>
      </c>
      <c r="B122" s="24" t="n">
        <v>46050</v>
      </c>
      <c r="C122" s="12" t="n">
        <v>0.869444444444445</v>
      </c>
      <c r="D122" s="13" t="str">
        <f aca="false">IF(B122="","",TEXT(B122,"MMM")&amp;"'"&amp;TEXT(B122,"yy"))</f>
        <v>Jan'26</v>
      </c>
      <c r="E122" s="27" t="s">
        <v>55</v>
      </c>
      <c r="F122" s="29" t="s">
        <v>39</v>
      </c>
      <c r="G122" s="38" t="str">
        <f aca="false">IF(F122="Closed","Closed","Pending")</f>
        <v>Closed</v>
      </c>
      <c r="H122" s="23" t="s">
        <v>72</v>
      </c>
      <c r="I122" s="1" t="s">
        <v>506</v>
      </c>
      <c r="J122" s="1" t="s">
        <v>93</v>
      </c>
      <c r="K122" s="51" t="s">
        <v>59</v>
      </c>
      <c r="L122" s="1" t="s">
        <v>507</v>
      </c>
      <c r="M122" s="1" t="s">
        <v>508</v>
      </c>
      <c r="N122" s="35" t="s">
        <v>62</v>
      </c>
      <c r="O122" s="1" t="s">
        <v>63</v>
      </c>
      <c r="Q122" s="1" t="s">
        <v>509</v>
      </c>
      <c r="R122" s="1" t="s">
        <v>66</v>
      </c>
      <c r="U122" s="12" t="n">
        <v>0.879166666666667</v>
      </c>
      <c r="V122" s="11" t="n">
        <v>46050</v>
      </c>
      <c r="W122" s="12" t="n">
        <v>0.947916666666667</v>
      </c>
      <c r="X122" s="11" t="n">
        <v>46050</v>
      </c>
      <c r="Y122" s="12" t="n">
        <v>0.98125</v>
      </c>
      <c r="Z122" s="1" t="s">
        <v>67</v>
      </c>
      <c r="AA122" s="1" t="s">
        <v>68</v>
      </c>
      <c r="AB122" s="2" t="e">
        <f aca="false">U122-G122</f>
        <v>#VALUE!</v>
      </c>
      <c r="AC122" s="14" t="n">
        <f aca="false">(V122+W122)-(B122+C122)</f>
        <v>0.0784722222222222</v>
      </c>
      <c r="AD122" s="4" t="str">
        <f aca="false">INT((V122+W122)-(B122+C122)) &amp; ":" &amp;
TEXT(HOUR((V122+W122)-(B122+C122)), "00") &amp; ":" &amp;
TEXT(MINUTE((V122+W122)-(B122+C122)), "00")</f>
        <v>0:01:53</v>
      </c>
      <c r="AE122" s="1" t="n">
        <f aca="false">IFERROR(
LEFT(AD122,FIND(":",AD122)-1)
+ MID(AD122,FIND(":",AD122)+1,2)/24
+ RIGHT(AD122,2)/1440,
"")</f>
        <v>0.0784722222222222</v>
      </c>
      <c r="AF122" s="4" t="str">
        <f aca="false">INT((X122+Y122)-(B122+C122)) &amp; ":" &amp;
TEXT(HOUR((X122+Y122)-(B122+C122)), "00") &amp; ":" &amp;
TEXT(MINUTE((X122+Y122)-(B122+C122)), "00")</f>
        <v>0:02:41</v>
      </c>
      <c r="AG122" s="4" t="str">
        <f aca="false" t="array" ref="AG122:AG122">INT(_xlfn.XLOOKUP(J122,{"Low","Medium","High","Urgent"},{48,24,12,8})/24) &amp; ":" &amp;
TEXT(MOD(_xlfn.XLOOKUP(J122,{"Low","Medium","High","Urgent"},{48,24,12,8}),24)/24,"hh:mm")</f>
        <v>0:12:00</v>
      </c>
      <c r="AH122" s="4" t="str">
        <f aca="false">IF(AD122&gt;AG122,"Not Met","Met")</f>
        <v>Met</v>
      </c>
      <c r="AI122" s="4" t="e">
        <f aca="false">IF(AB122&lt;TIME(0,30,0),"Met","Not Met")</f>
        <v>#VALUE!</v>
      </c>
      <c r="AN122" s="1" t="str">
        <f aca="false">TEXT(B122,"dd")</f>
        <v>28</v>
      </c>
      <c r="AO122" s="1" t="str">
        <f aca="false">TEXT(X122,"dd")</f>
        <v>28</v>
      </c>
      <c r="AP122" s="16" t="str">
        <f aca="false">INT(
  NETWORKDAYS(B122,V122)-1
  + IF(WEEKDAY(V122,2)&lt;6,MOD(V122+W122,1),0)
  - IF(WEEKDAY(B122,2)&lt;6,MOD(B122+C122,1),0)
)
&amp; ":" &amp;
TEXT(HOUR(
  NETWORKDAYS(B122,V122)-1
  + IF(WEEKDAY(V122,2)&lt;6,MOD(V122+W122,1),0)
  - IF(WEEKDAY(B122,2)&lt;6,MOD(B122+C122,1),0)
),"00")
&amp; ":" &amp;
TEXT(MINUTE(
  NETWORKDAYS(B122,V122)-1
  + IF(WEEKDAY(V122,2)&lt;6,MOD(V122+W122,1),0)
  - IF(WEEKDAY(B122,2)&lt;6,MOD(B122+C122,1),0)
),"00")</f>
        <v>0:01:53</v>
      </c>
      <c r="AQ122" s="0" t="n">
        <f aca="false">IFERROR(
LEFT(AP122,FIND(":",AP122)-1)
+ MID(AP122,FIND(":",AP122)+1,2)/24
+ RIGHT(AP122,2)/1440,
"")</f>
        <v>0.0784722222222222</v>
      </c>
      <c r="AR122" s="0" t="n">
        <f aca="false">WEEKNUM(B122,1)</f>
        <v>5</v>
      </c>
      <c r="AS122" s="17" t="n">
        <f aca="false">IF(B122&gt;0, (B122+C122)-TIME(13,30,0), "")</f>
        <v>46050.3069444444</v>
      </c>
      <c r="AT122" s="18" t="n">
        <f aca="false">IF(B122&gt;0, (B122+C122)-TIME(13,30,0), "")</f>
        <v>46050.3069444444</v>
      </c>
      <c r="AU122" s="17" t="n">
        <f aca="false">IF(V122&gt;0, (V122+W122)-TIME(13,30,0), "")</f>
        <v>46050.3854166667</v>
      </c>
      <c r="AV122" s="18" t="n">
        <f aca="false">IF(V122&gt;0, (V122+W122)-TIME(13,30,0), "")</f>
        <v>46050.3854166667</v>
      </c>
      <c r="AW122" s="19" t="n">
        <f aca="false">24*(
MAX(0,
IF(NETWORKDAYS(AS122,AU122)=1,
MIN(MOD(AV122,1),TIME(17,30,0)) - MAX(MOD(AT122,1),TIME(8,30,0)),
(TIME(17,30,0)-MAX(MOD(AT122,1),TIME(8,30,0)))
+ (MIN(MOD(AV122,1),TIME(17,30,0))-TIME(8,30,0))
+ (NETWORKDAYS(AS122,AU122)-2)*9/24
)
)
)</f>
        <v>0.749999999941792</v>
      </c>
      <c r="AX122" s="19" t="n">
        <f aca="false">24*(
MAX(0,
IF(NETWORKDAYS(AS122,AU122)=1,
MIN(MOD(AV122,1),TIME(17,30,0)) - MAX(MOD(AT122,1),TIME(8,30,0)),
(TIME(17,30,0)-MAX(MOD(AT122,1),TIME(8,30,0)))
+ (MIN(MOD(AV122,1),TIME(17,30,0))-TIME(8,30,0))
+ (NETWORKDAYS(AS122,AU122)-2)* (TIME(17,30,0)-TIME(8,30,0))
)
)
)</f>
        <v>0.749999999941792</v>
      </c>
      <c r="AY122" s="20" t="n">
        <f aca="false">ROUND(
IF(AS122=AU122,
MAX(0,
(MIN(MOD(AV122,1),TIME(17,30,0))-
MAX(MOD(AT122,1),TIME(8,30,0)))*24
),
(
(MAX(0,TIME(17,30,0)-MAX(MOD(AT122,1),TIME(8,30,0)))*24)
+
(MAX(0,MIN(MOD(AV122,1),TIME(17,30,0))-TIME(8,30,0))*24)
+
(MAX(0,NETWORKDAYS(AS122+1,AU122-1))*9)
)
),
2)</f>
        <v>9.75</v>
      </c>
      <c r="AZ122" s="0" t="n">
        <f aca="false" t="array" ref="AZ122:AZ122">_xlfn.XLOOKUP(J122,{"Low","Medium","High"},{270,72,24})</f>
        <v>24</v>
      </c>
      <c r="BA122" s="0" t="str">
        <f aca="false">IF(AW122&gt;AZ122,"Not Met","Met")</f>
        <v>Met</v>
      </c>
      <c r="BB122" s="21" t="str">
        <f aca="false">IF(AS122="","",TEXT(AS122,"MMM")&amp;"'"&amp;TEXT(AS122,"yy"))</f>
        <v>Jan'26</v>
      </c>
      <c r="BC122" s="0" t="str">
        <f aca="false">IF(AU122="","",TEXT(AU122,"MMM")&amp;"'"&amp;TEXT(AU122,"yy"))</f>
        <v>Jan'26</v>
      </c>
    </row>
    <row r="123" customFormat="false" ht="15" hidden="false" customHeight="false" outlineLevel="0" collapsed="false">
      <c r="A123" s="1" t="s">
        <v>510</v>
      </c>
      <c r="B123" s="24" t="n">
        <v>46050</v>
      </c>
      <c r="C123" s="12" t="n">
        <v>0.911805555555556</v>
      </c>
      <c r="D123" s="13" t="str">
        <f aca="false">IF(B123="","",TEXT(B123,"MMM")&amp;"'"&amp;TEXT(B123,"yy"))</f>
        <v>Jan'26</v>
      </c>
      <c r="E123" s="27" t="s">
        <v>55</v>
      </c>
      <c r="F123" s="1" t="s">
        <v>39</v>
      </c>
      <c r="G123" s="1" t="str">
        <f aca="false">IF(F123="Closed","Closed","Pending")</f>
        <v>Closed</v>
      </c>
      <c r="H123" s="23" t="s">
        <v>157</v>
      </c>
      <c r="I123" s="1" t="s">
        <v>414</v>
      </c>
      <c r="J123" s="1" t="s">
        <v>93</v>
      </c>
      <c r="K123" s="51" t="s">
        <v>59</v>
      </c>
      <c r="L123" s="1" t="s">
        <v>511</v>
      </c>
      <c r="M123" s="1" t="s">
        <v>508</v>
      </c>
      <c r="N123" s="35" t="s">
        <v>62</v>
      </c>
      <c r="O123" s="1" t="s">
        <v>63</v>
      </c>
      <c r="Q123" s="1" t="s">
        <v>509</v>
      </c>
      <c r="R123" s="1" t="s">
        <v>66</v>
      </c>
      <c r="U123" s="12" t="n">
        <v>0.935416666666667</v>
      </c>
      <c r="V123" s="11" t="n">
        <v>46050</v>
      </c>
      <c r="W123" s="12" t="n">
        <v>0.949305555555556</v>
      </c>
      <c r="X123" s="11" t="n">
        <v>46050</v>
      </c>
      <c r="Y123" s="12" t="n">
        <v>0.958333333333333</v>
      </c>
      <c r="Z123" s="1" t="s">
        <v>108</v>
      </c>
      <c r="AA123" s="1" t="s">
        <v>68</v>
      </c>
      <c r="AB123" s="2" t="e">
        <f aca="false">U123-G123</f>
        <v>#VALUE!</v>
      </c>
      <c r="AC123" s="14" t="n">
        <f aca="false">(V123+W123)-(B123+C123)</f>
        <v>0.0375</v>
      </c>
      <c r="AD123" s="4" t="str">
        <f aca="false">INT((V123+W123)-(B123+C123)) &amp; ":" &amp;
TEXT(HOUR((V123+W123)-(B123+C123)), "00") &amp; ":" &amp;
TEXT(MINUTE((V123+W123)-(B123+C123)), "00")</f>
        <v>0:00:54</v>
      </c>
      <c r="AE123" s="1" t="n">
        <f aca="false">IFERROR(
LEFT(AD123,FIND(":",AD123)-1)
+ MID(AD123,FIND(":",AD123)+1,2)/24
+ RIGHT(AD123,2)/1440,
"")</f>
        <v>0.0375</v>
      </c>
      <c r="AF123" s="4" t="str">
        <f aca="false">INT((X123+Y123)-(B123+C123)) &amp; ":" &amp;
TEXT(HOUR((X123+Y123)-(B123+C123)), "00") &amp; ":" &amp;
TEXT(MINUTE((X123+Y123)-(B123+C123)), "00")</f>
        <v>0:01:07</v>
      </c>
      <c r="AG123" s="4" t="str">
        <f aca="false" t="array" ref="AG123:AG123">INT(_xlfn.XLOOKUP(J123,{"Low","Medium","High","Urgent"},{48,24,12,8})/24) &amp; ":" &amp;
TEXT(MOD(_xlfn.XLOOKUP(J123,{"Low","Medium","High","Urgent"},{48,24,12,8}),24)/24,"hh:mm")</f>
        <v>0:12:00</v>
      </c>
      <c r="AH123" s="4" t="str">
        <f aca="false">IF(AD123&gt;AG123,"Not Met","Met")</f>
        <v>Met</v>
      </c>
      <c r="AI123" s="4" t="e">
        <f aca="false">IF(AB123&lt;TIME(0,30,0),"Met","Not Met")</f>
        <v>#VALUE!</v>
      </c>
      <c r="AN123" s="1" t="str">
        <f aca="false">TEXT(B123,"dd")</f>
        <v>28</v>
      </c>
      <c r="AO123" s="1" t="str">
        <f aca="false">TEXT(X123,"dd")</f>
        <v>28</v>
      </c>
      <c r="AP123" s="16" t="str">
        <f aca="false">INT(
  NETWORKDAYS(B123,V123)-1
  + IF(WEEKDAY(V123,2)&lt;6,MOD(V123+W123,1),0)
  - IF(WEEKDAY(B123,2)&lt;6,MOD(B123+C123,1),0)
)
&amp; ":" &amp;
TEXT(HOUR(
  NETWORKDAYS(B123,V123)-1
  + IF(WEEKDAY(V123,2)&lt;6,MOD(V123+W123,1),0)
  - IF(WEEKDAY(B123,2)&lt;6,MOD(B123+C123,1),0)
),"00")
&amp; ":" &amp;
TEXT(MINUTE(
  NETWORKDAYS(B123,V123)-1
  + IF(WEEKDAY(V123,2)&lt;6,MOD(V123+W123,1),0)
  - IF(WEEKDAY(B123,2)&lt;6,MOD(B123+C123,1),0)
),"00")</f>
        <v>0:00:53</v>
      </c>
      <c r="AQ123" s="0" t="n">
        <f aca="false">IFERROR(
LEFT(AP123,FIND(":",AP123)-1)
+ MID(AP123,FIND(":",AP123)+1,2)/24
+ RIGHT(AP123,2)/1440,
"")</f>
        <v>0.0368055555555556</v>
      </c>
      <c r="AR123" s="0" t="n">
        <f aca="false">WEEKNUM(B123,1)</f>
        <v>5</v>
      </c>
      <c r="AS123" s="17" t="n">
        <f aca="false">IF(B123&gt;0, (B123+C123)-TIME(13,30,0), "")</f>
        <v>46050.3493055556</v>
      </c>
      <c r="AT123" s="18" t="n">
        <f aca="false">IF(B123&gt;0, (B123+C123)-TIME(13,30,0), "")</f>
        <v>46050.3493055556</v>
      </c>
      <c r="AU123" s="17" t="n">
        <f aca="false">IF(V123&gt;0, (V123+W123)-TIME(13,30,0), "")</f>
        <v>46050.3868055556</v>
      </c>
      <c r="AV123" s="18" t="n">
        <f aca="false">IF(V123&gt;0, (V123+W123)-TIME(13,30,0), "")</f>
        <v>46050.3868055556</v>
      </c>
      <c r="AW123" s="19" t="n">
        <f aca="false">24*(
MAX(0,
IF(NETWORKDAYS(AS123,AU123)=1,
MIN(MOD(AV123,1),TIME(17,30,0)) - MAX(MOD(AT123,1),TIME(8,30,0)),
(TIME(17,30,0)-MAX(MOD(AT123,1),TIME(8,30,0)))
+ (MIN(MOD(AV123,1),TIME(17,30,0))-TIME(8,30,0))
+ (NETWORKDAYS(AS123,AU123)-2)*9/24
)
)
)</f>
        <v>0.78333333338378</v>
      </c>
      <c r="AX123" s="19" t="n">
        <f aca="false">24*(
MAX(0,
IF(NETWORKDAYS(AS123,AU123)=1,
MIN(MOD(AV123,1),TIME(17,30,0)) - MAX(MOD(AT123,1),TIME(8,30,0)),
(TIME(17,30,0)-MAX(MOD(AT123,1),TIME(8,30,0)))
+ (MIN(MOD(AV123,1),TIME(17,30,0))-TIME(8,30,0))
+ (NETWORKDAYS(AS123,AU123)-2)* (TIME(17,30,0)-TIME(8,30,0))
)
)
)</f>
        <v>0.78333333338378</v>
      </c>
      <c r="AY123" s="20" t="n">
        <f aca="false">ROUND(
IF(AS123=AU123,
MAX(0,
(MIN(MOD(AV123,1),TIME(17,30,0))-
MAX(MOD(AT123,1),TIME(8,30,0)))*24
),
(
(MAX(0,TIME(17,30,0)-MAX(MOD(AT123,1),TIME(8,30,0)))*24)
+
(MAX(0,MIN(MOD(AV123,1),TIME(17,30,0))-TIME(8,30,0))*24)
+
(MAX(0,NETWORKDAYS(AS123+1,AU123-1))*9)
)
),
2)</f>
        <v>9.78</v>
      </c>
      <c r="AZ123" s="0" t="n">
        <f aca="false" t="array" ref="AZ123:AZ123">_xlfn.XLOOKUP(J123,{"Low","Medium","High"},{270,72,24})</f>
        <v>24</v>
      </c>
      <c r="BA123" s="0" t="str">
        <f aca="false">IF(AW123&gt;AZ123,"Not Met","Met")</f>
        <v>Met</v>
      </c>
      <c r="BB123" s="21" t="str">
        <f aca="false">IF(AS123="","",TEXT(AS123,"MMM")&amp;"'"&amp;TEXT(AS123,"yy"))</f>
        <v>Jan'26</v>
      </c>
      <c r="BC123" s="0" t="str">
        <f aca="false">IF(AU123="","",TEXT(AU123,"MMM")&amp;"'"&amp;TEXT(AU123,"yy"))</f>
        <v>Jan'26</v>
      </c>
    </row>
    <row r="124" customFormat="false" ht="15" hidden="false" customHeight="false" outlineLevel="0" collapsed="false">
      <c r="A124" s="1" t="s">
        <v>512</v>
      </c>
      <c r="B124" s="24" t="n">
        <v>46051</v>
      </c>
      <c r="C124" s="12" t="n">
        <v>0.140972222222222</v>
      </c>
      <c r="D124" s="13" t="str">
        <f aca="false">IF(B124="","",TEXT(B124,"MMM")&amp;"'"&amp;TEXT(B124,"yy"))</f>
        <v>Jan'26</v>
      </c>
      <c r="E124" s="27" t="s">
        <v>55</v>
      </c>
      <c r="F124" s="1" t="s">
        <v>39</v>
      </c>
      <c r="G124" s="1" t="str">
        <f aca="false">IF(F124="Closed","Closed","Pending")</f>
        <v>Closed</v>
      </c>
      <c r="H124" s="23" t="s">
        <v>72</v>
      </c>
      <c r="I124" s="1" t="s">
        <v>194</v>
      </c>
      <c r="J124" s="1" t="s">
        <v>74</v>
      </c>
      <c r="K124" s="35" t="s">
        <v>59</v>
      </c>
      <c r="L124" s="29" t="s">
        <v>513</v>
      </c>
      <c r="M124" s="29" t="s">
        <v>514</v>
      </c>
      <c r="N124" s="1" t="s">
        <v>62</v>
      </c>
      <c r="O124" s="1" t="s">
        <v>106</v>
      </c>
      <c r="Q124" s="1" t="s">
        <v>229</v>
      </c>
      <c r="R124" s="1" t="s">
        <v>490</v>
      </c>
      <c r="S124" s="1" t="s">
        <v>515</v>
      </c>
      <c r="U124" s="12" t="n">
        <v>0.14375</v>
      </c>
      <c r="V124" s="11" t="n">
        <v>46070</v>
      </c>
      <c r="W124" s="12" t="n">
        <v>0.965277777777778</v>
      </c>
      <c r="X124" s="11" t="n">
        <v>46079</v>
      </c>
      <c r="Y124" s="12" t="n">
        <v>0.0305555555555556</v>
      </c>
      <c r="Z124" s="1" t="s">
        <v>67</v>
      </c>
      <c r="AA124" s="1" t="s">
        <v>89</v>
      </c>
      <c r="AB124" s="2" t="e">
        <f aca="false">U124-G124</f>
        <v>#VALUE!</v>
      </c>
      <c r="AC124" s="14" t="n">
        <f aca="false">(V124+W124)-(B124+C124)</f>
        <v>19.8243055555556</v>
      </c>
      <c r="AD124" s="4" t="str">
        <f aca="false">INT((V124+W124)-(B124+C124)) &amp; ":" &amp;
TEXT(HOUR((V124+W124)-(B124+C124)), "00") &amp; ":" &amp;
TEXT(MINUTE((V124+W124)-(B124+C124)), "00")</f>
        <v>19:19:47</v>
      </c>
      <c r="AE124" s="1" t="n">
        <f aca="false">IFERROR(
LEFT(AD124,FIND(":",AD124)-1)
+ MID(AD124,FIND(":",AD124)+1,2)/24
+ RIGHT(AD124,2)/1440,
"")</f>
        <v>19.8243055555556</v>
      </c>
      <c r="AF124" s="4" t="str">
        <f aca="false">INT((X124+Y124)-(B124+C124)) &amp; ":" &amp;
TEXT(HOUR((X124+Y124)-(B124+C124)), "00") &amp; ":" &amp;
TEXT(MINUTE((X124+Y124)-(B124+C124)), "00")</f>
        <v>27:21:21</v>
      </c>
      <c r="AG124" s="4" t="str">
        <f aca="false" t="array" ref="AG124:AG124">INT(_xlfn.XLOOKUP(J124,{"Low","Medium","High","Urgent"},{48,24,12,8})/24) &amp; ":" &amp;
TEXT(MOD(_xlfn.XLOOKUP(J124,{"Low","Medium","High","Urgent"},{48,24,12,8}),24)/24,"hh:mm")</f>
        <v>2:00:00</v>
      </c>
      <c r="AH124" s="4" t="str">
        <f aca="false">IF(AD124&gt;AG124,"Not Met","Met")</f>
        <v>Met</v>
      </c>
      <c r="AI124" s="4" t="e">
        <f aca="false">IF(AB124&lt;TIME(0,30,0),"Met","Not Met")</f>
        <v>#VALUE!</v>
      </c>
      <c r="AN124" s="1" t="str">
        <f aca="false">TEXT(B124,"dd")</f>
        <v>29</v>
      </c>
      <c r="AO124" s="1" t="str">
        <f aca="false">TEXT(X124,"dd")</f>
        <v>26</v>
      </c>
      <c r="AP124" s="16" t="str">
        <f aca="false">INT(
  NETWORKDAYS(B124,V124)-1
  + IF(WEEKDAY(V124,2)&lt;6,MOD(V124+W124,1),0)
  - IF(WEEKDAY(B124,2)&lt;6,MOD(B124+C124,1),0)
)
&amp; ":" &amp;
TEXT(HOUR(
  NETWORKDAYS(B124,V124)-1
  + IF(WEEKDAY(V124,2)&lt;6,MOD(V124+W124,1),0)
  - IF(WEEKDAY(B124,2)&lt;6,MOD(B124+C124,1),0)
),"00")
&amp; ":" &amp;
TEXT(MINUTE(
  NETWORKDAYS(B124,V124)-1
  + IF(WEEKDAY(V124,2)&lt;6,MOD(V124+W124,1),0)
  - IF(WEEKDAY(B124,2)&lt;6,MOD(B124+C124,1),0)
),"00")</f>
        <v>13:19:47</v>
      </c>
      <c r="AQ124" s="0" t="n">
        <f aca="false">IFERROR(
LEFT(AP124,FIND(":",AP124)-1)
+ MID(AP124,FIND(":",AP124)+1,2)/24
+ RIGHT(AP124,2)/1440,
"")</f>
        <v>13.8243055555556</v>
      </c>
      <c r="AR124" s="0" t="n">
        <f aca="false">WEEKNUM(B124,1)</f>
        <v>5</v>
      </c>
      <c r="AS124" s="17" t="n">
        <f aca="false">IF(B124&gt;0, (B124+C124)-TIME(13,30,0), "")</f>
        <v>46050.5784722222</v>
      </c>
      <c r="AT124" s="18" t="n">
        <f aca="false">IF(B124&gt;0, (B124+C124)-TIME(13,30,0), "")</f>
        <v>46050.5784722222</v>
      </c>
      <c r="AU124" s="17" t="n">
        <f aca="false">IF(V124&gt;0, (V124+W124)-TIME(13,30,0), "")</f>
        <v>46070.4027777778</v>
      </c>
      <c r="AV124" s="18" t="n">
        <f aca="false">IF(V124&gt;0, (V124+W124)-TIME(13,30,0), "")</f>
        <v>46070.4027777778</v>
      </c>
      <c r="AW124" s="19" t="n">
        <f aca="false">24*(
MAX(0,
IF(NETWORKDAYS(AS124,AU124)=1,
MIN(MOD(AV124,1),TIME(17,30,0)) - MAX(MOD(AT124,1),TIME(8,30,0)),
(TIME(17,30,0)-MAX(MOD(AT124,1),TIME(8,30,0)))
+ (MIN(MOD(AV124,1),TIME(17,30,0))-TIME(8,30,0))
+ (NETWORKDAYS(AS124,AU124)-2)*9/24
)
)
)</f>
        <v>121.783333333333</v>
      </c>
      <c r="AX124" s="19" t="n">
        <f aca="false">24*(
MAX(0,
IF(NETWORKDAYS(AS124,AU124)=1,
MIN(MOD(AV124,1),TIME(17,30,0)) - MAX(MOD(AT124,1),TIME(8,30,0)),
(TIME(17,30,0)-MAX(MOD(AT124,1),TIME(8,30,0)))
+ (MIN(MOD(AV124,1),TIME(17,30,0))-TIME(8,30,0))
+ (NETWORKDAYS(AS124,AU124)-2)* (TIME(17,30,0)-TIME(8,30,0))
)
)
)</f>
        <v>121.783333333333</v>
      </c>
      <c r="AY124" s="20" t="n">
        <f aca="false">ROUND(
IF(AS124=AU124,
MAX(0,
(MIN(MOD(AV124,1),TIME(17,30,0))-
MAX(MOD(AT124,1),TIME(8,30,0)))*24
),
(
(MAX(0,TIME(17,30,0)-MAX(MOD(AT124,1),TIME(8,30,0)))*24)
+
(MAX(0,MIN(MOD(AV124,1),TIME(17,30,0))-TIME(8,30,0))*24)
+
(MAX(0,NETWORKDAYS(AS124+1,AU124-1))*9)
)
),
2)</f>
        <v>121.78</v>
      </c>
      <c r="AZ124" s="0" t="n">
        <f aca="false" t="array" ref="AZ124:AZ124">_xlfn.XLOOKUP(J124,{"Low","Medium","High"},{270,72,24})</f>
        <v>270</v>
      </c>
      <c r="BA124" s="0" t="str">
        <f aca="false">IF(AW124&gt;AZ124,"Not Met","Met")</f>
        <v>Met</v>
      </c>
      <c r="BB124" s="21" t="str">
        <f aca="false">IF(AS124="","",TEXT(AS124,"MMM")&amp;"'"&amp;TEXT(AS124,"yy"))</f>
        <v>Jan'26</v>
      </c>
      <c r="BC124" s="0" t="str">
        <f aca="false">IF(AU124="","",TEXT(AU124,"MMM")&amp;"'"&amp;TEXT(AU124,"yy"))</f>
        <v>Feb'26</v>
      </c>
    </row>
    <row r="125" customFormat="false" ht="15" hidden="false" customHeight="false" outlineLevel="0" collapsed="false">
      <c r="A125" s="1" t="s">
        <v>516</v>
      </c>
      <c r="B125" s="24" t="n">
        <v>46051</v>
      </c>
      <c r="C125" s="12" t="n">
        <v>0.163194444444444</v>
      </c>
      <c r="D125" s="13" t="str">
        <f aca="false">IF(B125="","",TEXT(B125,"MMM")&amp;"'"&amp;TEXT(B125,"yy"))</f>
        <v>Jan'26</v>
      </c>
      <c r="E125" s="27" t="s">
        <v>55</v>
      </c>
      <c r="F125" s="1" t="s">
        <v>39</v>
      </c>
      <c r="G125" s="1" t="str">
        <f aca="false">IF(F125="Closed","Closed","Pending")</f>
        <v>Closed</v>
      </c>
      <c r="H125" s="34" t="s">
        <v>157</v>
      </c>
      <c r="I125" s="26" t="s">
        <v>517</v>
      </c>
      <c r="J125" s="26" t="s">
        <v>74</v>
      </c>
      <c r="K125" s="35" t="s">
        <v>59</v>
      </c>
      <c r="L125" s="1" t="s">
        <v>518</v>
      </c>
      <c r="M125" s="1" t="s">
        <v>361</v>
      </c>
      <c r="N125" s="1" t="s">
        <v>65</v>
      </c>
      <c r="O125" s="1" t="s">
        <v>106</v>
      </c>
      <c r="Q125" s="1" t="s">
        <v>65</v>
      </c>
      <c r="R125" s="1" t="s">
        <v>66</v>
      </c>
      <c r="U125" s="12" t="n">
        <v>0.194444444444444</v>
      </c>
      <c r="V125" s="11" t="n">
        <v>46051</v>
      </c>
      <c r="W125" s="12" t="n">
        <v>0.936805555555556</v>
      </c>
      <c r="X125" s="11" t="n">
        <v>46051</v>
      </c>
      <c r="Y125" s="12" t="n">
        <v>0.971527777777778</v>
      </c>
      <c r="Z125" s="1" t="s">
        <v>67</v>
      </c>
      <c r="AA125" s="1" t="s">
        <v>68</v>
      </c>
      <c r="AB125" s="2" t="e">
        <f aca="false">U125-G125</f>
        <v>#VALUE!</v>
      </c>
      <c r="AC125" s="14" t="n">
        <f aca="false">(V125+W125)-(B125+C125)</f>
        <v>0.773611111111111</v>
      </c>
      <c r="AD125" s="4" t="str">
        <f aca="false">INT((V125+W125)-(B125+C125)) &amp; ":" &amp;
TEXT(HOUR((V125+W125)-(B125+C125)), "00") &amp; ":" &amp;
TEXT(MINUTE((V125+W125)-(B125+C125)), "00")</f>
        <v>0:18:34</v>
      </c>
      <c r="AE125" s="1" t="n">
        <f aca="false">IFERROR(
LEFT(AD125,FIND(":",AD125)-1)
+ MID(AD125,FIND(":",AD125)+1,2)/24
+ RIGHT(AD125,2)/1440,
"")</f>
        <v>0.773611111111111</v>
      </c>
      <c r="AF125" s="4" t="str">
        <f aca="false">INT((X125+Y125)-(B125+C125)) &amp; ":" &amp;
TEXT(HOUR((X125+Y125)-(B125+C125)), "00") &amp; ":" &amp;
TEXT(MINUTE((X125+Y125)-(B125+C125)), "00")</f>
        <v>0:19:24</v>
      </c>
      <c r="AG125" s="4" t="str">
        <f aca="false" t="array" ref="AG125:AG125">INT(_xlfn.XLOOKUP(J125,{"Low","Medium","High","Urgent"},{48,24,12,8})/24) &amp; ":" &amp;
TEXT(MOD(_xlfn.XLOOKUP(J125,{"Low","Medium","High","Urgent"},{48,24,12,8}),24)/24,"hh:mm")</f>
        <v>2:00:00</v>
      </c>
      <c r="AH125" s="4" t="str">
        <f aca="false">IF(AD125&gt;AG125,"Not Met","Met")</f>
        <v>Met</v>
      </c>
      <c r="AI125" s="4" t="e">
        <f aca="false">IF(AB125&lt;TIME(0,30,0),"Met","Not Met")</f>
        <v>#VALUE!</v>
      </c>
      <c r="AN125" s="1" t="str">
        <f aca="false">TEXT(B125,"dd")</f>
        <v>29</v>
      </c>
      <c r="AO125" s="1" t="str">
        <f aca="false">TEXT(X125,"dd")</f>
        <v>29</v>
      </c>
      <c r="AP125" s="16" t="str">
        <f aca="false">INT(
  NETWORKDAYS(B125,V125)-1
  + IF(WEEKDAY(V125,2)&lt;6,MOD(V125+W125,1),0)
  - IF(WEEKDAY(B125,2)&lt;6,MOD(B125+C125,1),0)
)
&amp; ":" &amp;
TEXT(HOUR(
  NETWORKDAYS(B125,V125)-1
  + IF(WEEKDAY(V125,2)&lt;6,MOD(V125+W125,1),0)
  - IF(WEEKDAY(B125,2)&lt;6,MOD(B125+C125,1),0)
),"00")
&amp; ":" &amp;
TEXT(MINUTE(
  NETWORKDAYS(B125,V125)-1
  + IF(WEEKDAY(V125,2)&lt;6,MOD(V125+W125,1),0)
  - IF(WEEKDAY(B125,2)&lt;6,MOD(B125+C125,1),0)
),"00")</f>
        <v>0:18:33</v>
      </c>
      <c r="AQ125" s="0" t="n">
        <f aca="false">IFERROR(
LEFT(AP125,FIND(":",AP125)-1)
+ MID(AP125,FIND(":",AP125)+1,2)/24
+ RIGHT(AP125,2)/1440,
"")</f>
        <v>0.772916666666667</v>
      </c>
      <c r="AR125" s="0" t="n">
        <f aca="false">WEEKNUM(B125,1)</f>
        <v>5</v>
      </c>
      <c r="AS125" s="17" t="n">
        <f aca="false">IF(B125&gt;0, (B125+C125)-TIME(13,30,0), "")</f>
        <v>46050.6006944444</v>
      </c>
      <c r="AT125" s="18" t="n">
        <f aca="false">IF(B125&gt;0, (B125+C125)-TIME(13,30,0), "")</f>
        <v>46050.6006944444</v>
      </c>
      <c r="AU125" s="17" t="n">
        <f aca="false">IF(V125&gt;0, (V125+W125)-TIME(13,30,0), "")</f>
        <v>46051.3743055556</v>
      </c>
      <c r="AV125" s="18" t="n">
        <f aca="false">IF(V125&gt;0, (V125+W125)-TIME(13,30,0), "")</f>
        <v>46051.3743055556</v>
      </c>
      <c r="AW125" s="19" t="n">
        <f aca="false">24*(
MAX(0,
IF(NETWORKDAYS(AS125,AU125)=1,
MIN(MOD(AV125,1),TIME(17,30,0)) - MAX(MOD(AT125,1),TIME(8,30,0)),
(TIME(17,30,0)-MAX(MOD(AT125,1),TIME(8,30,0)))
+ (MIN(MOD(AV125,1),TIME(17,30,0))-TIME(8,30,0))
+ (NETWORKDAYS(AS125,AU125)-2)*9/24
)
)
)</f>
        <v>3.56666666666667</v>
      </c>
      <c r="AX125" s="19" t="n">
        <f aca="false">24*(
MAX(0,
IF(NETWORKDAYS(AS125,AU125)=1,
MIN(MOD(AV125,1),TIME(17,30,0)) - MAX(MOD(AT125,1),TIME(8,30,0)),
(TIME(17,30,0)-MAX(MOD(AT125,1),TIME(8,30,0)))
+ (MIN(MOD(AV125,1),TIME(17,30,0))-TIME(8,30,0))
+ (NETWORKDAYS(AS125,AU125)-2)* (TIME(17,30,0)-TIME(8,30,0))
)
)
)</f>
        <v>3.56666666666667</v>
      </c>
      <c r="AY125" s="20" t="n">
        <f aca="false">ROUND(
IF(AS125=AU125,
MAX(0,
(MIN(MOD(AV125,1),TIME(17,30,0))-
MAX(MOD(AT125,1),TIME(8,30,0)))*24
),
(
(MAX(0,TIME(17,30,0)-MAX(MOD(AT125,1),TIME(8,30,0)))*24)
+
(MAX(0,MIN(MOD(AV125,1),TIME(17,30,0))-TIME(8,30,0))*24)
+
(MAX(0,NETWORKDAYS(AS125+1,AU125-1))*9)
)
),
2)</f>
        <v>3.57</v>
      </c>
      <c r="AZ125" s="0" t="n">
        <f aca="false" t="array" ref="AZ125:AZ125">_xlfn.XLOOKUP(J125,{"Low","Medium","High"},{270,72,24})</f>
        <v>270</v>
      </c>
      <c r="BA125" s="0" t="str">
        <f aca="false">IF(AW125&gt;AZ125,"Not Met","Met")</f>
        <v>Met</v>
      </c>
      <c r="BB125" s="21" t="str">
        <f aca="false">IF(AS125="","",TEXT(AS125,"MMM")&amp;"'"&amp;TEXT(AS125,"yy"))</f>
        <v>Jan'26</v>
      </c>
      <c r="BC125" s="0" t="str">
        <f aca="false">IF(AU125="","",TEXT(AU125,"MMM")&amp;"'"&amp;TEXT(AU125,"yy"))</f>
        <v>Jan'26</v>
      </c>
    </row>
    <row r="126" customFormat="false" ht="15" hidden="false" customHeight="false" outlineLevel="0" collapsed="false">
      <c r="A126" s="1" t="s">
        <v>519</v>
      </c>
      <c r="B126" s="11" t="n">
        <v>46051</v>
      </c>
      <c r="C126" s="12" t="n">
        <v>0.826388888888889</v>
      </c>
      <c r="D126" s="13" t="str">
        <f aca="false">IF(B126="","",TEXT(B126,"MMM")&amp;"'"&amp;TEXT(B126,"yy"))</f>
        <v>Jan'26</v>
      </c>
      <c r="E126" s="27" t="s">
        <v>55</v>
      </c>
      <c r="F126" s="1" t="s">
        <v>39</v>
      </c>
      <c r="G126" s="1" t="str">
        <f aca="false">IF(F126="Closed","Closed","Pending")</f>
        <v>Closed</v>
      </c>
      <c r="H126" s="1" t="s">
        <v>520</v>
      </c>
      <c r="I126" s="1" t="s">
        <v>126</v>
      </c>
      <c r="J126" s="26" t="s">
        <v>74</v>
      </c>
      <c r="K126" s="35" t="s">
        <v>59</v>
      </c>
      <c r="L126" s="1" t="s">
        <v>521</v>
      </c>
      <c r="M126" s="1" t="s">
        <v>522</v>
      </c>
      <c r="N126" s="1" t="s">
        <v>65</v>
      </c>
      <c r="O126" s="1" t="s">
        <v>106</v>
      </c>
      <c r="Q126" s="1" t="s">
        <v>65</v>
      </c>
      <c r="R126" s="1" t="s">
        <v>87</v>
      </c>
      <c r="U126" s="12" t="n">
        <v>0.931944444444445</v>
      </c>
      <c r="V126" s="11" t="n">
        <v>46055</v>
      </c>
      <c r="W126" s="12" t="n">
        <v>0.934027777777778</v>
      </c>
      <c r="X126" s="11" t="n">
        <v>46055</v>
      </c>
      <c r="Y126" s="12" t="n">
        <v>0.948611111111111</v>
      </c>
      <c r="Z126" s="1" t="s">
        <v>67</v>
      </c>
      <c r="AA126" s="1" t="s">
        <v>68</v>
      </c>
      <c r="AB126" s="2" t="e">
        <f aca="false">U126-G126</f>
        <v>#VALUE!</v>
      </c>
      <c r="AC126" s="14" t="n">
        <f aca="false">(V126+W126)-(B126+C126)</f>
        <v>4.10763888888889</v>
      </c>
      <c r="AD126" s="4" t="str">
        <f aca="false">INT((V126+W126)-(B126+C126)) &amp; ":" &amp;
TEXT(HOUR((V126+W126)-(B126+C126)), "00") &amp; ":" &amp;
TEXT(MINUTE((V126+W126)-(B126+C126)), "00")</f>
        <v>4:02:35</v>
      </c>
      <c r="AE126" s="1" t="n">
        <f aca="false">IFERROR(
LEFT(AD126,FIND(":",AD126)-1)
+ MID(AD126,FIND(":",AD126)+1,2)/24
+ RIGHT(AD126,2)/1440,
"")</f>
        <v>4.10763888888889</v>
      </c>
      <c r="AF126" s="4" t="str">
        <f aca="false">INT((X126+Y126)-(B126+C126)) &amp; ":" &amp;
TEXT(HOUR((X126+Y126)-(B126+C126)), "00") &amp; ":" &amp;
TEXT(MINUTE((X126+Y126)-(B126+C126)), "00")</f>
        <v>4:02:56</v>
      </c>
      <c r="AG126" s="4" t="str">
        <f aca="false" t="array" ref="AG126:AG126">INT(_xlfn.XLOOKUP(J126,{"Low","Medium","High","Urgent"},{48,24,12,8})/24) &amp; ":" &amp;
TEXT(MOD(_xlfn.XLOOKUP(J126,{"Low","Medium","High","Urgent"},{48,24,12,8}),24)/24,"hh:mm")</f>
        <v>2:00:00</v>
      </c>
      <c r="AH126" s="4" t="str">
        <f aca="false">IF(AD126&gt;AG126,"Not Met","Met")</f>
        <v>Not Met</v>
      </c>
      <c r="AI126" s="4" t="e">
        <f aca="false">IF(AB126&lt;TIME(0,30,0),"Met","Not Met")</f>
        <v>#VALUE!</v>
      </c>
      <c r="AN126" s="1" t="str">
        <f aca="false">TEXT(B126,"dd")</f>
        <v>29</v>
      </c>
      <c r="AO126" s="1" t="str">
        <f aca="false">TEXT(X126,"dd")</f>
        <v>02</v>
      </c>
      <c r="AP126" s="16" t="str">
        <f aca="false">INT(
  NETWORKDAYS(B126,V126)-1
  + IF(WEEKDAY(V126,2)&lt;6,MOD(V126+W126,1),0)
  - IF(WEEKDAY(B126,2)&lt;6,MOD(B126+C126,1),0)
)
&amp; ":" &amp;
TEXT(HOUR(
  NETWORKDAYS(B126,V126)-1
  + IF(WEEKDAY(V126,2)&lt;6,MOD(V126+W126,1),0)
  - IF(WEEKDAY(B126,2)&lt;6,MOD(B126+C126,1),0)
),"00")
&amp; ":" &amp;
TEXT(MINUTE(
  NETWORKDAYS(B126,V126)-1
  + IF(WEEKDAY(V126,2)&lt;6,MOD(V126+W126,1),0)
  - IF(WEEKDAY(B126,2)&lt;6,MOD(B126+C126,1),0)
),"00")</f>
        <v>2:02:35</v>
      </c>
      <c r="AQ126" s="0" t="n">
        <f aca="false">IFERROR(
LEFT(AP126,FIND(":",AP126)-1)
+ MID(AP126,FIND(":",AP126)+1,2)/24
+ RIGHT(AP126,2)/1440,
"")</f>
        <v>2.10763888888889</v>
      </c>
      <c r="AR126" s="0" t="n">
        <f aca="false">WEEKNUM(B126,1)</f>
        <v>5</v>
      </c>
      <c r="AS126" s="17" t="n">
        <f aca="false">IF(B126&gt;0, (B126+C126)-TIME(13,30,0), "")</f>
        <v>46051.2638888889</v>
      </c>
      <c r="AT126" s="18" t="n">
        <f aca="false">IF(B126&gt;0, (B126+C126)-TIME(13,30,0), "")</f>
        <v>46051.2638888889</v>
      </c>
      <c r="AU126" s="17" t="n">
        <f aca="false">IF(V126&gt;0, (V126+W126)-TIME(13,30,0), "")</f>
        <v>46055.3715277778</v>
      </c>
      <c r="AV126" s="18" t="n">
        <f aca="false">IF(V126&gt;0, (V126+W126)-TIME(13,30,0), "")</f>
        <v>46055.3715277778</v>
      </c>
      <c r="AW126" s="19" t="n">
        <f aca="false">24*(
MAX(0,
IF(NETWORKDAYS(AS126,AU126)=1,
MIN(MOD(AV126,1),TIME(17,30,0)) - MAX(MOD(AT126,1),TIME(8,30,0)),
(TIME(17,30,0)-MAX(MOD(AT126,1),TIME(8,30,0)))
+ (MIN(MOD(AV126,1),TIME(17,30,0))-TIME(8,30,0))
+ (NETWORKDAYS(AS126,AU126)-2)*9/24
)
)
)</f>
        <v>18.4166666666667</v>
      </c>
      <c r="AX126" s="19" t="n">
        <f aca="false">24*(
MAX(0,
IF(NETWORKDAYS(AS126,AU126)=1,
MIN(MOD(AV126,1),TIME(17,30,0)) - MAX(MOD(AT126,1),TIME(8,30,0)),
(TIME(17,30,0)-MAX(MOD(AT126,1),TIME(8,30,0)))
+ (MIN(MOD(AV126,1),TIME(17,30,0))-TIME(8,30,0))
+ (NETWORKDAYS(AS126,AU126)-2)* (TIME(17,30,0)-TIME(8,30,0))
)
)
)</f>
        <v>18.4166666666667</v>
      </c>
      <c r="AY126" s="20" t="n">
        <f aca="false">ROUND(
IF(AS126=AU126,
MAX(0,
(MIN(MOD(AV126,1),TIME(17,30,0))-
MAX(MOD(AT126,1),TIME(8,30,0)))*24
),
(
(MAX(0,TIME(17,30,0)-MAX(MOD(AT126,1),TIME(8,30,0)))*24)
+
(MAX(0,MIN(MOD(AV126,1),TIME(17,30,0))-TIME(8,30,0))*24)
+
(MAX(0,NETWORKDAYS(AS126+1,AU126-1))*9)
)
),
2)</f>
        <v>18.42</v>
      </c>
      <c r="AZ126" s="0" t="n">
        <f aca="false" t="array" ref="AZ126:AZ126">_xlfn.XLOOKUP(J126,{"Low","Medium","High"},{270,72,24})</f>
        <v>270</v>
      </c>
      <c r="BA126" s="0" t="str">
        <f aca="false">IF(AW126&gt;AZ126,"Not Met","Met")</f>
        <v>Met</v>
      </c>
      <c r="BB126" s="21" t="str">
        <f aca="false">IF(AS126="","",TEXT(AS126,"MMM")&amp;"'"&amp;TEXT(AS126,"yy"))</f>
        <v>Jan'26</v>
      </c>
      <c r="BC126" s="0" t="str">
        <f aca="false">IF(AU126="","",TEXT(AU126,"MMM")&amp;"'"&amp;TEXT(AU126,"yy"))</f>
        <v>Feb'26</v>
      </c>
    </row>
    <row r="127" customFormat="false" ht="15" hidden="false" customHeight="false" outlineLevel="0" collapsed="false">
      <c r="A127" s="1" t="s">
        <v>523</v>
      </c>
      <c r="B127" s="11" t="n">
        <v>46051</v>
      </c>
      <c r="C127" s="12" t="n">
        <v>0.930555555555556</v>
      </c>
      <c r="D127" s="13" t="str">
        <f aca="false">IF(B127="","",TEXT(B127,"MMM")&amp;"'"&amp;TEXT(B127,"yy"))</f>
        <v>Jan'26</v>
      </c>
      <c r="E127" s="27" t="s">
        <v>55</v>
      </c>
      <c r="F127" s="1" t="s">
        <v>39</v>
      </c>
      <c r="G127" s="1" t="str">
        <f aca="false">IF(F127="Closed","Closed","Pending")</f>
        <v>Closed</v>
      </c>
      <c r="H127" s="1" t="s">
        <v>56</v>
      </c>
      <c r="I127" s="1" t="s">
        <v>82</v>
      </c>
      <c r="J127" s="26" t="s">
        <v>74</v>
      </c>
      <c r="K127" s="35" t="s">
        <v>59</v>
      </c>
      <c r="L127" s="1" t="s">
        <v>524</v>
      </c>
      <c r="M127" s="1" t="s">
        <v>525</v>
      </c>
      <c r="N127" s="1" t="s">
        <v>65</v>
      </c>
      <c r="O127" s="1" t="s">
        <v>106</v>
      </c>
      <c r="Q127" s="1" t="s">
        <v>65</v>
      </c>
      <c r="R127" s="1" t="s">
        <v>87</v>
      </c>
      <c r="U127" s="12" t="n">
        <v>0.931944444444445</v>
      </c>
      <c r="V127" s="11" t="n">
        <v>46052</v>
      </c>
      <c r="W127" s="12" t="n">
        <v>0.99375</v>
      </c>
      <c r="X127" s="11" t="n">
        <v>46053</v>
      </c>
      <c r="Y127" s="12" t="n">
        <v>0.01875</v>
      </c>
      <c r="Z127" s="1" t="s">
        <v>67</v>
      </c>
      <c r="AA127" s="1" t="s">
        <v>68</v>
      </c>
      <c r="AB127" s="2" t="e">
        <f aca="false">U127-G127</f>
        <v>#VALUE!</v>
      </c>
      <c r="AC127" s="14" t="n">
        <f aca="false">(V127+W127)-(B127+C127)</f>
        <v>1.06319444444444</v>
      </c>
      <c r="AD127" s="4" t="str">
        <f aca="false">INT((V127+W127)-(B127+C127)) &amp; ":" &amp;
TEXT(HOUR((V127+W127)-(B127+C127)), "00") &amp; ":" &amp;
TEXT(MINUTE((V127+W127)-(B127+C127)), "00")</f>
        <v>1:01:31</v>
      </c>
      <c r="AE127" s="1" t="n">
        <f aca="false">IFERROR(
LEFT(AD127,FIND(":",AD127)-1)
+ MID(AD127,FIND(":",AD127)+1,2)/24
+ RIGHT(AD127,2)/1440,
"")</f>
        <v>1.06319444444444</v>
      </c>
      <c r="AF127" s="4" t="str">
        <f aca="false">INT((X127+Y127)-(B127+C127)) &amp; ":" &amp;
TEXT(HOUR((X127+Y127)-(B127+C127)), "00") &amp; ":" &amp;
TEXT(MINUTE((X127+Y127)-(B127+C127)), "00")</f>
        <v>1:02:07</v>
      </c>
      <c r="AG127" s="4" t="str">
        <f aca="false" t="array" ref="AG127:AG127">INT(_xlfn.XLOOKUP(J127,{"Low","Medium","High","Urgent"},{48,24,12,8})/24) &amp; ":" &amp;
TEXT(MOD(_xlfn.XLOOKUP(J127,{"Low","Medium","High","Urgent"},{48,24,12,8}),24)/24,"hh:mm")</f>
        <v>2:00:00</v>
      </c>
      <c r="AH127" s="4" t="str">
        <f aca="false">IF(AD127&gt;AG127,"Not Met","Met")</f>
        <v>Met</v>
      </c>
      <c r="AI127" s="4" t="e">
        <f aca="false">IF(AB127&lt;TIME(0,30,0),"Met","Not Met")</f>
        <v>#VALUE!</v>
      </c>
      <c r="AN127" s="1" t="str">
        <f aca="false">TEXT(B127,"dd")</f>
        <v>29</v>
      </c>
      <c r="AO127" s="1" t="str">
        <f aca="false">TEXT(X127,"dd")</f>
        <v>31</v>
      </c>
      <c r="AP127" s="16" t="str">
        <f aca="false">INT(
  NETWORKDAYS(B127,V127)-1
  + IF(WEEKDAY(V127,2)&lt;6,MOD(V127+W127,1),0)
  - IF(WEEKDAY(B127,2)&lt;6,MOD(B127+C127,1),0)
)
&amp; ":" &amp;
TEXT(HOUR(
  NETWORKDAYS(B127,V127)-1
  + IF(WEEKDAY(V127,2)&lt;6,MOD(V127+W127,1),0)
  - IF(WEEKDAY(B127,2)&lt;6,MOD(B127+C127,1),0)
),"00")
&amp; ":" &amp;
TEXT(MINUTE(
  NETWORKDAYS(B127,V127)-1
  + IF(WEEKDAY(V127,2)&lt;6,MOD(V127+W127,1),0)
  - IF(WEEKDAY(B127,2)&lt;6,MOD(B127+C127,1),0)
),"00")</f>
        <v>1:01:31</v>
      </c>
      <c r="AQ127" s="0" t="n">
        <f aca="false">IFERROR(
LEFT(AP127,FIND(":",AP127)-1)
+ MID(AP127,FIND(":",AP127)+1,2)/24
+ RIGHT(AP127,2)/1440,
"")</f>
        <v>1.06319444444444</v>
      </c>
      <c r="AR127" s="0" t="n">
        <f aca="false">WEEKNUM(B127,1)</f>
        <v>5</v>
      </c>
      <c r="AS127" s="17" t="n">
        <f aca="false">IF(B127&gt;0, (B127+C127)-TIME(13,30,0), "")</f>
        <v>46051.3680555556</v>
      </c>
      <c r="AT127" s="18" t="n">
        <f aca="false">IF(B127&gt;0, (B127+C127)-TIME(13,30,0), "")</f>
        <v>46051.3680555556</v>
      </c>
      <c r="AU127" s="17" t="n">
        <f aca="false">IF(V127&gt;0, (V127+W127)-TIME(13,30,0), "")</f>
        <v>46052.43125</v>
      </c>
      <c r="AV127" s="18" t="n">
        <f aca="false">IF(V127&gt;0, (V127+W127)-TIME(13,30,0), "")</f>
        <v>46052.43125</v>
      </c>
      <c r="AW127" s="19" t="n">
        <f aca="false">24*(
MAX(0,
IF(NETWORKDAYS(AS127,AU127)=1,
MIN(MOD(AV127,1),TIME(17,30,0)) - MAX(MOD(AT127,1),TIME(8,30,0)),
(TIME(17,30,0)-MAX(MOD(AT127,1),TIME(8,30,0)))
+ (MIN(MOD(AV127,1),TIME(17,30,0))-TIME(8,30,0))
+ (NETWORKDAYS(AS127,AU127)-2)*9/24
)
)
)</f>
        <v>10.5166666666667</v>
      </c>
      <c r="AX127" s="19" t="n">
        <f aca="false">24*(
MAX(0,
IF(NETWORKDAYS(AS127,AU127)=1,
MIN(MOD(AV127,1),TIME(17,30,0)) - MAX(MOD(AT127,1),TIME(8,30,0)),
(TIME(17,30,0)-MAX(MOD(AT127,1),TIME(8,30,0)))
+ (MIN(MOD(AV127,1),TIME(17,30,0))-TIME(8,30,0))
+ (NETWORKDAYS(AS127,AU127)-2)* (TIME(17,30,0)-TIME(8,30,0))
)
)
)</f>
        <v>10.5166666666667</v>
      </c>
      <c r="AY127" s="20" t="n">
        <f aca="false">ROUND(
IF(AS127=AU127,
MAX(0,
(MIN(MOD(AV127,1),TIME(17,30,0))-
MAX(MOD(AT127,1),TIME(8,30,0)))*24
),
(
(MAX(0,TIME(17,30,0)-MAX(MOD(AT127,1),TIME(8,30,0)))*24)
+
(MAX(0,MIN(MOD(AV127,1),TIME(17,30,0))-TIME(8,30,0))*24)
+
(MAX(0,NETWORKDAYS(AS127+1,AU127-1))*9)
)
),
2)</f>
        <v>10.52</v>
      </c>
      <c r="AZ127" s="0" t="n">
        <f aca="false" t="array" ref="AZ127:AZ127">_xlfn.XLOOKUP(J127,{"Low","Medium","High"},{270,72,24})</f>
        <v>270</v>
      </c>
      <c r="BA127" s="0" t="str">
        <f aca="false">IF(AW127&gt;AZ127,"Not Met","Met")</f>
        <v>Met</v>
      </c>
      <c r="BB127" s="21" t="str">
        <f aca="false">IF(AS127="","",TEXT(AS127,"MMM")&amp;"'"&amp;TEXT(AS127,"yy"))</f>
        <v>Jan'26</v>
      </c>
      <c r="BC127" s="0" t="str">
        <f aca="false">IF(AU127="","",TEXT(AU127,"MMM")&amp;"'"&amp;TEXT(AU127,"yy"))</f>
        <v>Jan'26</v>
      </c>
    </row>
    <row r="128" customFormat="false" ht="15" hidden="false" customHeight="false" outlineLevel="0" collapsed="false">
      <c r="A128" s="52" t="s">
        <v>526</v>
      </c>
      <c r="B128" s="11" t="n">
        <v>46052</v>
      </c>
      <c r="C128" s="12" t="n">
        <v>0.0243055555555556</v>
      </c>
      <c r="D128" s="13" t="str">
        <f aca="false">IF(B128="","",TEXT(B128,"MMM")&amp;"'"&amp;TEXT(B128,"yy"))</f>
        <v>Jan'26</v>
      </c>
      <c r="E128" s="27" t="s">
        <v>55</v>
      </c>
      <c r="F128" s="1" t="s">
        <v>39</v>
      </c>
      <c r="G128" s="1" t="str">
        <f aca="false">IF(F128="Closed","Closed","Pending")</f>
        <v>Closed</v>
      </c>
      <c r="H128" s="1" t="s">
        <v>56</v>
      </c>
      <c r="I128" s="1" t="s">
        <v>82</v>
      </c>
      <c r="J128" s="26" t="s">
        <v>74</v>
      </c>
      <c r="K128" s="35" t="s">
        <v>59</v>
      </c>
      <c r="L128" s="1" t="s">
        <v>527</v>
      </c>
      <c r="M128" s="1" t="s">
        <v>528</v>
      </c>
      <c r="N128" s="1" t="s">
        <v>65</v>
      </c>
      <c r="O128" s="1" t="s">
        <v>106</v>
      </c>
      <c r="Q128" s="1" t="s">
        <v>65</v>
      </c>
      <c r="R128" s="1" t="s">
        <v>230</v>
      </c>
      <c r="U128" s="12" t="n">
        <v>0.0680555555555556</v>
      </c>
      <c r="V128" s="11" t="n">
        <v>46059</v>
      </c>
      <c r="W128" s="12" t="n">
        <v>0.971527777777778</v>
      </c>
      <c r="X128" s="11" t="n">
        <v>46065</v>
      </c>
      <c r="Y128" s="12" t="n">
        <v>0.123611111111111</v>
      </c>
      <c r="Z128" s="1" t="s">
        <v>108</v>
      </c>
      <c r="AA128" s="1" t="s">
        <v>68</v>
      </c>
      <c r="AB128" s="2" t="e">
        <f aca="false">U128-G128</f>
        <v>#VALUE!</v>
      </c>
      <c r="AC128" s="14" t="n">
        <f aca="false">(V128+W128)-(B128+C128)</f>
        <v>7.94722222222222</v>
      </c>
      <c r="AD128" s="4" t="str">
        <f aca="false">INT((V128+W128)-(B128+C128)) &amp; ":" &amp;
TEXT(HOUR((V128+W128)-(B128+C128)), "00") &amp; ":" &amp;
TEXT(MINUTE((V128+W128)-(B128+C128)), "00")</f>
        <v>7:22:44</v>
      </c>
      <c r="AE128" s="1" t="n">
        <f aca="false">IFERROR(
LEFT(AD128,FIND(":",AD128)-1)
+ MID(AD128,FIND(":",AD128)+1,2)/24
+ RIGHT(AD128,2)/1440,
"")</f>
        <v>7.94722222222222</v>
      </c>
      <c r="AF128" s="4" t="str">
        <f aca="false">INT((X128+Y128)-(B128+C128)) &amp; ":" &amp;
TEXT(HOUR((X128+Y128)-(B128+C128)), "00") &amp; ":" &amp;
TEXT(MINUTE((X128+Y128)-(B128+C128)), "00")</f>
        <v>13:02:23</v>
      </c>
      <c r="AG128" s="4" t="str">
        <f aca="false" t="array" ref="AG128:AG128">INT(_xlfn.XLOOKUP(J128,{"Low","Medium","High","Urgent"},{48,24,12,8})/24) &amp; ":" &amp;
TEXT(MOD(_xlfn.XLOOKUP(J128,{"Low","Medium","High","Urgent"},{48,24,12,8}),24)/24,"hh:mm")</f>
        <v>2:00:00</v>
      </c>
      <c r="AH128" s="4" t="str">
        <f aca="false">IF(AD128&gt;AG128,"Not Met","Met")</f>
        <v>Not Met</v>
      </c>
      <c r="AI128" s="4" t="e">
        <f aca="false">IF(AB128&lt;TIME(0,30,0),"Met","Not Met")</f>
        <v>#VALUE!</v>
      </c>
      <c r="AN128" s="1" t="str">
        <f aca="false">TEXT(B128,"dd")</f>
        <v>30</v>
      </c>
      <c r="AO128" s="1" t="str">
        <f aca="false">TEXT(X128,"dd")</f>
        <v>12</v>
      </c>
      <c r="AP128" s="16" t="str">
        <f aca="false">INT(
  NETWORKDAYS(B128,V128)-1
  + IF(WEEKDAY(V128,2)&lt;6,MOD(V128+W128,1),0)
  - IF(WEEKDAY(B128,2)&lt;6,MOD(B128+C128,1),0)
)
&amp; ":" &amp;
TEXT(HOUR(
  NETWORKDAYS(B128,V128)-1
  + IF(WEEKDAY(V128,2)&lt;6,MOD(V128+W128,1),0)
  - IF(WEEKDAY(B128,2)&lt;6,MOD(B128+C128,1),0)
),"00")
&amp; ":" &amp;
TEXT(MINUTE(
  NETWORKDAYS(B128,V128)-1
  + IF(WEEKDAY(V128,2)&lt;6,MOD(V128+W128,1),0)
  - IF(WEEKDAY(B128,2)&lt;6,MOD(B128+C128,1),0)
),"00")</f>
        <v>5:22:44</v>
      </c>
      <c r="AQ128" s="0" t="n">
        <f aca="false">IFERROR(
LEFT(AP128,FIND(":",AP128)-1)
+ MID(AP128,FIND(":",AP128)+1,2)/24
+ RIGHT(AP128,2)/1440,
"")</f>
        <v>5.94722222222222</v>
      </c>
      <c r="AR128" s="0" t="n">
        <f aca="false">WEEKNUM(B128,1)</f>
        <v>5</v>
      </c>
      <c r="AS128" s="17" t="n">
        <f aca="false">IF(B128&gt;0, (B128+C128)-TIME(13,30,0), "")</f>
        <v>46051.4618055556</v>
      </c>
      <c r="AT128" s="18" t="n">
        <f aca="false">IF(B128&gt;0, (B128+C128)-TIME(13,30,0), "")</f>
        <v>46051.4618055556</v>
      </c>
      <c r="AU128" s="17" t="n">
        <f aca="false">IF(V128&gt;0, (V128+W128)-TIME(13,30,0), "")</f>
        <v>46059.4090277778</v>
      </c>
      <c r="AV128" s="18" t="n">
        <f aca="false">IF(V128&gt;0, (V128+W128)-TIME(13,30,0), "")</f>
        <v>46059.4090277778</v>
      </c>
      <c r="AW128" s="19" t="n">
        <f aca="false">24*(
MAX(0,
IF(NETWORKDAYS(AS128,AU128)=1,
MIN(MOD(AV128,1),TIME(17,30,0)) - MAX(MOD(AT128,1),TIME(8,30,0)),
(TIME(17,30,0)-MAX(MOD(AT128,1),TIME(8,30,0)))
+ (MIN(MOD(AV128,1),TIME(17,30,0))-TIME(8,30,0))
+ (NETWORKDAYS(AS128,AU128)-2)*9/24
)
)
)</f>
        <v>52.7333333333333</v>
      </c>
      <c r="AX128" s="19" t="n">
        <f aca="false">24*(
MAX(0,
IF(NETWORKDAYS(AS128,AU128)=1,
MIN(MOD(AV128,1),TIME(17,30,0)) - MAX(MOD(AT128,1),TIME(8,30,0)),
(TIME(17,30,0)-MAX(MOD(AT128,1),TIME(8,30,0)))
+ (MIN(MOD(AV128,1),TIME(17,30,0))-TIME(8,30,0))
+ (NETWORKDAYS(AS128,AU128)-2)* (TIME(17,30,0)-TIME(8,30,0))
)
)
)</f>
        <v>52.7333333333333</v>
      </c>
      <c r="AY128" s="20" t="n">
        <f aca="false">ROUND(
IF(AS128=AU128,
MAX(0,
(MIN(MOD(AV128,1),TIME(17,30,0))-
MAX(MOD(AT128,1),TIME(8,30,0)))*24
),
(
(MAX(0,TIME(17,30,0)-MAX(MOD(AT128,1),TIME(8,30,0)))*24)
+
(MAX(0,MIN(MOD(AV128,1),TIME(17,30,0))-TIME(8,30,0))*24)
+
(MAX(0,NETWORKDAYS(AS128+1,AU128-1))*9)
)
),
2)</f>
        <v>52.73</v>
      </c>
      <c r="AZ128" s="0" t="n">
        <f aca="false" t="array" ref="AZ128:AZ128">_xlfn.XLOOKUP(J128,{"Low","Medium","High"},{270,72,24})</f>
        <v>270</v>
      </c>
      <c r="BA128" s="0" t="str">
        <f aca="false">IF(AW128&gt;AZ128,"Not Met","Met")</f>
        <v>Met</v>
      </c>
      <c r="BB128" s="21" t="str">
        <f aca="false">IF(AS128="","",TEXT(AS128,"MMM")&amp;"'"&amp;TEXT(AS128,"yy"))</f>
        <v>Jan'26</v>
      </c>
      <c r="BC128" s="0" t="str">
        <f aca="false">IF(AU128="","",TEXT(AU128,"MMM")&amp;"'"&amp;TEXT(AU128,"yy"))</f>
        <v>Feb'26</v>
      </c>
    </row>
    <row r="129" customFormat="false" ht="15" hidden="false" customHeight="false" outlineLevel="0" collapsed="false">
      <c r="A129" s="52" t="s">
        <v>529</v>
      </c>
      <c r="B129" s="11" t="n">
        <v>46052</v>
      </c>
      <c r="C129" s="12" t="n">
        <v>0.0277777777777778</v>
      </c>
      <c r="D129" s="13" t="str">
        <f aca="false">IF(B129="","",TEXT(B129,"MMM")&amp;"'"&amp;TEXT(B129,"yy"))</f>
        <v>Jan'26</v>
      </c>
      <c r="E129" s="27" t="s">
        <v>55</v>
      </c>
      <c r="F129" s="1" t="s">
        <v>39</v>
      </c>
      <c r="G129" s="1" t="str">
        <f aca="false">IF(F129="Closed","Closed","Pending")</f>
        <v>Closed</v>
      </c>
      <c r="H129" s="1" t="s">
        <v>263</v>
      </c>
      <c r="I129" s="1" t="s">
        <v>103</v>
      </c>
      <c r="J129" s="26" t="s">
        <v>74</v>
      </c>
      <c r="K129" s="35" t="s">
        <v>59</v>
      </c>
      <c r="L129" s="1" t="s">
        <v>530</v>
      </c>
      <c r="M129" s="1" t="s">
        <v>531</v>
      </c>
      <c r="N129" s="1" t="s">
        <v>62</v>
      </c>
      <c r="O129" s="1" t="s">
        <v>77</v>
      </c>
      <c r="Q129" s="1" t="s">
        <v>86</v>
      </c>
      <c r="R129" s="1" t="s">
        <v>87</v>
      </c>
      <c r="U129" s="12" t="n">
        <v>0.0694444444444445</v>
      </c>
      <c r="V129" s="11" t="n">
        <v>46058</v>
      </c>
      <c r="W129" s="12" t="n">
        <v>0.457638888888889</v>
      </c>
      <c r="X129" s="11" t="n">
        <v>46065</v>
      </c>
      <c r="Y129" s="12" t="n">
        <v>0.431944444444444</v>
      </c>
      <c r="Z129" s="1" t="s">
        <v>67</v>
      </c>
      <c r="AA129" s="1" t="s">
        <v>68</v>
      </c>
      <c r="AB129" s="2" t="e">
        <f aca="false">U129-G129</f>
        <v>#VALUE!</v>
      </c>
      <c r="AC129" s="14" t="n">
        <f aca="false">(V129+W129)-(B129+C129)</f>
        <v>6.42986111111111</v>
      </c>
      <c r="AD129" s="4" t="str">
        <f aca="false">INT((V129+W129)-(B129+C129)) &amp; ":" &amp;
TEXT(HOUR((V129+W129)-(B129+C129)), "00") &amp; ":" &amp;
TEXT(MINUTE((V129+W129)-(B129+C129)), "00")</f>
        <v>6:10:19</v>
      </c>
      <c r="AE129" s="1" t="n">
        <f aca="false">IFERROR(
LEFT(AD129,FIND(":",AD129)-1)
+ MID(AD129,FIND(":",AD129)+1,2)/24
+ RIGHT(AD129,2)/1440,
"")</f>
        <v>6.42986111111111</v>
      </c>
      <c r="AF129" s="4" t="str">
        <f aca="false">INT((X129+Y129)-(B129+C129)) &amp; ":" &amp;
TEXT(HOUR((X129+Y129)-(B129+C129)), "00") &amp; ":" &amp;
TEXT(MINUTE((X129+Y129)-(B129+C129)), "00")</f>
        <v>13:09:42</v>
      </c>
      <c r="AG129" s="4" t="str">
        <f aca="false" t="array" ref="AG129:AG129">INT(_xlfn.XLOOKUP(J129,{"Low","Medium","High","Urgent"},{48,24,12,8})/24) &amp; ":" &amp;
TEXT(MOD(_xlfn.XLOOKUP(J129,{"Low","Medium","High","Urgent"},{48,24,12,8}),24)/24,"hh:mm")</f>
        <v>2:00:00</v>
      </c>
      <c r="AH129" s="4" t="str">
        <f aca="false">IF(AD129&gt;AG129,"Not Met","Met")</f>
        <v>Not Met</v>
      </c>
      <c r="AI129" s="4" t="e">
        <f aca="false">IF(AB129&lt;TIME(0,30,0),"Met","Not Met")</f>
        <v>#VALUE!</v>
      </c>
      <c r="AN129" s="1" t="str">
        <f aca="false">TEXT(B129,"dd")</f>
        <v>30</v>
      </c>
      <c r="AO129" s="1" t="str">
        <f aca="false">TEXT(X129,"dd")</f>
        <v>12</v>
      </c>
      <c r="AP129" s="16" t="str">
        <f aca="false">INT(
  NETWORKDAYS(B129,V129)-1
  + IF(WEEKDAY(V129,2)&lt;6,MOD(V129+W129,1),0)
  - IF(WEEKDAY(B129,2)&lt;6,MOD(B129+C129,1),0)
)
&amp; ":" &amp;
TEXT(HOUR(
  NETWORKDAYS(B129,V129)-1
  + IF(WEEKDAY(V129,2)&lt;6,MOD(V129+W129,1),0)
  - IF(WEEKDAY(B129,2)&lt;6,MOD(B129+C129,1),0)
),"00")
&amp; ":" &amp;
TEXT(MINUTE(
  NETWORKDAYS(B129,V129)-1
  + IF(WEEKDAY(V129,2)&lt;6,MOD(V129+W129,1),0)
  - IF(WEEKDAY(B129,2)&lt;6,MOD(B129+C129,1),0)
),"00")</f>
        <v>4:10:18</v>
      </c>
      <c r="AQ129" s="0" t="n">
        <f aca="false">IFERROR(
LEFT(AP129,FIND(":",AP129)-1)
+ MID(AP129,FIND(":",AP129)+1,2)/24
+ RIGHT(AP129,2)/1440,
"")</f>
        <v>4.42916666666667</v>
      </c>
      <c r="AR129" s="0" t="n">
        <f aca="false">WEEKNUM(B129,1)</f>
        <v>5</v>
      </c>
      <c r="AS129" s="17" t="n">
        <f aca="false">IF(B129&gt;0, (B129+C129)-TIME(13,30,0), "")</f>
        <v>46051.4652777778</v>
      </c>
      <c r="AT129" s="18" t="n">
        <f aca="false">IF(B129&gt;0, (B129+C129)-TIME(13,30,0), "")</f>
        <v>46051.4652777778</v>
      </c>
      <c r="AU129" s="17" t="n">
        <f aca="false">IF(V129&gt;0, (V129+W129)-TIME(13,30,0), "")</f>
        <v>46057.8951388889</v>
      </c>
      <c r="AV129" s="18" t="n">
        <f aca="false">IF(V129&gt;0, (V129+W129)-TIME(13,30,0), "")</f>
        <v>46057.8951388889</v>
      </c>
      <c r="AW129" s="19" t="n">
        <f aca="false">24*(
MAX(0,
IF(NETWORKDAYS(AS129,AU129)=1,
MIN(MOD(AV129,1),TIME(17,30,0)) - MAX(MOD(AT129,1),TIME(8,30,0)),
(TIME(17,30,0)-MAX(MOD(AT129,1),TIME(8,30,0)))
+ (MIN(MOD(AV129,1),TIME(17,30,0))-TIME(8,30,0))
+ (NETWORKDAYS(AS129,AU129)-2)*9/24
)
)
)</f>
        <v>42.3333333333333</v>
      </c>
      <c r="AX129" s="19" t="n">
        <f aca="false">24*(
MAX(0,
IF(NETWORKDAYS(AS129,AU129)=1,
MIN(MOD(AV129,1),TIME(17,30,0)) - MAX(MOD(AT129,1),TIME(8,30,0)),
(TIME(17,30,0)-MAX(MOD(AT129,1),TIME(8,30,0)))
+ (MIN(MOD(AV129,1),TIME(17,30,0))-TIME(8,30,0))
+ (NETWORKDAYS(AS129,AU129)-2)* (TIME(17,30,0)-TIME(8,30,0))
)
)
)</f>
        <v>42.3333333333333</v>
      </c>
      <c r="AY129" s="20" t="n">
        <f aca="false">ROUND(
IF(AS129=AU129,
MAX(0,
(MIN(MOD(AV129,1),TIME(17,30,0))-
MAX(MOD(AT129,1),TIME(8,30,0)))*24
),
(
(MAX(0,TIME(17,30,0)-MAX(MOD(AT129,1),TIME(8,30,0)))*24)
+
(MAX(0,MIN(MOD(AV129,1),TIME(17,30,0))-TIME(8,30,0))*24)
+
(MAX(0,NETWORKDAYS(AS129+1,AU129-1))*9)
)
),
2)</f>
        <v>42.33</v>
      </c>
      <c r="AZ129" s="0" t="n">
        <f aca="false" t="array" ref="AZ129:AZ129">_xlfn.XLOOKUP(J129,{"Low","Medium","High"},{270,72,24})</f>
        <v>270</v>
      </c>
      <c r="BA129" s="0" t="str">
        <f aca="false">IF(AW129&gt;AZ129,"Not Met","Met")</f>
        <v>Met</v>
      </c>
      <c r="BB129" s="21" t="str">
        <f aca="false">IF(AS129="","",TEXT(AS129,"MMM")&amp;"'"&amp;TEXT(AS129,"yy"))</f>
        <v>Jan'26</v>
      </c>
      <c r="BC129" s="0" t="str">
        <f aca="false">IF(AU129="","",TEXT(AU129,"MMM")&amp;"'"&amp;TEXT(AU129,"yy"))</f>
        <v>Feb'26</v>
      </c>
    </row>
    <row r="130" customFormat="false" ht="15" hidden="false" customHeight="false" outlineLevel="0" collapsed="false">
      <c r="A130" s="52" t="s">
        <v>532</v>
      </c>
      <c r="B130" s="11" t="n">
        <v>46052</v>
      </c>
      <c r="C130" s="12" t="n">
        <v>0.0784722222222222</v>
      </c>
      <c r="D130" s="13" t="str">
        <f aca="false">IF(B130="","",TEXT(B130,"MMM")&amp;"'"&amp;TEXT(B130,"yy"))</f>
        <v>Jan'26</v>
      </c>
      <c r="E130" s="27" t="s">
        <v>55</v>
      </c>
      <c r="F130" s="1" t="s">
        <v>39</v>
      </c>
      <c r="G130" s="1" t="str">
        <f aca="false">IF(F130="Closed","Closed","Pending")</f>
        <v>Closed</v>
      </c>
      <c r="H130" s="1" t="s">
        <v>56</v>
      </c>
      <c r="I130" s="1" t="s">
        <v>82</v>
      </c>
      <c r="J130" s="26" t="s">
        <v>74</v>
      </c>
      <c r="K130" s="35" t="s">
        <v>59</v>
      </c>
      <c r="L130" s="1" t="s">
        <v>533</v>
      </c>
      <c r="M130" s="1" t="s">
        <v>534</v>
      </c>
      <c r="N130" s="1" t="s">
        <v>65</v>
      </c>
      <c r="O130" s="1" t="s">
        <v>106</v>
      </c>
      <c r="Q130" s="1" t="s">
        <v>65</v>
      </c>
      <c r="R130" s="1" t="s">
        <v>87</v>
      </c>
      <c r="U130" s="12" t="n">
        <v>0.0819444444444444</v>
      </c>
      <c r="V130" s="11" t="n">
        <v>46056</v>
      </c>
      <c r="W130" s="12" t="n">
        <v>0.965277777777778</v>
      </c>
      <c r="X130" s="11" t="n">
        <v>46057</v>
      </c>
      <c r="Y130" s="12" t="n">
        <v>0.0423611111111111</v>
      </c>
      <c r="Z130" s="1" t="s">
        <v>108</v>
      </c>
      <c r="AA130" s="1" t="s">
        <v>68</v>
      </c>
      <c r="AB130" s="2" t="e">
        <f aca="false">U130-G130</f>
        <v>#VALUE!</v>
      </c>
      <c r="AC130" s="14" t="n">
        <f aca="false">(V130+W130)-(B130+C130)</f>
        <v>4.88680555555556</v>
      </c>
      <c r="AD130" s="4" t="str">
        <f aca="false">INT((V130+W130)-(B130+C130)) &amp; ":" &amp;
TEXT(HOUR((V130+W130)-(B130+C130)), "00") &amp; ":" &amp;
TEXT(MINUTE((V130+W130)-(B130+C130)), "00")</f>
        <v>4:21:17</v>
      </c>
      <c r="AE130" s="1" t="n">
        <f aca="false">IFERROR(
LEFT(AD130,FIND(":",AD130)-1)
+ MID(AD130,FIND(":",AD130)+1,2)/24
+ RIGHT(AD130,2)/1440,
"")</f>
        <v>4.88680555555556</v>
      </c>
      <c r="AF130" s="4" t="str">
        <f aca="false">INT((X130+Y130)-(B130+C130)) &amp; ":" &amp;
TEXT(HOUR((X130+Y130)-(B130+C130)), "00") &amp; ":" &amp;
TEXT(MINUTE((X130+Y130)-(B130+C130)), "00")</f>
        <v>4:23:08</v>
      </c>
      <c r="AG130" s="4" t="str">
        <f aca="false" t="array" ref="AG130:AG130">INT(_xlfn.XLOOKUP(J130,{"Low","Medium","High","Urgent"},{48,24,12,8})/24) &amp; ":" &amp;
TEXT(MOD(_xlfn.XLOOKUP(J130,{"Low","Medium","High","Urgent"},{48,24,12,8}),24)/24,"hh:mm")</f>
        <v>2:00:00</v>
      </c>
      <c r="AH130" s="4" t="str">
        <f aca="false">IF(AD130&gt;AG130,"Not Met","Met")</f>
        <v>Not Met</v>
      </c>
      <c r="AI130" s="4" t="e">
        <f aca="false">IF(AB130&lt;TIME(0,30,0),"Met","Not Met")</f>
        <v>#VALUE!</v>
      </c>
      <c r="AN130" s="1" t="str">
        <f aca="false">TEXT(B130,"dd")</f>
        <v>30</v>
      </c>
      <c r="AO130" s="1" t="str">
        <f aca="false">TEXT(X130,"dd")</f>
        <v>04</v>
      </c>
      <c r="AP130" s="16" t="str">
        <f aca="false">INT(
  NETWORKDAYS(B130,V130)-1
  + IF(WEEKDAY(V130,2)&lt;6,MOD(V130+W130,1),0)
  - IF(WEEKDAY(B130,2)&lt;6,MOD(B130+C130,1),0)
)
&amp; ":" &amp;
TEXT(HOUR(
  NETWORKDAYS(B130,V130)-1
  + IF(WEEKDAY(V130,2)&lt;6,MOD(V130+W130,1),0)
  - IF(WEEKDAY(B130,2)&lt;6,MOD(B130+C130,1),0)
),"00")
&amp; ":" &amp;
TEXT(MINUTE(
  NETWORKDAYS(B130,V130)-1
  + IF(WEEKDAY(V130,2)&lt;6,MOD(V130+W130,1),0)
  - IF(WEEKDAY(B130,2)&lt;6,MOD(B130+C130,1),0)
),"00")</f>
        <v>2:21:17</v>
      </c>
      <c r="AQ130" s="0" t="n">
        <f aca="false">IFERROR(
LEFT(AP130,FIND(":",AP130)-1)
+ MID(AP130,FIND(":",AP130)+1,2)/24
+ RIGHT(AP130,2)/1440,
"")</f>
        <v>2.88680555555556</v>
      </c>
      <c r="AR130" s="0" t="n">
        <f aca="false">WEEKNUM(B130,1)</f>
        <v>5</v>
      </c>
      <c r="AS130" s="17" t="n">
        <f aca="false">IF(B130&gt;0, (B130+C130)-TIME(13,30,0), "")</f>
        <v>46051.5159722222</v>
      </c>
      <c r="AT130" s="18" t="n">
        <f aca="false">IF(B130&gt;0, (B130+C130)-TIME(13,30,0), "")</f>
        <v>46051.5159722222</v>
      </c>
      <c r="AU130" s="17" t="n">
        <f aca="false">IF(V130&gt;0, (V130+W130)-TIME(13,30,0), "")</f>
        <v>46056.4027777778</v>
      </c>
      <c r="AV130" s="18" t="n">
        <f aca="false">IF(V130&gt;0, (V130+W130)-TIME(13,30,0), "")</f>
        <v>46056.4027777778</v>
      </c>
      <c r="AW130" s="19" t="n">
        <f aca="false">24*(
MAX(0,
IF(NETWORKDAYS(AS130,AU130)=1,
MIN(MOD(AV130,1),TIME(17,30,0)) - MAX(MOD(AT130,1),TIME(8,30,0)),
(TIME(17,30,0)-MAX(MOD(AT130,1),TIME(8,30,0)))
+ (MIN(MOD(AV130,1),TIME(17,30,0))-TIME(8,30,0))
+ (NETWORKDAYS(AS130,AU130)-2)*9/24
)
)
)</f>
        <v>24.2833333333333</v>
      </c>
      <c r="AX130" s="19" t="n">
        <f aca="false">24*(
MAX(0,
IF(NETWORKDAYS(AS130,AU130)=1,
MIN(MOD(AV130,1),TIME(17,30,0)) - MAX(MOD(AT130,1),TIME(8,30,0)),
(TIME(17,30,0)-MAX(MOD(AT130,1),TIME(8,30,0)))
+ (MIN(MOD(AV130,1),TIME(17,30,0))-TIME(8,30,0))
+ (NETWORKDAYS(AS130,AU130)-2)* (TIME(17,30,0)-TIME(8,30,0))
)
)
)</f>
        <v>24.2833333333333</v>
      </c>
      <c r="AY130" s="20" t="n">
        <f aca="false">ROUND(
IF(AS130=AU130,
MAX(0,
(MIN(MOD(AV130,1),TIME(17,30,0))-
MAX(MOD(AT130,1),TIME(8,30,0)))*24
),
(
(MAX(0,TIME(17,30,0)-MAX(MOD(AT130,1),TIME(8,30,0)))*24)
+
(MAX(0,MIN(MOD(AV130,1),TIME(17,30,0))-TIME(8,30,0))*24)
+
(MAX(0,NETWORKDAYS(AS130+1,AU130-1))*9)
)
),
2)</f>
        <v>24.28</v>
      </c>
      <c r="AZ130" s="0" t="n">
        <f aca="false" t="array" ref="AZ130:AZ130">_xlfn.XLOOKUP(J130,{"Low","Medium","High"},{270,72,24})</f>
        <v>270</v>
      </c>
      <c r="BA130" s="0" t="str">
        <f aca="false">IF(AW130&gt;AZ130,"Not Met","Met")</f>
        <v>Met</v>
      </c>
      <c r="BB130" s="21" t="str">
        <f aca="false">IF(AS130="","",TEXT(AS130,"MMM")&amp;"'"&amp;TEXT(AS130,"yy"))</f>
        <v>Jan'26</v>
      </c>
      <c r="BC130" s="0" t="str">
        <f aca="false">IF(AU130="","",TEXT(AU130,"MMM")&amp;"'"&amp;TEXT(AU130,"yy"))</f>
        <v>Feb'26</v>
      </c>
    </row>
    <row r="131" customFormat="false" ht="15" hidden="false" customHeight="false" outlineLevel="0" collapsed="false">
      <c r="A131" s="52" t="s">
        <v>535</v>
      </c>
      <c r="B131" s="11" t="n">
        <v>46052</v>
      </c>
      <c r="C131" s="12" t="n">
        <v>0.0993055555555556</v>
      </c>
      <c r="D131" s="13" t="str">
        <f aca="false">IF(B131="","",TEXT(B131,"MMM")&amp;"'"&amp;TEXT(B131,"yy"))</f>
        <v>Jan'26</v>
      </c>
      <c r="E131" s="27" t="s">
        <v>55</v>
      </c>
      <c r="F131" s="1" t="s">
        <v>39</v>
      </c>
      <c r="G131" s="1" t="str">
        <f aca="false">IF(F131="Closed","Closed","Pending")</f>
        <v>Closed</v>
      </c>
      <c r="H131" s="1" t="s">
        <v>72</v>
      </c>
      <c r="I131" s="1" t="s">
        <v>190</v>
      </c>
      <c r="J131" s="26" t="s">
        <v>74</v>
      </c>
      <c r="K131" s="35" t="s">
        <v>59</v>
      </c>
      <c r="L131" s="1" t="s">
        <v>536</v>
      </c>
      <c r="M131" s="1" t="s">
        <v>537</v>
      </c>
      <c r="N131" s="1" t="s">
        <v>65</v>
      </c>
      <c r="O131" s="1" t="s">
        <v>106</v>
      </c>
      <c r="Q131" s="1" t="s">
        <v>86</v>
      </c>
      <c r="R131" s="1" t="s">
        <v>87</v>
      </c>
      <c r="U131" s="12" t="n">
        <v>0.110416666666667</v>
      </c>
      <c r="V131" s="11" t="n">
        <v>46052</v>
      </c>
      <c r="W131" s="12" t="n">
        <v>0.932638888888889</v>
      </c>
      <c r="X131" s="11" t="n">
        <v>46021</v>
      </c>
      <c r="Y131" s="12" t="n">
        <v>0.971527777777778</v>
      </c>
      <c r="Z131" s="1" t="s">
        <v>67</v>
      </c>
      <c r="AA131" s="1" t="s">
        <v>68</v>
      </c>
      <c r="AB131" s="2" t="e">
        <f aca="false">U131-G131</f>
        <v>#VALUE!</v>
      </c>
      <c r="AC131" s="14" t="n">
        <f aca="false">(V131+W131)-(B131+C131)</f>
        <v>0.833333333333333</v>
      </c>
      <c r="AD131" s="4" t="str">
        <f aca="false">INT((V131+W131)-(B131+C131)) &amp; ":" &amp;
TEXT(HOUR((V131+W131)-(B131+C131)), "00") &amp; ":" &amp;
TEXT(MINUTE((V131+W131)-(B131+C131)), "00")</f>
        <v>0:20:00</v>
      </c>
      <c r="AE131" s="1" t="n">
        <f aca="false">IFERROR(
LEFT(AD131,FIND(":",AD131)-1)
+ MID(AD131,FIND(":",AD131)+1,2)/24
+ RIGHT(AD131,2)/1440,
"")</f>
        <v>0.833333333333333</v>
      </c>
      <c r="AF131" s="4" t="str">
        <f aca="false">INT((X131+Y131)-(B131+C131)) &amp; ":" &amp;
TEXT(HOUR((X131+Y131)-(B131+C131)), "00") &amp; ":" &amp;
TEXT(MINUTE((X131+Y131)-(B131+C131)), "00")</f>
        <v>-31:20:55</v>
      </c>
      <c r="AG131" s="4" t="str">
        <f aca="false" t="array" ref="AG131:AG131">INT(_xlfn.XLOOKUP(J131,{"Low","Medium","High","Urgent"},{48,24,12,8})/24) &amp; ":" &amp;
TEXT(MOD(_xlfn.XLOOKUP(J131,{"Low","Medium","High","Urgent"},{48,24,12,8}),24)/24,"hh:mm")</f>
        <v>2:00:00</v>
      </c>
      <c r="AH131" s="4" t="str">
        <f aca="false">IF(AD131&gt;AG131,"Not Met","Met")</f>
        <v>Met</v>
      </c>
      <c r="AI131" s="4" t="e">
        <f aca="false">IF(AB131&lt;TIME(0,30,0),"Met","Not Met")</f>
        <v>#VALUE!</v>
      </c>
      <c r="AN131" s="1" t="str">
        <f aca="false">TEXT(B131,"dd")</f>
        <v>30</v>
      </c>
      <c r="AO131" s="1" t="str">
        <f aca="false">TEXT(X131,"dd")</f>
        <v>30</v>
      </c>
      <c r="AP131" s="16" t="str">
        <f aca="false">INT(
  NETWORKDAYS(B131,V131)-1
  + IF(WEEKDAY(V131,2)&lt;6,MOD(V131+W131,1),0)
  - IF(WEEKDAY(B131,2)&lt;6,MOD(B131+C131,1),0)
)
&amp; ":" &amp;
TEXT(HOUR(
  NETWORKDAYS(B131,V131)-1
  + IF(WEEKDAY(V131,2)&lt;6,MOD(V131+W131,1),0)
  - IF(WEEKDAY(B131,2)&lt;6,MOD(B131+C131,1),0)
),"00")
&amp; ":" &amp;
TEXT(MINUTE(
  NETWORKDAYS(B131,V131)-1
  + IF(WEEKDAY(V131,2)&lt;6,MOD(V131+W131,1),0)
  - IF(WEEKDAY(B131,2)&lt;6,MOD(B131+C131,1),0)
),"00")</f>
        <v>0:19:59</v>
      </c>
      <c r="AQ131" s="0" t="n">
        <f aca="false">IFERROR(
LEFT(AP131,FIND(":",AP131)-1)
+ MID(AP131,FIND(":",AP131)+1,2)/24
+ RIGHT(AP131,2)/1440,
"")</f>
        <v>0.832638888888889</v>
      </c>
      <c r="AR131" s="0" t="n">
        <f aca="false">WEEKNUM(B131,1)</f>
        <v>5</v>
      </c>
      <c r="AS131" s="17" t="n">
        <f aca="false">IF(B131&gt;0, (B131+C131)-TIME(13,30,0), "")</f>
        <v>46051.5368055556</v>
      </c>
      <c r="AT131" s="18" t="n">
        <f aca="false">IF(B131&gt;0, (B131+C131)-TIME(13,30,0), "")</f>
        <v>46051.5368055556</v>
      </c>
      <c r="AU131" s="17" t="n">
        <f aca="false">IF(V131&gt;0, (V131+W131)-TIME(13,30,0), "")</f>
        <v>46052.3701388889</v>
      </c>
      <c r="AV131" s="18" t="n">
        <f aca="false">IF(V131&gt;0, (V131+W131)-TIME(13,30,0), "")</f>
        <v>46052.3701388889</v>
      </c>
      <c r="AW131" s="19" t="n">
        <f aca="false">24*(
MAX(0,
IF(NETWORKDAYS(AS131,AU131)=1,
MIN(MOD(AV131,1),TIME(17,30,0)) - MAX(MOD(AT131,1),TIME(8,30,0)),
(TIME(17,30,0)-MAX(MOD(AT131,1),TIME(8,30,0)))
+ (MIN(MOD(AV131,1),TIME(17,30,0))-TIME(8,30,0))
+ (NETWORKDAYS(AS131,AU131)-2)*9/24
)
)
)</f>
        <v>4.99999999991444</v>
      </c>
      <c r="AX131" s="19" t="n">
        <f aca="false">24*(
MAX(0,
IF(NETWORKDAYS(AS131,AU131)=1,
MIN(MOD(AV131,1),TIME(17,30,0)) - MAX(MOD(AT131,1),TIME(8,30,0)),
(TIME(17,30,0)-MAX(MOD(AT131,1),TIME(8,30,0)))
+ (MIN(MOD(AV131,1),TIME(17,30,0))-TIME(8,30,0))
+ (NETWORKDAYS(AS131,AU131)-2)* (TIME(17,30,0)-TIME(8,30,0))
)
)
)</f>
        <v>4.99999999991444</v>
      </c>
      <c r="AY131" s="20" t="n">
        <f aca="false">ROUND(
IF(AS131=AU131,
MAX(0,
(MIN(MOD(AV131,1),TIME(17,30,0))-
MAX(MOD(AT131,1),TIME(8,30,0)))*24
),
(
(MAX(0,TIME(17,30,0)-MAX(MOD(AT131,1),TIME(8,30,0)))*24)
+
(MAX(0,MIN(MOD(AV131,1),TIME(17,30,0))-TIME(8,30,0))*24)
+
(MAX(0,NETWORKDAYS(AS131+1,AU131-1))*9)
)
),
2)</f>
        <v>5</v>
      </c>
      <c r="AZ131" s="0" t="n">
        <f aca="false" t="array" ref="AZ131:AZ131">_xlfn.XLOOKUP(J131,{"Low","Medium","High"},{270,72,24})</f>
        <v>270</v>
      </c>
      <c r="BA131" s="0" t="str">
        <f aca="false">IF(AW131&gt;AZ131,"Not Met","Met")</f>
        <v>Met</v>
      </c>
      <c r="BB131" s="21" t="str">
        <f aca="false">IF(AS131="","",TEXT(AS131,"MMM")&amp;"'"&amp;TEXT(AS131,"yy"))</f>
        <v>Jan'26</v>
      </c>
      <c r="BC131" s="0" t="str">
        <f aca="false">IF(AU131="","",TEXT(AU131,"MMM")&amp;"'"&amp;TEXT(AU131,"yy"))</f>
        <v>Jan'26</v>
      </c>
    </row>
    <row r="132" customFormat="false" ht="15" hidden="false" customHeight="false" outlineLevel="0" collapsed="false">
      <c r="A132" s="52" t="s">
        <v>538</v>
      </c>
      <c r="B132" s="11" t="n">
        <v>46052</v>
      </c>
      <c r="C132" s="12" t="n">
        <v>0.104166666666667</v>
      </c>
      <c r="D132" s="13" t="str">
        <f aca="false">IF(B132="","",TEXT(B132,"MMM")&amp;"'"&amp;TEXT(B132,"yy"))</f>
        <v>Jan'26</v>
      </c>
      <c r="E132" s="27" t="s">
        <v>55</v>
      </c>
      <c r="F132" s="23" t="s">
        <v>539</v>
      </c>
      <c r="G132" s="33" t="str">
        <f aca="false">IF(F132="Closed","Closed","Pending")</f>
        <v>Pending</v>
      </c>
      <c r="H132" s="26" t="s">
        <v>185</v>
      </c>
      <c r="I132" s="26" t="s">
        <v>540</v>
      </c>
      <c r="J132" s="26" t="s">
        <v>74</v>
      </c>
      <c r="K132" s="40" t="s">
        <v>59</v>
      </c>
      <c r="L132" s="26" t="s">
        <v>541</v>
      </c>
      <c r="M132" s="26" t="s">
        <v>542</v>
      </c>
      <c r="N132" s="1" t="s">
        <v>65</v>
      </c>
      <c r="O132" s="1" t="s">
        <v>143</v>
      </c>
      <c r="Q132" s="1" t="s">
        <v>65</v>
      </c>
      <c r="R132" s="1" t="s">
        <v>426</v>
      </c>
      <c r="U132" s="12" t="n">
        <v>0.110416666666667</v>
      </c>
      <c r="Z132" s="1" t="s">
        <v>67</v>
      </c>
      <c r="AB132" s="2" t="e">
        <f aca="false">U132-G132</f>
        <v>#VALUE!</v>
      </c>
      <c r="AC132" s="14" t="n">
        <f aca="false">(V132+W132)-(B132+C132)</f>
        <v>-46052.1041666667</v>
      </c>
      <c r="AD132" s="4" t="str">
        <f aca="false">INT((V132+W132)-(B132+C132)) &amp; ":" &amp;
TEXT(HOUR((V132+W132)-(B132+C132)), "00") &amp; ":" &amp;
TEXT(MINUTE((V132+W132)-(B132+C132)), "00")</f>
        <v>-46053:21:30</v>
      </c>
      <c r="AE132" s="1" t="n">
        <f aca="false">IFERROR(
LEFT(AD132,FIND(":",AD132)-1)
+ MID(AD132,FIND(":",AD132)+1,2)/24
+ RIGHT(AD132,2)/1440,
"")</f>
        <v>-46052.1041666667</v>
      </c>
      <c r="AF132" s="4" t="str">
        <f aca="false">INT((X132+Y132)-(B132+C132)) &amp; ":" &amp;
TEXT(HOUR((X132+Y132)-(B132+C132)), "00") &amp; ":" &amp;
TEXT(MINUTE((X132+Y132)-(B132+C132)), "00")</f>
        <v>-46053:21:30</v>
      </c>
      <c r="AG132" s="4" t="str">
        <f aca="false" t="array" ref="AG132:AG132">INT(_xlfn.XLOOKUP(J132,{"Low","Medium","High","Urgent"},{48,24,12,8})/24) &amp; ":" &amp;
TEXT(MOD(_xlfn.XLOOKUP(J132,{"Low","Medium","High","Urgent"},{48,24,12,8}),24)/24,"hh:mm")</f>
        <v>2:00:00</v>
      </c>
      <c r="AH132" s="4" t="str">
        <f aca="false">IF(AD132&gt;AG132,"Not Met","Met")</f>
        <v>Met</v>
      </c>
      <c r="AI132" s="4" t="e">
        <f aca="false">IF(AB132&lt;TIME(0,30,0),"Met","Not Met")</f>
        <v>#VALUE!</v>
      </c>
      <c r="AN132" s="1" t="str">
        <f aca="false">TEXT(B132,"dd")</f>
        <v>30</v>
      </c>
      <c r="AO132" s="1" t="str">
        <f aca="false">TEXT(X132,"dd")</f>
        <v>30</v>
      </c>
      <c r="AP132" s="16" t="str">
        <f aca="false">INT(
  NETWORKDAYS(B132,V132)-1
  + IF(WEEKDAY(V132,2)&lt;6,MOD(V132+W132,1),0)
  - IF(WEEKDAY(B132,2)&lt;6,MOD(B132+C132,1),0)
)
&amp; ":" &amp;
TEXT(HOUR(
  NETWORKDAYS(B132,V132)-1
  + IF(WEEKDAY(V132,2)&lt;6,MOD(V132+W132,1),0)
  - IF(WEEKDAY(B132,2)&lt;6,MOD(B132+C132,1),0)
),"00")
&amp; ":" &amp;
TEXT(MINUTE(
  NETWORKDAYS(B132,V132)-1
  + IF(WEEKDAY(V132,2)&lt;6,MOD(V132+W132,1),0)
  - IF(WEEKDAY(B132,2)&lt;6,MOD(B132+C132,1),0)
),"00")</f>
        <v>-32897:21:30</v>
      </c>
      <c r="AQ132" s="0" t="n">
        <f aca="false">IFERROR(
LEFT(AP132,FIND(":",AP132)-1)
+ MID(AP132,FIND(":",AP132)+1,2)/24
+ RIGHT(AP132,2)/1440,
"")</f>
        <v>-32896.1041666667</v>
      </c>
      <c r="AR132" s="0" t="n">
        <f aca="false">WEEKNUM(B132,1)</f>
        <v>5</v>
      </c>
      <c r="AS132" s="17" t="n">
        <f aca="false">IF(B132&gt;0, (B132+C132)-TIME(13,30,0), "")</f>
        <v>46051.5416666667</v>
      </c>
      <c r="AT132" s="18" t="n">
        <f aca="false">IF(B132&gt;0, (B132+C132)-TIME(13,30,0), "")</f>
        <v>46051.5416666667</v>
      </c>
      <c r="AU132" s="17" t="str">
        <f aca="false">IF(V132&gt;0, (V132+W132)-TIME(13,30,0), "")</f>
        <v/>
      </c>
      <c r="AV132" s="18" t="str">
        <f aca="false">IF(V132&gt;0, (V132+W132)-TIME(13,30,0), "")</f>
        <v/>
      </c>
      <c r="AW132" s="19" t="e">
        <f aca="false">24*(
MAX(0,
IF(NETWORKDAYS(AS132,AU132)=1,
MIN(MOD(AV132,1),TIME(17,30,0)) - MAX(MOD(AT132,1),TIME(8,30,0)),
(TIME(17,30,0)-MAX(MOD(AT132,1),TIME(8,30,0)))
+ (MIN(MOD(AV132,1),TIME(17,30,0))-TIME(8,30,0))
+ (NETWORKDAYS(AS132,AU132)-2)*9/24
)
)
)</f>
        <v>#VALUE!</v>
      </c>
      <c r="AX132" s="19" t="e">
        <f aca="false">24*(
MAX(0,
IF(NETWORKDAYS(AS132,AU132)=1,
MIN(MOD(AV132,1),TIME(17,30,0)) - MAX(MOD(AT132,1),TIME(8,30,0)),
(TIME(17,30,0)-MAX(MOD(AT132,1),TIME(8,30,0)))
+ (MIN(MOD(AV132,1),TIME(17,30,0))-TIME(8,30,0))
+ (NETWORKDAYS(AS132,AU132)-2)* (TIME(17,30,0)-TIME(8,30,0))
)
)
)</f>
        <v>#VALUE!</v>
      </c>
      <c r="AY132" s="20" t="e">
        <f aca="false">ROUND(
IF(AS132=AU132,
MAX(0,
(MIN(MOD(AV132,1),TIME(17,30,0))-
MAX(MOD(AT132,1),TIME(8,30,0)))*24
),
(
(MAX(0,TIME(17,30,0)-MAX(MOD(AT132,1),TIME(8,30,0)))*24)
+
(MAX(0,MIN(MOD(AV132,1),TIME(17,30,0))-TIME(8,30,0))*24)
+
(MAX(0,NETWORKDAYS(AS132+1,AU132-1))*9)
)
),
2)</f>
        <v>#VALUE!</v>
      </c>
      <c r="AZ132" s="0" t="n">
        <f aca="false" t="array" ref="AZ132:AZ132">_xlfn.XLOOKUP(J132,{"Low","Medium","High"},{270,72,24})</f>
        <v>270</v>
      </c>
      <c r="BA132" s="0" t="e">
        <f aca="false">IF(AW132&gt;AZ132,"Not Met","Met")</f>
        <v>#VALUE!</v>
      </c>
      <c r="BB132" s="21" t="str">
        <f aca="false">IF(AS132="","",TEXT(AS132,"MMM")&amp;"'"&amp;TEXT(AS132,"yy"))</f>
        <v>Jan'26</v>
      </c>
      <c r="BC132" s="0" t="str">
        <f aca="false">IF(AU132="","",TEXT(AU132,"MMM")&amp;"'"&amp;TEXT(AU132,"yy"))</f>
        <v/>
      </c>
      <c r="BE132" s="0" t="s">
        <v>144</v>
      </c>
    </row>
    <row r="133" customFormat="false" ht="15" hidden="false" customHeight="false" outlineLevel="0" collapsed="false">
      <c r="A133" s="52" t="s">
        <v>543</v>
      </c>
      <c r="B133" s="11" t="n">
        <v>46052</v>
      </c>
      <c r="C133" s="12" t="n">
        <v>0.127083333333333</v>
      </c>
      <c r="D133" s="13" t="str">
        <f aca="false">IF(B133="","",TEXT(B133,"MMM")&amp;"'"&amp;TEXT(B133,"yy"))</f>
        <v>Jan'26</v>
      </c>
      <c r="E133" s="27" t="s">
        <v>55</v>
      </c>
      <c r="F133" s="1" t="s">
        <v>39</v>
      </c>
      <c r="G133" s="1" t="str">
        <f aca="false">IF(F133="Closed","Closed","Pending")</f>
        <v>Closed</v>
      </c>
      <c r="H133" s="1" t="s">
        <v>56</v>
      </c>
      <c r="I133" s="1" t="s">
        <v>82</v>
      </c>
      <c r="J133" s="1" t="s">
        <v>74</v>
      </c>
      <c r="K133" s="1" t="s">
        <v>59</v>
      </c>
      <c r="L133" s="1" t="s">
        <v>544</v>
      </c>
      <c r="M133" s="1" t="s">
        <v>545</v>
      </c>
      <c r="N133" s="35" t="s">
        <v>62</v>
      </c>
      <c r="O133" s="1" t="s">
        <v>63</v>
      </c>
      <c r="Q133" s="1" t="s">
        <v>229</v>
      </c>
      <c r="R133" s="1" t="s">
        <v>230</v>
      </c>
      <c r="S133" s="1" t="s">
        <v>231</v>
      </c>
      <c r="U133" s="12" t="n">
        <v>0.138888888888889</v>
      </c>
      <c r="V133" s="11" t="n">
        <v>46062</v>
      </c>
      <c r="W133" s="12" t="n">
        <v>0.975</v>
      </c>
      <c r="X133" s="11" t="n">
        <v>46080</v>
      </c>
      <c r="Y133" s="12" t="n">
        <v>0.165972222222222</v>
      </c>
      <c r="Z133" s="1" t="s">
        <v>108</v>
      </c>
      <c r="AA133" s="1" t="s">
        <v>68</v>
      </c>
      <c r="AB133" s="2" t="e">
        <f aca="false">U133-G133</f>
        <v>#VALUE!</v>
      </c>
      <c r="AC133" s="14" t="n">
        <f aca="false">(V133+W133)-(B133+C133)</f>
        <v>10.8479166666667</v>
      </c>
      <c r="AD133" s="4" t="str">
        <f aca="false">INT((V133+W133)-(B133+C133)) &amp; ":" &amp;
TEXT(HOUR((V133+W133)-(B133+C133)), "00") &amp; ":" &amp;
TEXT(MINUTE((V133+W133)-(B133+C133)), "00")</f>
        <v>10:20:21</v>
      </c>
      <c r="AE133" s="1" t="n">
        <f aca="false">IFERROR(
LEFT(AD133,FIND(":",AD133)-1)
+ MID(AD133,FIND(":",AD133)+1,2)/24
+ RIGHT(AD133,2)/1440,
"")</f>
        <v>10.8479166666667</v>
      </c>
      <c r="AF133" s="4" t="str">
        <f aca="false">INT((X133+Y133)-(B133+C133)) &amp; ":" &amp;
TEXT(HOUR((X133+Y133)-(B133+C133)), "00") &amp; ":" &amp;
TEXT(MINUTE((X133+Y133)-(B133+C133)), "00")</f>
        <v>28:00:56</v>
      </c>
      <c r="AG133" s="4" t="str">
        <f aca="false" t="array" ref="AG133:AG133">INT(_xlfn.XLOOKUP(J133,{"Low","Medium","High","Urgent"},{48,24,12,8})/24) &amp; ":" &amp;
TEXT(MOD(_xlfn.XLOOKUP(J133,{"Low","Medium","High","Urgent"},{48,24,12,8}),24)/24,"hh:mm")</f>
        <v>2:00:00</v>
      </c>
      <c r="AH133" s="4" t="str">
        <f aca="false">IF(AD133&gt;AG133,"Not Met","Met")</f>
        <v>Met</v>
      </c>
      <c r="AI133" s="4" t="e">
        <f aca="false">IF(AB133&lt;TIME(0,30,0),"Met","Not Met")</f>
        <v>#VALUE!</v>
      </c>
      <c r="AN133" s="1" t="str">
        <f aca="false">TEXT(B133,"dd")</f>
        <v>30</v>
      </c>
      <c r="AO133" s="1" t="str">
        <f aca="false">TEXT(X133,"dd")</f>
        <v>27</v>
      </c>
      <c r="AP133" s="16" t="str">
        <f aca="false">INT(
  NETWORKDAYS(B133,V133)-1
  + IF(WEEKDAY(V133,2)&lt;6,MOD(V133+W133,1),0)
  - IF(WEEKDAY(B133,2)&lt;6,MOD(B133+C133,1),0)
)
&amp; ":" &amp;
TEXT(HOUR(
  NETWORKDAYS(B133,V133)-1
  + IF(WEEKDAY(V133,2)&lt;6,MOD(V133+W133,1),0)
  - IF(WEEKDAY(B133,2)&lt;6,MOD(B133+C133,1),0)
),"00")
&amp; ":" &amp;
TEXT(MINUTE(
  NETWORKDAYS(B133,V133)-1
  + IF(WEEKDAY(V133,2)&lt;6,MOD(V133+W133,1),0)
  - IF(WEEKDAY(B133,2)&lt;6,MOD(B133+C133,1),0)
),"00")</f>
        <v>6:20:20</v>
      </c>
      <c r="AQ133" s="0" t="n">
        <f aca="false">IFERROR(
LEFT(AP133,FIND(":",AP133)-1)
+ MID(AP133,FIND(":",AP133)+1,2)/24
+ RIGHT(AP133,2)/1440,
"")</f>
        <v>6.84722222222222</v>
      </c>
      <c r="AR133" s="0" t="n">
        <f aca="false">WEEKNUM(B133,1)</f>
        <v>5</v>
      </c>
      <c r="AS133" s="17" t="n">
        <f aca="false">IF(B133&gt;0, (B133+C133)-TIME(13,30,0), "")</f>
        <v>46051.5645833333</v>
      </c>
      <c r="AT133" s="18" t="n">
        <f aca="false">IF(B133&gt;0, (B133+C133)-TIME(13,30,0), "")</f>
        <v>46051.5645833333</v>
      </c>
      <c r="AU133" s="17" t="n">
        <f aca="false">IF(V133&gt;0, (V133+W133)-TIME(13,30,0), "")</f>
        <v>46062.4125</v>
      </c>
      <c r="AV133" s="18" t="n">
        <f aca="false">IF(V133&gt;0, (V133+W133)-TIME(13,30,0), "")</f>
        <v>46062.4125</v>
      </c>
      <c r="AW133" s="19" t="n">
        <f aca="false">24*(
MAX(0,
IF(NETWORKDAYS(AS133,AU133)=1,
MIN(MOD(AV133,1),TIME(17,30,0)) - MAX(MOD(AT133,1),TIME(8,30,0)),
(TIME(17,30,0)-MAX(MOD(AT133,1),TIME(8,30,0)))
+ (MIN(MOD(AV133,1),TIME(17,30,0))-TIME(8,30,0))
+ (NETWORKDAYS(AS133,AU133)-2)*9/24
)
)
)</f>
        <v>59.35</v>
      </c>
      <c r="AX133" s="19" t="n">
        <f aca="false">24*(
MAX(0,
IF(NETWORKDAYS(AS133,AU133)=1,
MIN(MOD(AV133,1),TIME(17,30,0)) - MAX(MOD(AT133,1),TIME(8,30,0)),
(TIME(17,30,0)-MAX(MOD(AT133,1),TIME(8,30,0)))
+ (MIN(MOD(AV133,1),TIME(17,30,0))-TIME(8,30,0))
+ (NETWORKDAYS(AS133,AU133)-2)* (TIME(17,30,0)-TIME(8,30,0))
)
)
)</f>
        <v>59.35</v>
      </c>
      <c r="AY133" s="20" t="n">
        <f aca="false">ROUND(
IF(AS133=AU133,
MAX(0,
(MIN(MOD(AV133,1),TIME(17,30,0))-
MAX(MOD(AT133,1),TIME(8,30,0)))*24
),
(
(MAX(0,TIME(17,30,0)-MAX(MOD(AT133,1),TIME(8,30,0)))*24)
+
(MAX(0,MIN(MOD(AV133,1),TIME(17,30,0))-TIME(8,30,0))*24)
+
(MAX(0,NETWORKDAYS(AS133+1,AU133-1))*9)
)
),
2)</f>
        <v>59.35</v>
      </c>
      <c r="AZ133" s="0" t="n">
        <f aca="false" t="array" ref="AZ133:AZ133">_xlfn.XLOOKUP(J133,{"Low","Medium","High"},{270,72,24})</f>
        <v>270</v>
      </c>
      <c r="BA133" s="0" t="str">
        <f aca="false">IF(AW133&gt;AZ133,"Not Met","Met")</f>
        <v>Met</v>
      </c>
      <c r="BB133" s="21" t="str">
        <f aca="false">IF(AS133="","",TEXT(AS133,"MMM")&amp;"'"&amp;TEXT(AS133,"yy"))</f>
        <v>Jan'26</v>
      </c>
      <c r="BC133" s="0" t="str">
        <f aca="false">IF(AU133="","",TEXT(AU133,"MMM")&amp;"'"&amp;TEXT(AU133,"yy"))</f>
        <v>Feb'26</v>
      </c>
    </row>
    <row r="134" customFormat="false" ht="15" hidden="false" customHeight="false" outlineLevel="0" collapsed="false">
      <c r="A134" s="1" t="s">
        <v>546</v>
      </c>
      <c r="B134" s="11" t="n">
        <v>46052</v>
      </c>
      <c r="C134" s="12" t="n">
        <v>0.885416666666667</v>
      </c>
      <c r="D134" s="13" t="str">
        <f aca="false">IF(B134="","",TEXT(B134,"MMM")&amp;"'"&amp;TEXT(B134,"yy"))</f>
        <v>Jan'26</v>
      </c>
      <c r="E134" s="27" t="s">
        <v>55</v>
      </c>
      <c r="F134" s="1" t="s">
        <v>39</v>
      </c>
      <c r="G134" s="1" t="str">
        <f aca="false">IF(F134="Closed","Closed","Pending")</f>
        <v>Closed</v>
      </c>
      <c r="H134" s="1" t="s">
        <v>185</v>
      </c>
      <c r="I134" s="1" t="s">
        <v>223</v>
      </c>
      <c r="J134" s="1" t="s">
        <v>74</v>
      </c>
      <c r="K134" s="1" t="s">
        <v>59</v>
      </c>
      <c r="L134" s="1" t="s">
        <v>547</v>
      </c>
      <c r="M134" s="23" t="s">
        <v>548</v>
      </c>
      <c r="N134" s="35" t="s">
        <v>65</v>
      </c>
      <c r="O134" s="1" t="s">
        <v>106</v>
      </c>
      <c r="Q134" s="1" t="s">
        <v>65</v>
      </c>
      <c r="R134" s="1" t="s">
        <v>426</v>
      </c>
      <c r="U134" s="12" t="n">
        <v>0.915277777777778</v>
      </c>
      <c r="V134" s="11" t="n">
        <v>46057</v>
      </c>
      <c r="W134" s="12" t="n">
        <v>0.994444444444445</v>
      </c>
      <c r="X134" s="11" t="n">
        <v>46058</v>
      </c>
      <c r="Y134" s="12" t="n">
        <v>0.0340277777777778</v>
      </c>
      <c r="Z134" s="1" t="s">
        <v>67</v>
      </c>
      <c r="AA134" s="1" t="s">
        <v>68</v>
      </c>
      <c r="AB134" s="2" t="e">
        <f aca="false">U134-G134</f>
        <v>#VALUE!</v>
      </c>
      <c r="AC134" s="14" t="n">
        <f aca="false">(V134+W134)-(B134+C134)</f>
        <v>5.10902777777778</v>
      </c>
      <c r="AD134" s="4" t="str">
        <f aca="false">INT((V134+W134)-(B134+C134)) &amp; ":" &amp;
TEXT(HOUR((V134+W134)-(B134+C134)), "00") &amp; ":" &amp;
TEXT(MINUTE((V134+W134)-(B134+C134)), "00")</f>
        <v>5:02:37</v>
      </c>
      <c r="AE134" s="1" t="n">
        <f aca="false">IFERROR(
LEFT(AD134,FIND(":",AD134)-1)
+ MID(AD134,FIND(":",AD134)+1,2)/24
+ RIGHT(AD134,2)/1440,
"")</f>
        <v>5.10902777777778</v>
      </c>
      <c r="AF134" s="4" t="str">
        <f aca="false">INT((X134+Y134)-(B134+C134)) &amp; ":" &amp;
TEXT(HOUR((X134+Y134)-(B134+C134)), "00") &amp; ":" &amp;
TEXT(MINUTE((X134+Y134)-(B134+C134)), "00")</f>
        <v>5:03:34</v>
      </c>
      <c r="AG134" s="4" t="str">
        <f aca="false" t="array" ref="AG134:AG134">INT(_xlfn.XLOOKUP(J134,{"Low","Medium","High","Urgent"},{48,24,12,8})/24) &amp; ":" &amp;
TEXT(MOD(_xlfn.XLOOKUP(J134,{"Low","Medium","High","Urgent"},{48,24,12,8}),24)/24,"hh:mm")</f>
        <v>2:00:00</v>
      </c>
      <c r="AH134" s="4" t="str">
        <f aca="false">IF(AD134&gt;AG134,"Not Met","Met")</f>
        <v>Not Met</v>
      </c>
      <c r="AI134" s="4" t="e">
        <f aca="false">IF(AB134&lt;TIME(0,30,0),"Met","Not Met")</f>
        <v>#VALUE!</v>
      </c>
      <c r="AN134" s="1" t="str">
        <f aca="false">TEXT(B134,"dd")</f>
        <v>30</v>
      </c>
      <c r="AO134" s="1" t="str">
        <f aca="false">TEXT(X134,"dd")</f>
        <v>05</v>
      </c>
      <c r="AP134" s="16" t="str">
        <f aca="false">INT(
  NETWORKDAYS(B134,V134)-1
  + IF(WEEKDAY(V134,2)&lt;6,MOD(V134+W134,1),0)
  - IF(WEEKDAY(B134,2)&lt;6,MOD(B134+C134,1),0)
)
&amp; ":" &amp;
TEXT(HOUR(
  NETWORKDAYS(B134,V134)-1
  + IF(WEEKDAY(V134,2)&lt;6,MOD(V134+W134,1),0)
  - IF(WEEKDAY(B134,2)&lt;6,MOD(B134+C134,1),0)
),"00")
&amp; ":" &amp;
TEXT(MINUTE(
  NETWORKDAYS(B134,V134)-1
  + IF(WEEKDAY(V134,2)&lt;6,MOD(V134+W134,1),0)
  - IF(WEEKDAY(B134,2)&lt;6,MOD(B134+C134,1),0)
),"00")</f>
        <v>3:02:36</v>
      </c>
      <c r="AQ134" s="0" t="n">
        <f aca="false">IFERROR(
LEFT(AP134,FIND(":",AP134)-1)
+ MID(AP134,FIND(":",AP134)+1,2)/24
+ RIGHT(AP134,2)/1440,
"")</f>
        <v>3.10833333333333</v>
      </c>
      <c r="AR134" s="0" t="n">
        <f aca="false">WEEKNUM(B134,1)</f>
        <v>5</v>
      </c>
      <c r="AS134" s="17" t="n">
        <f aca="false">IF(B134&gt;0, (B134+C134)-TIME(13,30,0), "")</f>
        <v>46052.3229166667</v>
      </c>
      <c r="AT134" s="18" t="n">
        <f aca="false">IF(B134&gt;0, (B134+C134)-TIME(13,30,0), "")</f>
        <v>46052.3229166667</v>
      </c>
      <c r="AU134" s="17" t="n">
        <f aca="false">IF(V134&gt;0, (V134+W134)-TIME(13,30,0), "")</f>
        <v>46057.4319444444</v>
      </c>
      <c r="AV134" s="18" t="n">
        <f aca="false">IF(V134&gt;0, (V134+W134)-TIME(13,30,0), "")</f>
        <v>46057.4319444444</v>
      </c>
      <c r="AW134" s="19" t="n">
        <f aca="false">24*(
MAX(0,
IF(NETWORKDAYS(AS134,AU134)=1,
MIN(MOD(AV134,1),TIME(17,30,0)) - MAX(MOD(AT134,1),TIME(8,30,0)),
(TIME(17,30,0)-MAX(MOD(AT134,1),TIME(8,30,0)))
+ (MIN(MOD(AV134,1),TIME(17,30,0))-TIME(8,30,0))
+ (NETWORKDAYS(AS134,AU134)-2)*9/24
)
)
)</f>
        <v>28.8666666665811</v>
      </c>
      <c r="AX134" s="19" t="n">
        <f aca="false">24*(
MAX(0,
IF(NETWORKDAYS(AS134,AU134)=1,
MIN(MOD(AV134,1),TIME(17,30,0)) - MAX(MOD(AT134,1),TIME(8,30,0)),
(TIME(17,30,0)-MAX(MOD(AT134,1),TIME(8,30,0)))
+ (MIN(MOD(AV134,1),TIME(17,30,0))-TIME(8,30,0))
+ (NETWORKDAYS(AS134,AU134)-2)* (TIME(17,30,0)-TIME(8,30,0))
)
)
)</f>
        <v>28.8666666665811</v>
      </c>
      <c r="AY134" s="20" t="n">
        <f aca="false">ROUND(
IF(AS134=AU134,
MAX(0,
(MIN(MOD(AV134,1),TIME(17,30,0))-
MAX(MOD(AT134,1),TIME(8,30,0)))*24
),
(
(MAX(0,TIME(17,30,0)-MAX(MOD(AT134,1),TIME(8,30,0)))*24)
+
(MAX(0,MIN(MOD(AV134,1),TIME(17,30,0))-TIME(8,30,0))*24)
+
(MAX(0,NETWORKDAYS(AS134+1,AU134-1))*9)
)
),
2)</f>
        <v>28.87</v>
      </c>
      <c r="AZ134" s="0" t="n">
        <f aca="false" t="array" ref="AZ134:AZ134">_xlfn.XLOOKUP(J134,{"Low","Medium","High"},{270,72,24})</f>
        <v>270</v>
      </c>
      <c r="BA134" s="0" t="str">
        <f aca="false">IF(AW134&gt;AZ134,"Not Met","Met")</f>
        <v>Met</v>
      </c>
      <c r="BB134" s="21" t="str">
        <f aca="false">IF(AS134="","",TEXT(AS134,"MMM")&amp;"'"&amp;TEXT(AS134,"yy"))</f>
        <v>Jan'26</v>
      </c>
      <c r="BC134" s="0" t="str">
        <f aca="false">IF(AU134="","",TEXT(AU134,"MMM")&amp;"'"&amp;TEXT(AU134,"yy"))</f>
        <v>Feb'26</v>
      </c>
    </row>
    <row r="135" customFormat="false" ht="15" hidden="false" customHeight="false" outlineLevel="0" collapsed="false">
      <c r="A135" s="1" t="s">
        <v>549</v>
      </c>
      <c r="B135" s="11" t="n">
        <v>46052</v>
      </c>
      <c r="C135" s="12" t="n">
        <v>0.932638888888889</v>
      </c>
      <c r="D135" s="13" t="str">
        <f aca="false">IF(B135="","",TEXT(B135,"MMM")&amp;"'"&amp;TEXT(B135,"yy"))</f>
        <v>Jan'26</v>
      </c>
      <c r="E135" s="27" t="s">
        <v>55</v>
      </c>
      <c r="F135" s="1" t="s">
        <v>39</v>
      </c>
      <c r="G135" s="1" t="str">
        <f aca="false">IF(F135="Closed","Closed","Pending")</f>
        <v>Closed</v>
      </c>
      <c r="H135" s="1" t="s">
        <v>120</v>
      </c>
      <c r="I135" s="1" t="s">
        <v>210</v>
      </c>
      <c r="J135" s="1" t="s">
        <v>74</v>
      </c>
      <c r="K135" s="1" t="s">
        <v>59</v>
      </c>
      <c r="L135" s="1" t="s">
        <v>550</v>
      </c>
      <c r="M135" s="1" t="s">
        <v>551</v>
      </c>
      <c r="N135" s="35" t="s">
        <v>65</v>
      </c>
      <c r="O135" s="1" t="s">
        <v>106</v>
      </c>
      <c r="Q135" s="1" t="s">
        <v>65</v>
      </c>
      <c r="R135" s="1" t="s">
        <v>426</v>
      </c>
      <c r="U135" s="12" t="n">
        <v>0.936805555555556</v>
      </c>
      <c r="V135" s="11" t="n">
        <v>46057</v>
      </c>
      <c r="W135" s="12" t="n">
        <v>0.997916666666667</v>
      </c>
      <c r="X135" s="11" t="n">
        <v>46058</v>
      </c>
      <c r="Y135" s="12" t="n">
        <v>0.0354166666666667</v>
      </c>
      <c r="Z135" s="1" t="s">
        <v>67</v>
      </c>
      <c r="AA135" s="1" t="s">
        <v>68</v>
      </c>
      <c r="AB135" s="2" t="e">
        <f aca="false">U135-G135</f>
        <v>#VALUE!</v>
      </c>
      <c r="AC135" s="14" t="n">
        <f aca="false">(V135+W135)-(B135+C135)</f>
        <v>5.06527777777778</v>
      </c>
      <c r="AD135" s="4" t="str">
        <f aca="false">INT((V135+W135)-(B135+C135)) &amp; ":" &amp;
TEXT(HOUR((V135+W135)-(B135+C135)), "00") &amp; ":" &amp;
TEXT(MINUTE((V135+W135)-(B135+C135)), "00")</f>
        <v>5:01:34</v>
      </c>
      <c r="AE135" s="1" t="n">
        <f aca="false">IFERROR(
LEFT(AD135,FIND(":",AD135)-1)
+ MID(AD135,FIND(":",AD135)+1,2)/24
+ RIGHT(AD135,2)/1440,
"")</f>
        <v>5.06527777777778</v>
      </c>
      <c r="AF135" s="4" t="str">
        <f aca="false">INT((X135+Y135)-(B135+C135)) &amp; ":" &amp;
TEXT(HOUR((X135+Y135)-(B135+C135)), "00") &amp; ":" &amp;
TEXT(MINUTE((X135+Y135)-(B135+C135)), "00")</f>
        <v>5:02:28</v>
      </c>
      <c r="AG135" s="4" t="str">
        <f aca="false" t="array" ref="AG135:AG135">INT(_xlfn.XLOOKUP(J135,{"Low","Medium","High","Urgent"},{48,24,12,8})/24) &amp; ":" &amp;
TEXT(MOD(_xlfn.XLOOKUP(J135,{"Low","Medium","High","Urgent"},{48,24,12,8}),24)/24,"hh:mm")</f>
        <v>2:00:00</v>
      </c>
      <c r="AH135" s="4" t="str">
        <f aca="false">IF(AD135&gt;AG135,"Not Met","Met")</f>
        <v>Not Met</v>
      </c>
      <c r="AI135" s="4" t="e">
        <f aca="false">IF(AB135&lt;TIME(0,30,0),"Met","Not Met")</f>
        <v>#VALUE!</v>
      </c>
      <c r="AN135" s="1" t="str">
        <f aca="false">TEXT(B135,"dd")</f>
        <v>30</v>
      </c>
      <c r="AO135" s="1" t="str">
        <f aca="false">TEXT(X135,"dd")</f>
        <v>05</v>
      </c>
      <c r="AP135" s="16" t="str">
        <f aca="false">INT(
  NETWORKDAYS(B135,V135)-1
  + IF(WEEKDAY(V135,2)&lt;6,MOD(V135+W135,1),0)
  - IF(WEEKDAY(B135,2)&lt;6,MOD(B135+C135,1),0)
)
&amp; ":" &amp;
TEXT(HOUR(
  NETWORKDAYS(B135,V135)-1
  + IF(WEEKDAY(V135,2)&lt;6,MOD(V135+W135,1),0)
  - IF(WEEKDAY(B135,2)&lt;6,MOD(B135+C135,1),0)
),"00")
&amp; ":" &amp;
TEXT(MINUTE(
  NETWORKDAYS(B135,V135)-1
  + IF(WEEKDAY(V135,2)&lt;6,MOD(V135+W135,1),0)
  - IF(WEEKDAY(B135,2)&lt;6,MOD(B135+C135,1),0)
),"00")</f>
        <v>3:01:34</v>
      </c>
      <c r="AQ135" s="0" t="n">
        <f aca="false">IFERROR(
LEFT(AP135,FIND(":",AP135)-1)
+ MID(AP135,FIND(":",AP135)+1,2)/24
+ RIGHT(AP135,2)/1440,
"")</f>
        <v>3.06527777777778</v>
      </c>
      <c r="AR135" s="0" t="n">
        <f aca="false">WEEKNUM(B135,1)</f>
        <v>5</v>
      </c>
      <c r="AS135" s="17" t="n">
        <f aca="false">IF(B135&gt;0, (B135+C135)-TIME(13,30,0), "")</f>
        <v>46052.3701388889</v>
      </c>
      <c r="AT135" s="18" t="n">
        <f aca="false">IF(B135&gt;0, (B135+C135)-TIME(13,30,0), "")</f>
        <v>46052.3701388889</v>
      </c>
      <c r="AU135" s="17" t="n">
        <f aca="false">IF(V135&gt;0, (V135+W135)-TIME(13,30,0), "")</f>
        <v>46057.4354166667</v>
      </c>
      <c r="AV135" s="18" t="n">
        <f aca="false">IF(V135&gt;0, (V135+W135)-TIME(13,30,0), "")</f>
        <v>46057.4354166667</v>
      </c>
      <c r="AW135" s="19" t="n">
        <f aca="false">24*(
MAX(0,
IF(NETWORKDAYS(AS135,AU135)=1,
MIN(MOD(AV135,1),TIME(17,30,0)) - MAX(MOD(AT135,1),TIME(8,30,0)),
(TIME(17,30,0)-MAX(MOD(AT135,1),TIME(8,30,0)))
+ (MIN(MOD(AV135,1),TIME(17,30,0))-TIME(8,30,0))
+ (NETWORKDAYS(AS135,AU135)-2)*9/24
)
)
)</f>
        <v>28.5666666666667</v>
      </c>
      <c r="AX135" s="19" t="n">
        <f aca="false">24*(
MAX(0,
IF(NETWORKDAYS(AS135,AU135)=1,
MIN(MOD(AV135,1),TIME(17,30,0)) - MAX(MOD(AT135,1),TIME(8,30,0)),
(TIME(17,30,0)-MAX(MOD(AT135,1),TIME(8,30,0)))
+ (MIN(MOD(AV135,1),TIME(17,30,0))-TIME(8,30,0))
+ (NETWORKDAYS(AS135,AU135)-2)* (TIME(17,30,0)-TIME(8,30,0))
)
)
)</f>
        <v>28.5666666666667</v>
      </c>
      <c r="AY135" s="20" t="n">
        <f aca="false">ROUND(
IF(AS135=AU135,
MAX(0,
(MIN(MOD(AV135,1),TIME(17,30,0))-
MAX(MOD(AT135,1),TIME(8,30,0)))*24
),
(
(MAX(0,TIME(17,30,0)-MAX(MOD(AT135,1),TIME(8,30,0)))*24)
+
(MAX(0,MIN(MOD(AV135,1),TIME(17,30,0))-TIME(8,30,0))*24)
+
(MAX(0,NETWORKDAYS(AS135+1,AU135-1))*9)
)
),
2)</f>
        <v>28.57</v>
      </c>
      <c r="AZ135" s="0" t="n">
        <f aca="false" t="array" ref="AZ135:AZ135">_xlfn.XLOOKUP(J135,{"Low","Medium","High"},{270,72,24})</f>
        <v>270</v>
      </c>
      <c r="BA135" s="0" t="str">
        <f aca="false">IF(AW135&gt;AZ135,"Not Met","Met")</f>
        <v>Met</v>
      </c>
      <c r="BB135" s="21" t="str">
        <f aca="false">IF(AS135="","",TEXT(AS135,"MMM")&amp;"'"&amp;TEXT(AS135,"yy"))</f>
        <v>Jan'26</v>
      </c>
      <c r="BC135" s="0" t="str">
        <f aca="false">IF(AU135="","",TEXT(AU135,"MMM")&amp;"'"&amp;TEXT(AU135,"yy"))</f>
        <v>Feb'26</v>
      </c>
    </row>
    <row r="136" customFormat="false" ht="15" hidden="false" customHeight="false" outlineLevel="0" collapsed="false">
      <c r="A136" s="1" t="s">
        <v>552</v>
      </c>
      <c r="B136" s="11" t="n">
        <v>46052</v>
      </c>
      <c r="C136" s="12" t="n">
        <v>0.936805555555556</v>
      </c>
      <c r="D136" s="13" t="str">
        <f aca="false">IF(B136="","",TEXT(B136,"MMM")&amp;"'"&amp;TEXT(B136,"yy"))</f>
        <v>Jan'26</v>
      </c>
      <c r="E136" s="27" t="s">
        <v>55</v>
      </c>
      <c r="F136" s="1" t="s">
        <v>39</v>
      </c>
      <c r="G136" s="1" t="str">
        <f aca="false">IF(F136="Closed","Closed","Pending")</f>
        <v>Closed</v>
      </c>
      <c r="H136" s="1" t="s">
        <v>72</v>
      </c>
      <c r="I136" s="1" t="s">
        <v>327</v>
      </c>
      <c r="J136" s="1" t="s">
        <v>74</v>
      </c>
      <c r="K136" s="1" t="s">
        <v>59</v>
      </c>
      <c r="L136" s="1" t="s">
        <v>553</v>
      </c>
      <c r="M136" s="1" t="s">
        <v>554</v>
      </c>
      <c r="N136" s="35" t="s">
        <v>62</v>
      </c>
      <c r="O136" s="1" t="s">
        <v>77</v>
      </c>
      <c r="Q136" s="1" t="s">
        <v>86</v>
      </c>
      <c r="R136" s="1" t="s">
        <v>87</v>
      </c>
      <c r="U136" s="12" t="n">
        <v>0.938194444444444</v>
      </c>
      <c r="V136" s="11" t="n">
        <v>46066</v>
      </c>
      <c r="W136" s="12" t="n">
        <v>0.00902777777777778</v>
      </c>
      <c r="X136" s="11" t="n">
        <v>46073</v>
      </c>
      <c r="Y136" s="12" t="n">
        <v>0.109027777777778</v>
      </c>
      <c r="Z136" s="1" t="s">
        <v>67</v>
      </c>
      <c r="AA136" s="1" t="s">
        <v>68</v>
      </c>
      <c r="AB136" s="2" t="e">
        <f aca="false">U136-G136</f>
        <v>#VALUE!</v>
      </c>
      <c r="AC136" s="14" t="n">
        <f aca="false">(V136+W136)-(B136+C136)</f>
        <v>13.0722222222222</v>
      </c>
      <c r="AD136" s="4" t="str">
        <f aca="false">INT((V136+W136)-(B136+C136)) &amp; ":" &amp;
TEXT(HOUR((V136+W136)-(B136+C136)), "00") &amp; ":" &amp;
TEXT(MINUTE((V136+W136)-(B136+C136)), "00")</f>
        <v>13:01:44</v>
      </c>
      <c r="AE136" s="1" t="n">
        <f aca="false">IFERROR(
LEFT(AD136,FIND(":",AD136)-1)
+ MID(AD136,FIND(":",AD136)+1,2)/24
+ RIGHT(AD136,2)/1440,
"")</f>
        <v>13.0722222222222</v>
      </c>
      <c r="AF136" s="4" t="str">
        <f aca="false">INT((X136+Y136)-(B136+C136)) &amp; ":" &amp;
TEXT(HOUR((X136+Y136)-(B136+C136)), "00") &amp; ":" &amp;
TEXT(MINUTE((X136+Y136)-(B136+C136)), "00")</f>
        <v>20:04:08</v>
      </c>
      <c r="AG136" s="4" t="str">
        <f aca="false" t="array" ref="AG136:AG136">INT(_xlfn.XLOOKUP(J136,{"Low","Medium","High","Urgent"},{48,24,12,8})/24) &amp; ":" &amp;
TEXT(MOD(_xlfn.XLOOKUP(J136,{"Low","Medium","High","Urgent"},{48,24,12,8}),24)/24,"hh:mm")</f>
        <v>2:00:00</v>
      </c>
      <c r="AH136" s="4" t="str">
        <f aca="false">IF(AD136&gt;AG136,"Not Met","Met")</f>
        <v>Met</v>
      </c>
      <c r="AI136" s="4" t="e">
        <f aca="false">IF(AB136&lt;TIME(0,30,0),"Met","Not Met")</f>
        <v>#VALUE!</v>
      </c>
      <c r="AN136" s="1" t="str">
        <f aca="false">TEXT(B136,"dd")</f>
        <v>30</v>
      </c>
      <c r="AO136" s="1" t="str">
        <f aca="false">TEXT(X136,"dd")</f>
        <v>20</v>
      </c>
      <c r="AP136" s="16" t="str">
        <f aca="false">INT(
  NETWORKDAYS(B136,V136)-1
  + IF(WEEKDAY(V136,2)&lt;6,MOD(V136+W136,1),0)
  - IF(WEEKDAY(B136,2)&lt;6,MOD(B136+C136,1),0)
)
&amp; ":" &amp;
TEXT(HOUR(
  NETWORKDAYS(B136,V136)-1
  + IF(WEEKDAY(V136,2)&lt;6,MOD(V136+W136,1),0)
  - IF(WEEKDAY(B136,2)&lt;6,MOD(B136+C136,1),0)
),"00")
&amp; ":" &amp;
TEXT(MINUTE(
  NETWORKDAYS(B136,V136)-1
  + IF(WEEKDAY(V136,2)&lt;6,MOD(V136+W136,1),0)
  - IF(WEEKDAY(B136,2)&lt;6,MOD(B136+C136,1),0)
),"00")</f>
        <v>9:01:44</v>
      </c>
      <c r="AQ136" s="0" t="n">
        <f aca="false">IFERROR(
LEFT(AP136,FIND(":",AP136)-1)
+ MID(AP136,FIND(":",AP136)+1,2)/24
+ RIGHT(AP136,2)/1440,
"")</f>
        <v>9.07222222222222</v>
      </c>
      <c r="AR136" s="0" t="n">
        <f aca="false">WEEKNUM(B136,1)</f>
        <v>5</v>
      </c>
      <c r="AS136" s="17" t="n">
        <f aca="false">IF(B136&gt;0, (B136+C136)-TIME(13,30,0), "")</f>
        <v>46052.3743055556</v>
      </c>
      <c r="AT136" s="18" t="n">
        <f aca="false">IF(B136&gt;0, (B136+C136)-TIME(13,30,0), "")</f>
        <v>46052.3743055556</v>
      </c>
      <c r="AU136" s="17" t="n">
        <f aca="false">IF(V136&gt;0, (V136+W136)-TIME(13,30,0), "")</f>
        <v>46065.4465277778</v>
      </c>
      <c r="AV136" s="18" t="n">
        <f aca="false">IF(V136&gt;0, (V136+W136)-TIME(13,30,0), "")</f>
        <v>46065.4465277778</v>
      </c>
      <c r="AW136" s="19" t="n">
        <f aca="false">24*(
MAX(0,
IF(NETWORKDAYS(AS136,AU136)=1,
MIN(MOD(AV136,1),TIME(17,30,0)) - MAX(MOD(AT136,1),TIME(8,30,0)),
(TIME(17,30,0)-MAX(MOD(AT136,1),TIME(8,30,0)))
+ (MIN(MOD(AV136,1),TIME(17,30,0))-TIME(8,30,0))
+ (NETWORKDAYS(AS136,AU136)-2)*9/24
)
)
)</f>
        <v>82.7333333333333</v>
      </c>
      <c r="AX136" s="19" t="n">
        <f aca="false">24*(
MAX(0,
IF(NETWORKDAYS(AS136,AU136)=1,
MIN(MOD(AV136,1),TIME(17,30,0)) - MAX(MOD(AT136,1),TIME(8,30,0)),
(TIME(17,30,0)-MAX(MOD(AT136,1),TIME(8,30,0)))
+ (MIN(MOD(AV136,1),TIME(17,30,0))-TIME(8,30,0))
+ (NETWORKDAYS(AS136,AU136)-2)* (TIME(17,30,0)-TIME(8,30,0))
)
)
)</f>
        <v>82.7333333333333</v>
      </c>
      <c r="AY136" s="20" t="n">
        <f aca="false">ROUND(
IF(AS136=AU136,
MAX(0,
(MIN(MOD(AV136,1),TIME(17,30,0))-
MAX(MOD(AT136,1),TIME(8,30,0)))*24
),
(
(MAX(0,TIME(17,30,0)-MAX(MOD(AT136,1),TIME(8,30,0)))*24)
+
(MAX(0,MIN(MOD(AV136,1),TIME(17,30,0))-TIME(8,30,0))*24)
+
(MAX(0,NETWORKDAYS(AS136+1,AU136-1))*9)
)
),
2)</f>
        <v>82.73</v>
      </c>
      <c r="AZ136" s="0" t="n">
        <f aca="false" t="array" ref="AZ136:AZ136">_xlfn.XLOOKUP(J136,{"Low","Medium","High"},{270,72,24})</f>
        <v>270</v>
      </c>
      <c r="BA136" s="0" t="str">
        <f aca="false">IF(AW136&gt;AZ136,"Not Met","Met")</f>
        <v>Met</v>
      </c>
      <c r="BB136" s="21" t="str">
        <f aca="false">IF(AS136="","",TEXT(AS136,"MMM")&amp;"'"&amp;TEXT(AS136,"yy"))</f>
        <v>Jan'26</v>
      </c>
      <c r="BC136" s="0" t="str">
        <f aca="false">IF(AU136="","",TEXT(AU136,"MMM")&amp;"'"&amp;TEXT(AU136,"yy"))</f>
        <v>Feb'26</v>
      </c>
    </row>
    <row r="137" customFormat="false" ht="15" hidden="false" customHeight="false" outlineLevel="0" collapsed="false">
      <c r="A137" s="1" t="s">
        <v>555</v>
      </c>
      <c r="B137" s="11" t="n">
        <v>46053</v>
      </c>
      <c r="C137" s="12" t="n">
        <v>0.0541666666666667</v>
      </c>
      <c r="D137" s="13" t="str">
        <f aca="false">IF(B137="","",TEXT(B137,"MMM")&amp;"'"&amp;TEXT(B137,"yy"))</f>
        <v>Jan'26</v>
      </c>
      <c r="E137" s="27" t="s">
        <v>55</v>
      </c>
      <c r="F137" s="1" t="s">
        <v>39</v>
      </c>
      <c r="G137" s="1" t="str">
        <f aca="false">IF(F137="Closed","Closed","Pending")</f>
        <v>Closed</v>
      </c>
      <c r="H137" s="1" t="s">
        <v>56</v>
      </c>
      <c r="I137" s="1" t="s">
        <v>82</v>
      </c>
      <c r="J137" s="1" t="s">
        <v>74</v>
      </c>
      <c r="K137" s="1" t="s">
        <v>59</v>
      </c>
      <c r="L137" s="1" t="s">
        <v>556</v>
      </c>
      <c r="M137" s="1" t="s">
        <v>557</v>
      </c>
      <c r="N137" s="35" t="s">
        <v>65</v>
      </c>
      <c r="O137" s="1" t="s">
        <v>106</v>
      </c>
      <c r="Q137" s="1" t="s">
        <v>65</v>
      </c>
      <c r="R137" s="1" t="s">
        <v>87</v>
      </c>
      <c r="U137" s="12" t="n">
        <v>0.0645833333333333</v>
      </c>
      <c r="V137" s="11" t="n">
        <v>46058</v>
      </c>
      <c r="W137" s="12" t="n">
        <v>0.05</v>
      </c>
      <c r="X137" s="11" t="n">
        <v>46058</v>
      </c>
      <c r="Y137" s="12" t="n">
        <v>0.165277777777778</v>
      </c>
      <c r="Z137" s="1" t="s">
        <v>67</v>
      </c>
      <c r="AA137" s="1" t="s">
        <v>68</v>
      </c>
      <c r="AB137" s="2" t="e">
        <f aca="false">U137-G137</f>
        <v>#VALUE!</v>
      </c>
      <c r="AC137" s="14" t="n">
        <f aca="false">(V137+W137)-(B137+C137)</f>
        <v>4.99583333333333</v>
      </c>
      <c r="AD137" s="4" t="str">
        <f aca="false">INT((V137+W137)-(B137+C137)) &amp; ":" &amp;
TEXT(HOUR((V137+W137)-(B137+C137)), "00") &amp; ":" &amp;
TEXT(MINUTE((V137+W137)-(B137+C137)), "00")</f>
        <v>4:23:54</v>
      </c>
      <c r="AE137" s="1" t="n">
        <f aca="false">IFERROR(
LEFT(AD137,FIND(":",AD137)-1)
+ MID(AD137,FIND(":",AD137)+1,2)/24
+ RIGHT(AD137,2)/1440,
"")</f>
        <v>4.99583333333333</v>
      </c>
      <c r="AF137" s="4" t="str">
        <f aca="false">INT((X137+Y137)-(B137+C137)) &amp; ":" &amp;
TEXT(HOUR((X137+Y137)-(B137+C137)), "00") &amp; ":" &amp;
TEXT(MINUTE((X137+Y137)-(B137+C137)), "00")</f>
        <v>5:02:40</v>
      </c>
      <c r="AG137" s="4" t="str">
        <f aca="false" t="array" ref="AG137:AG137">INT(_xlfn.XLOOKUP(J137,{"Low","Medium","High","Urgent"},{48,24,12,8})/24) &amp; ":" &amp;
TEXT(MOD(_xlfn.XLOOKUP(J137,{"Low","Medium","High","Urgent"},{48,24,12,8}),24)/24,"hh:mm")</f>
        <v>2:00:00</v>
      </c>
      <c r="AH137" s="4" t="str">
        <f aca="false">IF(AD137&gt;AG137,"Not Met","Met")</f>
        <v>Not Met</v>
      </c>
      <c r="AI137" s="4" t="e">
        <f aca="false">IF(AB137&lt;TIME(0,30,0),"Met","Not Met")</f>
        <v>#VALUE!</v>
      </c>
      <c r="AN137" s="1" t="str">
        <f aca="false">TEXT(B137,"dd")</f>
        <v>31</v>
      </c>
      <c r="AO137" s="1" t="str">
        <f aca="false">TEXT(X137,"dd")</f>
        <v>05</v>
      </c>
      <c r="AP137" s="16" t="str">
        <f aca="false">INT(
  NETWORKDAYS(B137,V137)-1
  + IF(WEEKDAY(V137,2)&lt;6,MOD(V137+W137,1),0)
  - IF(WEEKDAY(B137,2)&lt;6,MOD(B137+C137,1),0)
)
&amp; ":" &amp;
TEXT(HOUR(
  NETWORKDAYS(B137,V137)-1
  + IF(WEEKDAY(V137,2)&lt;6,MOD(V137+W137,1),0)
  - IF(WEEKDAY(B137,2)&lt;6,MOD(B137+C137,1),0)
),"00")
&amp; ":" &amp;
TEXT(MINUTE(
  NETWORKDAYS(B137,V137)-1
  + IF(WEEKDAY(V137,2)&lt;6,MOD(V137+W137,1),0)
  - IF(WEEKDAY(B137,2)&lt;6,MOD(B137+C137,1),0)
),"00")</f>
        <v>3:01:12</v>
      </c>
      <c r="AQ137" s="0" t="n">
        <f aca="false">IFERROR(
LEFT(AP137,FIND(":",AP137)-1)
+ MID(AP137,FIND(":",AP137)+1,2)/24
+ RIGHT(AP137,2)/1440,
"")</f>
        <v>3.05</v>
      </c>
      <c r="AR137" s="0" t="n">
        <f aca="false">WEEKNUM(B137,1)</f>
        <v>5</v>
      </c>
      <c r="AS137" s="17" t="n">
        <f aca="false">IF(B137&gt;0, (B137+C137)-TIME(13,30,0), "")</f>
        <v>46052.4916666667</v>
      </c>
      <c r="AT137" s="18" t="n">
        <f aca="false">IF(B137&gt;0, (B137+C137)-TIME(13,30,0), "")</f>
        <v>46052.4916666667</v>
      </c>
      <c r="AU137" s="17" t="n">
        <f aca="false">IF(V137&gt;0, (V137+W137)-TIME(13,30,0), "")</f>
        <v>46057.4875</v>
      </c>
      <c r="AV137" s="18" t="n">
        <f aca="false">IF(V137&gt;0, (V137+W137)-TIME(13,30,0), "")</f>
        <v>46057.4875</v>
      </c>
      <c r="AW137" s="19" t="n">
        <f aca="false">24*(
MAX(0,
IF(NETWORKDAYS(AS137,AU137)=1,
MIN(MOD(AV137,1),TIME(17,30,0)) - MAX(MOD(AT137,1),TIME(8,30,0)),
(TIME(17,30,0)-MAX(MOD(AT137,1),TIME(8,30,0)))
+ (MIN(MOD(AV137,1),TIME(17,30,0))-TIME(8,30,0))
+ (NETWORKDAYS(AS137,AU137)-2)*9/24
)
)
)</f>
        <v>26.9</v>
      </c>
      <c r="AX137" s="19" t="n">
        <f aca="false">24*(
MAX(0,
IF(NETWORKDAYS(AS137,AU137)=1,
MIN(MOD(AV137,1),TIME(17,30,0)) - MAX(MOD(AT137,1),TIME(8,30,0)),
(TIME(17,30,0)-MAX(MOD(AT137,1),TIME(8,30,0)))
+ (MIN(MOD(AV137,1),TIME(17,30,0))-TIME(8,30,0))
+ (NETWORKDAYS(AS137,AU137)-2)* (TIME(17,30,0)-TIME(8,30,0))
)
)
)</f>
        <v>26.9</v>
      </c>
      <c r="AY137" s="20" t="n">
        <f aca="false">ROUND(
IF(AS137=AU137,
MAX(0,
(MIN(MOD(AV137,1),TIME(17,30,0))-
MAX(MOD(AT137,1),TIME(8,30,0)))*24
),
(
(MAX(0,TIME(17,30,0)-MAX(MOD(AT137,1),TIME(8,30,0)))*24)
+
(MAX(0,MIN(MOD(AV137,1),TIME(17,30,0))-TIME(8,30,0))*24)
+
(MAX(0,NETWORKDAYS(AS137+1,AU137-1))*9)
)
),
2)</f>
        <v>26.9</v>
      </c>
      <c r="AZ137" s="0" t="n">
        <f aca="false" t="array" ref="AZ137:AZ137">_xlfn.XLOOKUP(J137,{"Low","Medium","High"},{270,72,24})</f>
        <v>270</v>
      </c>
      <c r="BA137" s="0" t="str">
        <f aca="false">IF(AW137&gt;AZ137,"Not Met","Met")</f>
        <v>Met</v>
      </c>
      <c r="BB137" s="21" t="str">
        <f aca="false">IF(AS137="","",TEXT(AS137,"MMM")&amp;"'"&amp;TEXT(AS137,"yy"))</f>
        <v>Jan'26</v>
      </c>
      <c r="BC137" s="0" t="str">
        <f aca="false">IF(AU137="","",TEXT(AU137,"MMM")&amp;"'"&amp;TEXT(AU137,"yy"))</f>
        <v>Feb'26</v>
      </c>
    </row>
    <row r="138" customFormat="false" ht="15" hidden="false" customHeight="false" outlineLevel="0" collapsed="false">
      <c r="A138" s="1" t="s">
        <v>558</v>
      </c>
      <c r="B138" s="11" t="n">
        <v>46053</v>
      </c>
      <c r="C138" s="12" t="n">
        <v>0.186805555555556</v>
      </c>
      <c r="D138" s="13" t="str">
        <f aca="false">IF(B138="","",TEXT(B138,"MMM")&amp;"'"&amp;TEXT(B138,"yy"))</f>
        <v>Jan'26</v>
      </c>
      <c r="E138" s="27" t="s">
        <v>55</v>
      </c>
      <c r="F138" s="26" t="s">
        <v>39</v>
      </c>
      <c r="G138" s="33" t="str">
        <f aca="false">IF(F138="Closed","Closed","Pending")</f>
        <v>Closed</v>
      </c>
      <c r="H138" s="1" t="s">
        <v>81</v>
      </c>
      <c r="I138" s="26" t="s">
        <v>82</v>
      </c>
      <c r="J138" s="1" t="s">
        <v>74</v>
      </c>
      <c r="K138" s="1" t="s">
        <v>59</v>
      </c>
      <c r="L138" s="1" t="s">
        <v>559</v>
      </c>
      <c r="M138" s="1" t="s">
        <v>560</v>
      </c>
      <c r="N138" s="35" t="s">
        <v>65</v>
      </c>
      <c r="O138" s="1" t="s">
        <v>77</v>
      </c>
      <c r="Q138" s="1" t="s">
        <v>65</v>
      </c>
      <c r="R138" s="1" t="s">
        <v>490</v>
      </c>
      <c r="U138" s="25" t="n">
        <v>46055.9423611111</v>
      </c>
      <c r="V138" s="11" t="n">
        <v>46055</v>
      </c>
      <c r="W138" s="12" t="n">
        <v>0.942361111111111</v>
      </c>
      <c r="X138" s="11" t="n">
        <v>46059</v>
      </c>
      <c r="Y138" s="12" t="n">
        <v>0.248611111111111</v>
      </c>
      <c r="Z138" s="1" t="s">
        <v>67</v>
      </c>
      <c r="AA138" s="1" t="s">
        <v>68</v>
      </c>
      <c r="AB138" s="2" t="n">
        <v>0.213194444444444</v>
      </c>
      <c r="AC138" s="14" t="n">
        <f aca="false">(V138+W138)-(B138+C138)</f>
        <v>2.75555555555556</v>
      </c>
      <c r="AD138" s="4" t="str">
        <f aca="false">INT((V138+W138)-(B138+C138)) &amp; ":" &amp;
TEXT(HOUR((V138+W138)-(B138+C138)), "00") &amp; ":" &amp;
TEXT(MINUTE((V138+W138)-(B138+C138)), "00")</f>
        <v>2:18:08</v>
      </c>
      <c r="AE138" s="1" t="n">
        <f aca="false">IFERROR(
LEFT(AD138,FIND(":",AD138)-1)
+ MID(AD138,FIND(":",AD138)+1,2)/24
+ RIGHT(AD138,2)/1440,
"")</f>
        <v>2.75555555555556</v>
      </c>
      <c r="AF138" s="4" t="str">
        <f aca="false">INT((X138+Y138)-(B138+C138)) &amp; ":" &amp;
TEXT(HOUR((X138+Y138)-(B138+C138)), "00") &amp; ":" &amp;
TEXT(MINUTE((X138+Y138)-(B138+C138)), "00")</f>
        <v>6:01:29</v>
      </c>
      <c r="AG138" s="4" t="str">
        <f aca="false" t="array" ref="AG138:AG138">INT(_xlfn.XLOOKUP(J138,{"Low","Medium","High","Urgent"},{48,24,12,8})/24) &amp; ":" &amp;
TEXT(MOD(_xlfn.XLOOKUP(J138,{"Low","Medium","High","Urgent"},{48,24,12,8}),24)/24,"hh:mm")</f>
        <v>2:00:00</v>
      </c>
      <c r="AH138" s="4" t="str">
        <f aca="false">IF(AD138&gt;AG138,"Not Met","Met")</f>
        <v>Not Met</v>
      </c>
      <c r="AI138" s="4" t="str">
        <f aca="false">IF(AB138&lt;TIME(0,30,0),"Met","Not Met")</f>
        <v>Not Met</v>
      </c>
      <c r="AN138" s="1" t="str">
        <f aca="false">TEXT(B138,"dd")</f>
        <v>31</v>
      </c>
      <c r="AO138" s="1" t="str">
        <f aca="false">TEXT(X138,"dd")</f>
        <v>06</v>
      </c>
      <c r="AP138" s="16" t="str">
        <f aca="false">INT(
  NETWORKDAYS(B138,V138)-1
  + IF(WEEKDAY(V138,2)&lt;6,MOD(V138+W138,1),0)
  - IF(WEEKDAY(B138,2)&lt;6,MOD(B138+C138,1),0)
)
&amp; ":" &amp;
TEXT(HOUR(
  NETWORKDAYS(B138,V138)-1
  + IF(WEEKDAY(V138,2)&lt;6,MOD(V138+W138,1),0)
  - IF(WEEKDAY(B138,2)&lt;6,MOD(B138+C138,1),0)
),"00")
&amp; ":" &amp;
TEXT(MINUTE(
  NETWORKDAYS(B138,V138)-1
  + IF(WEEKDAY(V138,2)&lt;6,MOD(V138+W138,1),0)
  - IF(WEEKDAY(B138,2)&lt;6,MOD(B138+C138,1),0)
),"00")</f>
        <v>0:22:37</v>
      </c>
      <c r="AQ138" s="0" t="n">
        <f aca="false">IFERROR(
LEFT(AP138,FIND(":",AP138)-1)
+ MID(AP138,FIND(":",AP138)+1,2)/24
+ RIGHT(AP138,2)/1440,
"")</f>
        <v>0.942361111111111</v>
      </c>
      <c r="AR138" s="0" t="n">
        <f aca="false">WEEKNUM(B138,1)</f>
        <v>5</v>
      </c>
      <c r="AS138" s="17" t="n">
        <f aca="false">IF(B138&gt;0, (B138+C138)-TIME(13,30,0), "")</f>
        <v>46052.6243055556</v>
      </c>
      <c r="AT138" s="18" t="n">
        <f aca="false">IF(B138&gt;0, (B138+C138)-TIME(13,30,0), "")</f>
        <v>46052.6243055556</v>
      </c>
      <c r="AU138" s="17" t="n">
        <f aca="false">IF(V138&gt;0, (V138+W138)-TIME(13,30,0), "")</f>
        <v>46055.3798611111</v>
      </c>
      <c r="AV138" s="18" t="n">
        <f aca="false">IF(V138&gt;0, (V138+W138)-TIME(13,30,0), "")</f>
        <v>46055.3798611111</v>
      </c>
      <c r="AW138" s="19" t="n">
        <f aca="false">24*(
MAX(0,
IF(NETWORKDAYS(AS138,AU138)=1,
MIN(MOD(AV138,1),TIME(17,30,0)) - MAX(MOD(AT138,1),TIME(8,30,0)),
(TIME(17,30,0)-MAX(MOD(AT138,1),TIME(8,30,0)))
+ (MIN(MOD(AV138,1),TIME(17,30,0))-TIME(8,30,0))
+ (NETWORKDAYS(AS138,AU138)-2)*9/24
)
)
)</f>
        <v>3.13333333333333</v>
      </c>
      <c r="AX138" s="19" t="n">
        <f aca="false">24*(
MAX(0,
IF(NETWORKDAYS(AS138,AU138)=1,
MIN(MOD(AV138,1),TIME(17,30,0)) - MAX(MOD(AT138,1),TIME(8,30,0)),
(TIME(17,30,0)-MAX(MOD(AT138,1),TIME(8,30,0)))
+ (MIN(MOD(AV138,1),TIME(17,30,0))-TIME(8,30,0))
+ (NETWORKDAYS(AS138,AU138)-2)* (TIME(17,30,0)-TIME(8,30,0))
)
)
)</f>
        <v>3.13333333333333</v>
      </c>
      <c r="AY138" s="20" t="n">
        <f aca="false">ROUND(
IF(AS138=AU138,
MAX(0,
(MIN(MOD(AV138,1),TIME(17,30,0))-
MAX(MOD(AT138,1),TIME(8,30,0)))*24
),
(
(MAX(0,TIME(17,30,0)-MAX(MOD(AT138,1),TIME(8,30,0)))*24)
+
(MAX(0,MIN(MOD(AV138,1),TIME(17,30,0))-TIME(8,30,0))*24)
+
(MAX(0,NETWORKDAYS(AS138+1,AU138-1))*9)
)
),
2)</f>
        <v>3.13</v>
      </c>
      <c r="AZ138" s="0" t="n">
        <f aca="false" t="array" ref="AZ138:AZ138">_xlfn.XLOOKUP(J138,{"Low","Medium","High"},{270,72,24})</f>
        <v>270</v>
      </c>
      <c r="BA138" s="0" t="str">
        <f aca="false">IF(AW138&gt;AZ138,"Not Met","Met")</f>
        <v>Met</v>
      </c>
      <c r="BB138" s="21" t="str">
        <f aca="false">IF(AS138="","",TEXT(AS138,"MMM")&amp;"'"&amp;TEXT(AS138,"yy"))</f>
        <v>Jan'26</v>
      </c>
      <c r="BC138" s="0" t="str">
        <f aca="false">IF(AU138="","",TEXT(AU138,"MMM")&amp;"'"&amp;TEXT(AU138,"yy"))</f>
        <v>Feb'26</v>
      </c>
    </row>
    <row r="139" customFormat="false" ht="15" hidden="false" customHeight="false" outlineLevel="0" collapsed="false">
      <c r="A139" s="1" t="s">
        <v>561</v>
      </c>
      <c r="B139" s="11" t="n">
        <v>46053</v>
      </c>
      <c r="C139" s="12" t="n">
        <v>0.2375</v>
      </c>
      <c r="D139" s="13" t="str">
        <f aca="false">IF(B139="","",TEXT(B139,"MMM")&amp;"'"&amp;TEXT(B139,"yy"))</f>
        <v>Jan'26</v>
      </c>
      <c r="E139" s="27" t="s">
        <v>55</v>
      </c>
      <c r="F139" s="1" t="s">
        <v>39</v>
      </c>
      <c r="G139" s="1" t="str">
        <f aca="false">IF(F139="Closed","Closed","Pending")</f>
        <v>Closed</v>
      </c>
      <c r="H139" s="1" t="s">
        <v>56</v>
      </c>
      <c r="I139" s="1" t="s">
        <v>194</v>
      </c>
      <c r="J139" s="35" t="s">
        <v>74</v>
      </c>
      <c r="K139" s="1" t="s">
        <v>59</v>
      </c>
      <c r="L139" s="1" t="s">
        <v>562</v>
      </c>
      <c r="M139" s="1" t="s">
        <v>563</v>
      </c>
      <c r="N139" s="35" t="s">
        <v>65</v>
      </c>
      <c r="O139" s="1" t="s">
        <v>77</v>
      </c>
      <c r="Q139" s="1" t="s">
        <v>65</v>
      </c>
      <c r="R139" s="1" t="s">
        <v>490</v>
      </c>
      <c r="U139" s="25" t="n">
        <v>46055.9444444444</v>
      </c>
      <c r="V139" s="11" t="n">
        <v>46055</v>
      </c>
      <c r="W139" s="12" t="n">
        <v>0.923611111111111</v>
      </c>
      <c r="X139" s="11" t="n">
        <v>46072</v>
      </c>
      <c r="Y139" s="12" t="n">
        <v>0.124305555555556</v>
      </c>
      <c r="Z139" s="1" t="s">
        <v>67</v>
      </c>
      <c r="AA139" s="1" t="s">
        <v>68</v>
      </c>
      <c r="AB139" s="2" t="n">
        <v>0.215277777777778</v>
      </c>
      <c r="AC139" s="14" t="n">
        <f aca="false">(V139+W139)-(B139+C139)</f>
        <v>2.68611111111111</v>
      </c>
      <c r="AD139" s="4" t="str">
        <f aca="false">INT((V139+W139)-(B139+C139)) &amp; ":" &amp;
TEXT(HOUR((V139+W139)-(B139+C139)), "00") &amp; ":" &amp;
TEXT(MINUTE((V139+W139)-(B139+C139)), "00")</f>
        <v>2:16:28</v>
      </c>
      <c r="AE139" s="1" t="n">
        <f aca="false">IFERROR(
LEFT(AD139,FIND(":",AD139)-1)
+ MID(AD139,FIND(":",AD139)+1,2)/24
+ RIGHT(AD139,2)/1440,
"")</f>
        <v>2.68611111111111</v>
      </c>
      <c r="AF139" s="4" t="str">
        <f aca="false">INT((X139+Y139)-(B139+C139)) &amp; ":" &amp;
TEXT(HOUR((X139+Y139)-(B139+C139)), "00") &amp; ":" &amp;
TEXT(MINUTE((X139+Y139)-(B139+C139)), "00")</f>
        <v>18:21:17</v>
      </c>
      <c r="AG139" s="4" t="str">
        <f aca="false" t="array" ref="AG139:AG139">INT(_xlfn.XLOOKUP(J139,{"Low","Medium","High","Urgent"},{48,24,12,8})/24) &amp; ":" &amp;
TEXT(MOD(_xlfn.XLOOKUP(J139,{"Low","Medium","High","Urgent"},{48,24,12,8}),24)/24,"hh:mm")</f>
        <v>2:00:00</v>
      </c>
      <c r="AH139" s="4" t="str">
        <f aca="false">IF(AD139&gt;AG139,"Not Met","Met")</f>
        <v>Not Met</v>
      </c>
      <c r="AI139" s="4" t="str">
        <f aca="false">IF(AB139&lt;TIME(0,30,0),"Met","Not Met")</f>
        <v>Not Met</v>
      </c>
      <c r="AN139" s="1" t="str">
        <f aca="false">TEXT(B139,"dd")</f>
        <v>31</v>
      </c>
      <c r="AO139" s="1" t="str">
        <f aca="false">TEXT(X139,"dd")</f>
        <v>19</v>
      </c>
      <c r="AP139" s="16" t="str">
        <f aca="false">INT(
  NETWORKDAYS(B139,V139)-1
  + IF(WEEKDAY(V139,2)&lt;6,MOD(V139+W139,1),0)
  - IF(WEEKDAY(B139,2)&lt;6,MOD(B139+C139,1),0)
)
&amp; ":" &amp;
TEXT(HOUR(
  NETWORKDAYS(B139,V139)-1
  + IF(WEEKDAY(V139,2)&lt;6,MOD(V139+W139,1),0)
  - IF(WEEKDAY(B139,2)&lt;6,MOD(B139+C139,1),0)
),"00")
&amp; ":" &amp;
TEXT(MINUTE(
  NETWORKDAYS(B139,V139)-1
  + IF(WEEKDAY(V139,2)&lt;6,MOD(V139+W139,1),0)
  - IF(WEEKDAY(B139,2)&lt;6,MOD(B139+C139,1),0)
),"00")</f>
        <v>0:22:09</v>
      </c>
      <c r="AQ139" s="0" t="n">
        <f aca="false">IFERROR(
LEFT(AP139,FIND(":",AP139)-1)
+ MID(AP139,FIND(":",AP139)+1,2)/24
+ RIGHT(AP139,2)/1440,
"")</f>
        <v>0.922916666666667</v>
      </c>
      <c r="AR139" s="0" t="n">
        <f aca="false">WEEKNUM(B139,1)</f>
        <v>5</v>
      </c>
      <c r="AS139" s="17" t="n">
        <f aca="false">IF(B139&gt;0, (B139+C139)-TIME(13,30,0), "")</f>
        <v>46052.675</v>
      </c>
      <c r="AT139" s="18" t="n">
        <f aca="false">IF(B139&gt;0, (B139+C139)-TIME(13,30,0), "")</f>
        <v>46052.675</v>
      </c>
      <c r="AU139" s="17" t="n">
        <f aca="false">IF(V139&gt;0, (V139+W139)-TIME(13,30,0), "")</f>
        <v>46055.3611111111</v>
      </c>
      <c r="AV139" s="18" t="n">
        <f aca="false">IF(V139&gt;0, (V139+W139)-TIME(13,30,0), "")</f>
        <v>46055.3611111111</v>
      </c>
      <c r="AW139" s="19" t="n">
        <f aca="false">24*(
MAX(0,
IF(NETWORKDAYS(AS139,AU139)=1,
MIN(MOD(AV139,1),TIME(17,30,0)) - MAX(MOD(AT139,1),TIME(8,30,0)),
(TIME(17,30,0)-MAX(MOD(AT139,1),TIME(8,30,0)))
+ (MIN(MOD(AV139,1),TIME(17,30,0))-TIME(8,30,0))
+ (NETWORKDAYS(AS139,AU139)-2)*9/24
)
)
)</f>
        <v>1.46666666666667</v>
      </c>
      <c r="AX139" s="19" t="n">
        <f aca="false">24*(
MAX(0,
IF(NETWORKDAYS(AS139,AU139)=1,
MIN(MOD(AV139,1),TIME(17,30,0)) - MAX(MOD(AT139,1),TIME(8,30,0)),
(TIME(17,30,0)-MAX(MOD(AT139,1),TIME(8,30,0)))
+ (MIN(MOD(AV139,1),TIME(17,30,0))-TIME(8,30,0))
+ (NETWORKDAYS(AS139,AU139)-2)* (TIME(17,30,0)-TIME(8,30,0))
)
)
)</f>
        <v>1.46666666666667</v>
      </c>
      <c r="AY139" s="20" t="n">
        <f aca="false">ROUND(
IF(AS139=AU139,
MAX(0,
(MIN(MOD(AV139,1),TIME(17,30,0))-
MAX(MOD(AT139,1),TIME(8,30,0)))*24
),
(
(MAX(0,TIME(17,30,0)-MAX(MOD(AT139,1),TIME(8,30,0)))*24)
+
(MAX(0,MIN(MOD(AV139,1),TIME(17,30,0))-TIME(8,30,0))*24)
+
(MAX(0,NETWORKDAYS(AS139+1,AU139-1))*9)
)
),
2)</f>
        <v>1.47</v>
      </c>
      <c r="AZ139" s="0" t="n">
        <f aca="false" t="array" ref="AZ139:AZ139">_xlfn.XLOOKUP(J139,{"Low","Medium","High"},{270,72,24})</f>
        <v>270</v>
      </c>
      <c r="BA139" s="0" t="str">
        <f aca="false">IF(AW139&gt;AZ139,"Not Met","Met")</f>
        <v>Met</v>
      </c>
      <c r="BB139" s="21" t="str">
        <f aca="false">IF(AS139="","",TEXT(AS139,"MMM")&amp;"'"&amp;TEXT(AS139,"yy"))</f>
        <v>Jan'26</v>
      </c>
      <c r="BC139" s="0" t="str">
        <f aca="false">IF(AU139="","",TEXT(AU139,"MMM")&amp;"'"&amp;TEXT(AU139,"yy"))</f>
        <v>Feb'26</v>
      </c>
    </row>
    <row r="140" customFormat="false" ht="15" hidden="false" customHeight="false" outlineLevel="0" collapsed="false">
      <c r="A140" s="23" t="s">
        <v>564</v>
      </c>
      <c r="B140" s="24" t="n">
        <v>46056</v>
      </c>
      <c r="C140" s="12" t="n">
        <v>0.982638888888889</v>
      </c>
      <c r="D140" s="13" t="str">
        <f aca="false">IF(B140="","",TEXT(B140,"MMM")&amp;"'"&amp;TEXT(B140,"yy"))</f>
        <v>Feb'26</v>
      </c>
      <c r="E140" s="27" t="s">
        <v>55</v>
      </c>
      <c r="F140" s="1" t="s">
        <v>39</v>
      </c>
      <c r="G140" s="1" t="str">
        <f aca="false">IF(F140="Closed","Closed","Pending")</f>
        <v>Closed</v>
      </c>
      <c r="H140" s="1" t="s">
        <v>72</v>
      </c>
      <c r="I140" s="1" t="s">
        <v>565</v>
      </c>
      <c r="J140" s="35" t="s">
        <v>74</v>
      </c>
      <c r="K140" s="1" t="s">
        <v>59</v>
      </c>
      <c r="L140" s="29" t="s">
        <v>566</v>
      </c>
      <c r="M140" s="29" t="s">
        <v>567</v>
      </c>
      <c r="N140" s="1" t="s">
        <v>62</v>
      </c>
      <c r="O140" s="1" t="s">
        <v>77</v>
      </c>
      <c r="Q140" s="1" t="s">
        <v>86</v>
      </c>
      <c r="R140" s="1" t="s">
        <v>87</v>
      </c>
      <c r="U140" s="25" t="n">
        <v>46057.0173611111</v>
      </c>
      <c r="V140" s="11" t="n">
        <v>46058</v>
      </c>
      <c r="W140" s="12" t="n">
        <v>0.0472222222222222</v>
      </c>
      <c r="X140" s="11" t="n">
        <v>46063</v>
      </c>
      <c r="Y140" s="12" t="n">
        <v>0.0430555555555556</v>
      </c>
      <c r="Z140" s="1" t="s">
        <v>67</v>
      </c>
      <c r="AB140" s="2" t="n">
        <v>0.0347222222222222</v>
      </c>
      <c r="AC140" s="14" t="n">
        <f aca="false">(V140+W140)-(B140+C140)</f>
        <v>1.06458333333333</v>
      </c>
      <c r="AD140" s="4" t="str">
        <f aca="false">INT((V140+W140)-(B140+C140)) &amp; ":" &amp;
TEXT(HOUR((V140+W140)-(B140+C140)), "00") &amp; ":" &amp;
TEXT(MINUTE((V140+W140)-(B140+C140)), "00")</f>
        <v>1:01:33</v>
      </c>
      <c r="AE140" s="1" t="n">
        <f aca="false">IFERROR(
LEFT(AD140,FIND(":",AD140)-1)
+ MID(AD140,FIND(":",AD140)+1,2)/24
+ RIGHT(AD140,2)/1440,
"")</f>
        <v>1.06458333333333</v>
      </c>
      <c r="AF140" s="4" t="str">
        <f aca="false">INT((X140+Y140)-(B140+C140)) &amp; ":" &amp;
TEXT(HOUR((X140+Y140)-(B140+C140)), "00") &amp; ":" &amp;
TEXT(MINUTE((X140+Y140)-(B140+C140)), "00")</f>
        <v>6:01:27</v>
      </c>
      <c r="AG140" s="4" t="str">
        <f aca="false" t="array" ref="AG140:AG140">INT(_xlfn.XLOOKUP(J140,{"Low","Medium","High","Urgent"},{48,24,12,8})/24) &amp; ":" &amp;
TEXT(MOD(_xlfn.XLOOKUP(J140,{"Low","Medium","High","Urgent"},{48,24,12,8}),24)/24,"hh:mm")</f>
        <v>2:00:00</v>
      </c>
      <c r="AH140" s="4" t="str">
        <f aca="false">IF(AD140&gt;AG140,"Not Met","Met")</f>
        <v>Met</v>
      </c>
      <c r="AI140" s="4" t="str">
        <f aca="false">IF(AB140&lt;TIME(0,30,0),"Met","Not Met")</f>
        <v>Not Met</v>
      </c>
      <c r="AN140" s="1" t="str">
        <f aca="false">TEXT(B140,"dd")</f>
        <v>03</v>
      </c>
      <c r="AO140" s="1" t="str">
        <f aca="false">TEXT(X140,"dd")</f>
        <v>10</v>
      </c>
      <c r="AP140" s="16" t="str">
        <f aca="false">INT(
  NETWORKDAYS(B140,V140)-1
  + IF(WEEKDAY(V140,2)&lt;6,MOD(V140+W140,1),0)
  - IF(WEEKDAY(B140,2)&lt;6,MOD(B140+C140,1),0)
)
&amp; ":" &amp;
TEXT(HOUR(
  NETWORKDAYS(B140,V140)-1
  + IF(WEEKDAY(V140,2)&lt;6,MOD(V140+W140,1),0)
  - IF(WEEKDAY(B140,2)&lt;6,MOD(B140+C140,1),0)
),"00")
&amp; ":" &amp;
TEXT(MINUTE(
  NETWORKDAYS(B140,V140)-1
  + IF(WEEKDAY(V140,2)&lt;6,MOD(V140+W140,1),0)
  - IF(WEEKDAY(B140,2)&lt;6,MOD(B140+C140,1),0)
),"00")</f>
        <v>1:01:32</v>
      </c>
      <c r="AQ140" s="0" t="n">
        <f aca="false">IFERROR(
LEFT(AP140,FIND(":",AP140)-1)
+ MID(AP140,FIND(":",AP140)+1,2)/24
+ RIGHT(AP140,2)/1440,
"")</f>
        <v>1.06388888888889</v>
      </c>
      <c r="AR140" s="0" t="n">
        <f aca="false">WEEKNUM(B140,1)</f>
        <v>6</v>
      </c>
      <c r="AS140" s="17" t="n">
        <f aca="false">IF(B140&gt;0, (B140+C140)-TIME(13,30,0), "")</f>
        <v>46056.4201388889</v>
      </c>
      <c r="AT140" s="18" t="n">
        <f aca="false">IF(B140&gt;0, (B140+C140)-TIME(13,30,0), "")</f>
        <v>46056.4201388889</v>
      </c>
      <c r="AU140" s="17" t="n">
        <f aca="false">IF(V140&gt;0, (V140+W140)-TIME(13,30,0), "")</f>
        <v>46057.4847222222</v>
      </c>
      <c r="AV140" s="18" t="n">
        <f aca="false">IF(V140&gt;0, (V140+W140)-TIME(13,30,0), "")</f>
        <v>46057.4847222222</v>
      </c>
      <c r="AW140" s="19" t="n">
        <f aca="false">24*(
MAX(0,
IF(NETWORKDAYS(AS140,AU140)=1,
MIN(MOD(AV140,1),TIME(17,30,0)) - MAX(MOD(AT140,1),TIME(8,30,0)),
(TIME(17,30,0)-MAX(MOD(AT140,1),TIME(8,30,0)))
+ (MIN(MOD(AV140,1),TIME(17,30,0))-TIME(8,30,0))
+ (NETWORKDAYS(AS140,AU140)-2)*9/24
)
)
)</f>
        <v>10.55</v>
      </c>
      <c r="AX140" s="19" t="n">
        <f aca="false">24*(
MAX(0,
IF(NETWORKDAYS(AS140,AU140)=1,
MIN(MOD(AV140,1),TIME(17,30,0)) - MAX(MOD(AT140,1),TIME(8,30,0)),
(TIME(17,30,0)-MAX(MOD(AT140,1),TIME(8,30,0)))
+ (MIN(MOD(AV140,1),TIME(17,30,0))-TIME(8,30,0))
+ (NETWORKDAYS(AS140,AU140)-2)* (TIME(17,30,0)-TIME(8,30,0))
)
)
)</f>
        <v>10.55</v>
      </c>
      <c r="AY140" s="20" t="n">
        <f aca="false">ROUND(
IF(AS140=AU140,
MAX(0,
(MIN(MOD(AV140,1),TIME(17,30,0))-
MAX(MOD(AT140,1),TIME(8,30,0)))*24
),
(
(MAX(0,TIME(17,30,0)-MAX(MOD(AT140,1),TIME(8,30,0)))*24)
+
(MAX(0,MIN(MOD(AV140,1),TIME(17,30,0))-TIME(8,30,0))*24)
+
(MAX(0,NETWORKDAYS(AS140+1,AU140-1))*9)
)
),
2)</f>
        <v>10.55</v>
      </c>
      <c r="AZ140" s="0" t="n">
        <f aca="false" t="array" ref="AZ140:AZ140">_xlfn.XLOOKUP(J140,{"Low","Medium","High"},{270,72,24})</f>
        <v>270</v>
      </c>
      <c r="BA140" s="0" t="str">
        <f aca="false">IF(AW140&gt;AZ140,"Not Met","Met")</f>
        <v>Met</v>
      </c>
      <c r="BB140" s="21" t="str">
        <f aca="false">IF(AS140="","",TEXT(AS140,"MMM")&amp;"'"&amp;TEXT(AS140,"yy"))</f>
        <v>Feb'26</v>
      </c>
      <c r="BC140" s="0" t="str">
        <f aca="false">IF(AU140="","",TEXT(AU140,"MMM")&amp;"'"&amp;TEXT(AU140,"yy"))</f>
        <v>Feb'26</v>
      </c>
    </row>
    <row r="141" customFormat="false" ht="15" hidden="false" customHeight="false" outlineLevel="0" collapsed="false">
      <c r="A141" s="23" t="s">
        <v>568</v>
      </c>
      <c r="B141" s="24" t="n">
        <v>46057</v>
      </c>
      <c r="C141" s="12" t="n">
        <v>0.0472222222222222</v>
      </c>
      <c r="D141" s="13" t="str">
        <f aca="false">IF(B141="","",TEXT(B141,"MMM")&amp;"'"&amp;TEXT(B141,"yy"))</f>
        <v>Feb'26</v>
      </c>
      <c r="E141" s="27" t="s">
        <v>55</v>
      </c>
      <c r="F141" s="1" t="s">
        <v>39</v>
      </c>
      <c r="G141" s="1" t="str">
        <f aca="false">IF(F141="Closed","Closed","Pending")</f>
        <v>Closed</v>
      </c>
      <c r="H141" s="1" t="s">
        <v>120</v>
      </c>
      <c r="I141" s="1" t="s">
        <v>210</v>
      </c>
      <c r="J141" s="35" t="s">
        <v>74</v>
      </c>
      <c r="K141" s="1" t="s">
        <v>59</v>
      </c>
      <c r="L141" s="1" t="s">
        <v>569</v>
      </c>
      <c r="M141" s="1" t="s">
        <v>570</v>
      </c>
      <c r="N141" s="1" t="s">
        <v>65</v>
      </c>
      <c r="O141" s="1" t="s">
        <v>106</v>
      </c>
      <c r="Q141" s="1" t="s">
        <v>65</v>
      </c>
      <c r="R141" s="1" t="s">
        <v>426</v>
      </c>
      <c r="U141" s="12" t="n">
        <v>0.0493055555555556</v>
      </c>
      <c r="V141" s="11" t="n">
        <v>46057</v>
      </c>
      <c r="W141" s="12" t="n">
        <v>0.999305555555556</v>
      </c>
      <c r="X141" s="11" t="n">
        <v>46058</v>
      </c>
      <c r="Y141" s="12" t="n">
        <v>0.0534722222222222</v>
      </c>
      <c r="Z141" s="1" t="s">
        <v>67</v>
      </c>
      <c r="AA141" s="1" t="s">
        <v>68</v>
      </c>
      <c r="AB141" s="2" t="e">
        <f aca="false">U141-#REF!</f>
        <v>#REF!</v>
      </c>
      <c r="AC141" s="14" t="n">
        <f aca="false">(V141+W141)-(B141+C141)</f>
        <v>0.952083333333333</v>
      </c>
      <c r="AD141" s="4" t="str">
        <f aca="false">INT((V141+W141)-(B141+C141)) &amp; ":" &amp;
TEXT(HOUR((V141+W141)-(B141+C141)), "00") &amp; ":" &amp;
TEXT(MINUTE((V141+W141)-(B141+C141)), "00")</f>
        <v>0:22:51</v>
      </c>
      <c r="AE141" s="1" t="n">
        <f aca="false">IFERROR(
LEFT(AD141,FIND(":",AD141)-1)
+ MID(AD141,FIND(":",AD141)+1,2)/24
+ RIGHT(AD141,2)/1440,
"")</f>
        <v>0.952083333333333</v>
      </c>
      <c r="AF141" s="4" t="str">
        <f aca="false">INT((X141+Y141)-(B141+C141)) &amp; ":" &amp;
TEXT(HOUR((X141+Y141)-(B141+C141)), "00") &amp; ":" &amp;
TEXT(MINUTE((X141+Y141)-(B141+C141)), "00")</f>
        <v>1:00:09</v>
      </c>
      <c r="AG141" s="4" t="str">
        <f aca="false" t="array" ref="AG141:AG141">INT(_xlfn.XLOOKUP(J141,{"Low","Medium","High","Urgent"},{48,24,12,8})/24) &amp; ":" &amp;
TEXT(MOD(_xlfn.XLOOKUP(J141,{"Low","Medium","High","Urgent"},{48,24,12,8}),24)/24,"hh:mm")</f>
        <v>2:00:00</v>
      </c>
      <c r="AH141" s="4" t="str">
        <f aca="false">IF(AD141&gt;AG141,"Not Met","Met")</f>
        <v>Met</v>
      </c>
      <c r="AI141" s="4" t="e">
        <f aca="false">IF(AB141&lt;TIME(0,30,0),"Met","Not Met")</f>
        <v>#REF!</v>
      </c>
      <c r="AN141" s="1" t="str">
        <f aca="false">TEXT(B141,"dd")</f>
        <v>04</v>
      </c>
      <c r="AO141" s="1" t="str">
        <f aca="false">TEXT(X141,"dd")</f>
        <v>05</v>
      </c>
      <c r="AP141" s="16" t="str">
        <f aca="false">INT(
  NETWORKDAYS(B141,V141)-1
  + IF(WEEKDAY(V141,2)&lt;6,MOD(V141+W141,1),0)
  - IF(WEEKDAY(B141,2)&lt;6,MOD(B141+C141,1),0)
)
&amp; ":" &amp;
TEXT(HOUR(
  NETWORKDAYS(B141,V141)-1
  + IF(WEEKDAY(V141,2)&lt;6,MOD(V141+W141,1),0)
  - IF(WEEKDAY(B141,2)&lt;6,MOD(B141+C141,1),0)
),"00")
&amp; ":" &amp;
TEXT(MINUTE(
  NETWORKDAYS(B141,V141)-1
  + IF(WEEKDAY(V141,2)&lt;6,MOD(V141+W141,1),0)
  - IF(WEEKDAY(B141,2)&lt;6,MOD(B141+C141,1),0)
),"00")</f>
        <v>0:22:50</v>
      </c>
      <c r="AQ141" s="0" t="n">
        <f aca="false">IFERROR(
LEFT(AP141,FIND(":",AP141)-1)
+ MID(AP141,FIND(":",AP141)+1,2)/24
+ RIGHT(AP141,2)/1440,
"")</f>
        <v>0.951388888888889</v>
      </c>
      <c r="AR141" s="0" t="n">
        <f aca="false">WEEKNUM(B141,1)</f>
        <v>6</v>
      </c>
      <c r="AS141" s="17" t="n">
        <f aca="false">IF(B141&gt;0, (B141+C141)-TIME(13,30,0), "")</f>
        <v>46056.4847222222</v>
      </c>
      <c r="AT141" s="18" t="n">
        <f aca="false">IF(B141&gt;0, (B141+C141)-TIME(13,30,0), "")</f>
        <v>46056.4847222222</v>
      </c>
      <c r="AU141" s="17" t="n">
        <f aca="false">IF(V141&gt;0, (V141+W141)-TIME(13,30,0), "")</f>
        <v>46057.4368055556</v>
      </c>
      <c r="AV141" s="18" t="n">
        <f aca="false">IF(V141&gt;0, (V141+W141)-TIME(13,30,0), "")</f>
        <v>46057.4368055556</v>
      </c>
      <c r="AW141" s="19" t="n">
        <f aca="false">24*(
MAX(0,
IF(NETWORKDAYS(AS141,AU141)=1,
MIN(MOD(AV141,1),TIME(17,30,0)) - MAX(MOD(AT141,1),TIME(8,30,0)),
(TIME(17,30,0)-MAX(MOD(AT141,1),TIME(8,30,0)))
+ (MIN(MOD(AV141,1),TIME(17,30,0))-TIME(8,30,0))
+ (NETWORKDAYS(AS141,AU141)-2)*9/24
)
)
)</f>
        <v>7.85</v>
      </c>
      <c r="AX141" s="19" t="n">
        <f aca="false">24*(
MAX(0,
IF(NETWORKDAYS(AS141,AU141)=1,
MIN(MOD(AV141,1),TIME(17,30,0)) - MAX(MOD(AT141,1),TIME(8,30,0)),
(TIME(17,30,0)-MAX(MOD(AT141,1),TIME(8,30,0)))
+ (MIN(MOD(AV141,1),TIME(17,30,0))-TIME(8,30,0))
+ (NETWORKDAYS(AS141,AU141)-2)* (TIME(17,30,0)-TIME(8,30,0))
)
)
)</f>
        <v>7.85</v>
      </c>
      <c r="AY141" s="20" t="n">
        <f aca="false">ROUND(
IF(AS141=AU141,
MAX(0,
(MIN(MOD(AV141,1),TIME(17,30,0))-
MAX(MOD(AT141,1),TIME(8,30,0)))*24
),
(
(MAX(0,TIME(17,30,0)-MAX(MOD(AT141,1),TIME(8,30,0)))*24)
+
(MAX(0,MIN(MOD(AV141,1),TIME(17,30,0))-TIME(8,30,0))*24)
+
(MAX(0,NETWORKDAYS(AS141+1,AU141-1))*9)
)
),
2)</f>
        <v>7.85</v>
      </c>
      <c r="AZ141" s="0" t="n">
        <f aca="false" t="array" ref="AZ141:AZ141">_xlfn.XLOOKUP(J141,{"Low","Medium","High"},{270,72,24})</f>
        <v>270</v>
      </c>
      <c r="BA141" s="0" t="str">
        <f aca="false">IF(AW141&gt;AZ141,"Not Met","Met")</f>
        <v>Met</v>
      </c>
      <c r="BB141" s="21" t="str">
        <f aca="false">IF(AS141="","",TEXT(AS141,"MMM")&amp;"'"&amp;TEXT(AS141,"yy"))</f>
        <v>Feb'26</v>
      </c>
      <c r="BC141" s="0" t="str">
        <f aca="false">IF(AU141="","",TEXT(AU141,"MMM")&amp;"'"&amp;TEXT(AU141,"yy"))</f>
        <v>Feb'26</v>
      </c>
    </row>
    <row r="142" customFormat="false" ht="15" hidden="false" customHeight="false" outlineLevel="0" collapsed="false">
      <c r="A142" s="23" t="s">
        <v>571</v>
      </c>
      <c r="B142" s="24" t="n">
        <v>46057</v>
      </c>
      <c r="C142" s="12" t="n">
        <v>0.0944444444444444</v>
      </c>
      <c r="D142" s="13" t="str">
        <f aca="false">IF(B142="","",TEXT(B142,"MMM")&amp;"'"&amp;TEXT(B142,"yy"))</f>
        <v>Feb'26</v>
      </c>
      <c r="E142" s="27" t="s">
        <v>55</v>
      </c>
      <c r="F142" s="1" t="s">
        <v>39</v>
      </c>
      <c r="G142" s="1" t="str">
        <f aca="false">IF(F142="Closed","Closed","Pending")</f>
        <v>Closed</v>
      </c>
      <c r="H142" s="1" t="s">
        <v>185</v>
      </c>
      <c r="I142" s="26" t="s">
        <v>186</v>
      </c>
      <c r="J142" s="40" t="s">
        <v>74</v>
      </c>
      <c r="K142" s="1" t="s">
        <v>59</v>
      </c>
      <c r="L142" s="1" t="s">
        <v>572</v>
      </c>
      <c r="M142" s="1" t="s">
        <v>573</v>
      </c>
      <c r="N142" s="1" t="s">
        <v>62</v>
      </c>
      <c r="O142" s="1" t="s">
        <v>63</v>
      </c>
      <c r="Q142" s="1" t="s">
        <v>229</v>
      </c>
      <c r="R142" s="1" t="s">
        <v>66</v>
      </c>
      <c r="U142" s="12" t="n">
        <v>0.0979166666666667</v>
      </c>
      <c r="V142" s="11" t="n">
        <v>46057</v>
      </c>
      <c r="W142" s="12" t="n">
        <v>0.117361111111111</v>
      </c>
      <c r="X142" s="11" t="n">
        <v>46059</v>
      </c>
      <c r="Y142" s="12" t="n">
        <v>0.102083333333333</v>
      </c>
      <c r="Z142" s="1" t="s">
        <v>574</v>
      </c>
      <c r="AA142" s="1" t="s">
        <v>68</v>
      </c>
      <c r="AB142" s="2" t="e">
        <f aca="false">U142-#REF!</f>
        <v>#REF!</v>
      </c>
      <c r="AC142" s="14" t="n">
        <f aca="false">(V142+W142)-(B142+C142)</f>
        <v>0.0229166666666667</v>
      </c>
      <c r="AD142" s="4" t="str">
        <f aca="false">INT((V142+W142)-(B142+C142)) &amp; ":" &amp;
TEXT(HOUR((V142+W142)-(B142+C142)), "00") &amp; ":" &amp;
TEXT(MINUTE((V142+W142)-(B142+C142)), "00")</f>
        <v>0:00:33</v>
      </c>
      <c r="AE142" s="1" t="n">
        <f aca="false">IFERROR(
LEFT(AD142,FIND(":",AD142)-1)
+ MID(AD142,FIND(":",AD142)+1,2)/24
+ RIGHT(AD142,2)/1440,
"")</f>
        <v>0.0229166666666667</v>
      </c>
      <c r="AF142" s="4" t="str">
        <f aca="false">INT((X142+Y142)-(B142+C142)) &amp; ":" &amp;
TEXT(HOUR((X142+Y142)-(B142+C142)), "00") &amp; ":" &amp;
TEXT(MINUTE((X142+Y142)-(B142+C142)), "00")</f>
        <v>2:00:11</v>
      </c>
      <c r="AG142" s="4" t="str">
        <f aca="false" t="array" ref="AG142:AG142">INT(_xlfn.XLOOKUP(J142,{"Low","Medium","High","Urgent"},{48,24,12,8})/24) &amp; ":" &amp;
TEXT(MOD(_xlfn.XLOOKUP(J142,{"Low","Medium","High","Urgent"},{48,24,12,8}),24)/24,"hh:mm")</f>
        <v>2:00:00</v>
      </c>
      <c r="AH142" s="4" t="str">
        <f aca="false">IF(AD142&gt;AG142,"Not Met","Met")</f>
        <v>Met</v>
      </c>
      <c r="AI142" s="4" t="e">
        <f aca="false">IF(AB142&lt;TIME(0,30,0),"Met","Not Met")</f>
        <v>#REF!</v>
      </c>
      <c r="AN142" s="1" t="str">
        <f aca="false">TEXT(B142,"dd")</f>
        <v>04</v>
      </c>
      <c r="AO142" s="1" t="str">
        <f aca="false">TEXT(X142,"dd")</f>
        <v>06</v>
      </c>
      <c r="AP142" s="16" t="str">
        <f aca="false">INT(
  NETWORKDAYS(B142,V142)-1
  + IF(WEEKDAY(V142,2)&lt;6,MOD(V142+W142,1),0)
  - IF(WEEKDAY(B142,2)&lt;6,MOD(B142+C142,1),0)
)
&amp; ":" &amp;
TEXT(HOUR(
  NETWORKDAYS(B142,V142)-1
  + IF(WEEKDAY(V142,2)&lt;6,MOD(V142+W142,1),0)
  - IF(WEEKDAY(B142,2)&lt;6,MOD(B142+C142,1),0)
),"00")
&amp; ":" &amp;
TEXT(MINUTE(
  NETWORKDAYS(B142,V142)-1
  + IF(WEEKDAY(V142,2)&lt;6,MOD(V142+W142,1),0)
  - IF(WEEKDAY(B142,2)&lt;6,MOD(B142+C142,1),0)
),"00")</f>
        <v>0:00:32</v>
      </c>
      <c r="AQ142" s="0" t="n">
        <f aca="false">IFERROR(
LEFT(AP142,FIND(":",AP142)-1)
+ MID(AP142,FIND(":",AP142)+1,2)/24
+ RIGHT(AP142,2)/1440,
"")</f>
        <v>0.0222222222222222</v>
      </c>
      <c r="AR142" s="0" t="n">
        <f aca="false">WEEKNUM(B142,1)</f>
        <v>6</v>
      </c>
      <c r="AS142" s="17" t="n">
        <f aca="false">IF(B142&gt;0, (B142+C142)-TIME(13,30,0), "")</f>
        <v>46056.5319444445</v>
      </c>
      <c r="AT142" s="18" t="n">
        <f aca="false">IF(B142&gt;0, (B142+C142)-TIME(13,30,0), "")</f>
        <v>46056.5319444445</v>
      </c>
      <c r="AU142" s="17" t="n">
        <f aca="false">IF(V142&gt;0, (V142+W142)-TIME(13,30,0), "")</f>
        <v>46056.5548611111</v>
      </c>
      <c r="AV142" s="18" t="n">
        <f aca="false">IF(V142&gt;0, (V142+W142)-TIME(13,30,0), "")</f>
        <v>46056.5548611111</v>
      </c>
      <c r="AW142" s="19" t="n">
        <f aca="false">24*(
MAX(0,
IF(NETWORKDAYS(AS142,AU142)=1,
MIN(MOD(AV142,1),TIME(17,30,0)) - MAX(MOD(AT142,1),TIME(8,30,0)),
(TIME(17,30,0)-MAX(MOD(AT142,1),TIME(8,30,0)))
+ (MIN(MOD(AV142,1),TIME(17,30,0))-TIME(8,30,0))
+ (NETWORKDAYS(AS142,AU142)-2)*9/24
)
)
)</f>
        <v>0.549999999871943</v>
      </c>
      <c r="AX142" s="19" t="n">
        <f aca="false">24*(
MAX(0,
IF(NETWORKDAYS(AS142,AU142)=1,
MIN(MOD(AV142,1),TIME(17,30,0)) - MAX(MOD(AT142,1),TIME(8,30,0)),
(TIME(17,30,0)-MAX(MOD(AT142,1),TIME(8,30,0)))
+ (MIN(MOD(AV142,1),TIME(17,30,0))-TIME(8,30,0))
+ (NETWORKDAYS(AS142,AU142)-2)* (TIME(17,30,0)-TIME(8,30,0))
)
)
)</f>
        <v>0.549999999871943</v>
      </c>
      <c r="AY142" s="20" t="n">
        <f aca="false">ROUND(
IF(AS142=AU142,
MAX(0,
(MIN(MOD(AV142,1),TIME(17,30,0))-
MAX(MOD(AT142,1),TIME(8,30,0)))*24
),
(
(MAX(0,TIME(17,30,0)-MAX(MOD(AT142,1),TIME(8,30,0)))*24)
+
(MAX(0,MIN(MOD(AV142,1),TIME(17,30,0))-TIME(8,30,0))*24)
+
(MAX(0,NETWORKDAYS(AS142+1,AU142-1))*9)
)
),
2)</f>
        <v>9.55</v>
      </c>
      <c r="AZ142" s="0" t="n">
        <f aca="false" t="array" ref="AZ142:AZ142">_xlfn.XLOOKUP(J142,{"Low","Medium","High"},{270,72,24})</f>
        <v>270</v>
      </c>
      <c r="BA142" s="0" t="str">
        <f aca="false">IF(AW142&gt;AZ142,"Not Met","Met")</f>
        <v>Met</v>
      </c>
      <c r="BB142" s="21" t="str">
        <f aca="false">IF(AS142="","",TEXT(AS142,"MMM")&amp;"'"&amp;TEXT(AS142,"yy"))</f>
        <v>Feb'26</v>
      </c>
      <c r="BC142" s="0" t="str">
        <f aca="false">IF(AU142="","",TEXT(AU142,"MMM")&amp;"'"&amp;TEXT(AU142,"yy"))</f>
        <v>Feb'26</v>
      </c>
    </row>
    <row r="143" customFormat="false" ht="15" hidden="false" customHeight="false" outlineLevel="0" collapsed="false">
      <c r="A143" s="23" t="s">
        <v>575</v>
      </c>
      <c r="B143" s="24" t="n">
        <v>46057</v>
      </c>
      <c r="C143" s="12" t="n">
        <v>0.164583333333333</v>
      </c>
      <c r="D143" s="13" t="str">
        <f aca="false">IF(B143="","",TEXT(B143,"MMM")&amp;"'"&amp;TEXT(B143,"yy"))</f>
        <v>Feb'26</v>
      </c>
      <c r="E143" s="27" t="s">
        <v>55</v>
      </c>
      <c r="F143" s="1" t="s">
        <v>39</v>
      </c>
      <c r="G143" s="1" t="str">
        <f aca="false">IF(F143="Closed","Closed","Pending")</f>
        <v>Closed</v>
      </c>
      <c r="H143" s="27" t="s">
        <v>56</v>
      </c>
      <c r="I143" s="1" t="s">
        <v>82</v>
      </c>
      <c r="J143" s="1" t="s">
        <v>74</v>
      </c>
      <c r="K143" s="35" t="s">
        <v>59</v>
      </c>
      <c r="L143" s="1" t="s">
        <v>576</v>
      </c>
      <c r="M143" s="1" t="s">
        <v>577</v>
      </c>
      <c r="N143" s="1" t="s">
        <v>62</v>
      </c>
      <c r="O143" s="1" t="s">
        <v>63</v>
      </c>
      <c r="Q143" s="1" t="s">
        <v>229</v>
      </c>
      <c r="R143" s="1" t="s">
        <v>87</v>
      </c>
      <c r="U143" s="12" t="n">
        <v>0.186805555555556</v>
      </c>
      <c r="V143" s="11" t="n">
        <v>46059</v>
      </c>
      <c r="W143" s="12" t="n">
        <v>0.975</v>
      </c>
      <c r="X143" s="11" t="n">
        <v>46060</v>
      </c>
      <c r="Y143" s="12" t="n">
        <v>0.236805555555556</v>
      </c>
      <c r="Z143" s="1" t="s">
        <v>67</v>
      </c>
      <c r="AA143" s="1" t="s">
        <v>68</v>
      </c>
      <c r="AB143" s="2" t="e">
        <f aca="false">U143-#REF!</f>
        <v>#REF!</v>
      </c>
      <c r="AC143" s="14" t="n">
        <f aca="false">(V143+W143)-(B143+C143)</f>
        <v>2.81041666666667</v>
      </c>
      <c r="AD143" s="4" t="str">
        <f aca="false">INT((V143+W143)-(B143+C143)) &amp; ":" &amp;
TEXT(HOUR((V143+W143)-(B143+C143)), "00") &amp; ":" &amp;
TEXT(MINUTE((V143+W143)-(B143+C143)), "00")</f>
        <v>2:19:27</v>
      </c>
      <c r="AE143" s="1" t="n">
        <f aca="false">IFERROR(
LEFT(AD143,FIND(":",AD143)-1)
+ MID(AD143,FIND(":",AD143)+1,2)/24
+ RIGHT(AD143,2)/1440,
"")</f>
        <v>2.81041666666667</v>
      </c>
      <c r="AF143" s="4" t="str">
        <f aca="false">INT((X143+Y143)-(B143+C143)) &amp; ":" &amp;
TEXT(HOUR((X143+Y143)-(B143+C143)), "00") &amp; ":" &amp;
TEXT(MINUTE((X143+Y143)-(B143+C143)), "00")</f>
        <v>3:01:44</v>
      </c>
      <c r="AG143" s="4" t="str">
        <f aca="false" t="array" ref="AG143:AG143">INT(_xlfn.XLOOKUP(J143,{"Low","Medium","High","Urgent"},{48,24,12,8})/24) &amp; ":" &amp;
TEXT(MOD(_xlfn.XLOOKUP(J143,{"Low","Medium","High","Urgent"},{48,24,12,8}),24)/24,"hh:mm")</f>
        <v>2:00:00</v>
      </c>
      <c r="AH143" s="4" t="str">
        <f aca="false">IF(AD143&gt;AG143,"Not Met","Met")</f>
        <v>Not Met</v>
      </c>
      <c r="AI143" s="4" t="e">
        <f aca="false">IF(AB143&lt;TIME(0,30,0),"Met","Not Met")</f>
        <v>#REF!</v>
      </c>
      <c r="AN143" s="1" t="str">
        <f aca="false">TEXT(B143,"dd")</f>
        <v>04</v>
      </c>
      <c r="AO143" s="1" t="str">
        <f aca="false">TEXT(X143,"dd")</f>
        <v>07</v>
      </c>
      <c r="AP143" s="16" t="str">
        <f aca="false">INT(
  NETWORKDAYS(B143,V143)-1
  + IF(WEEKDAY(V143,2)&lt;6,MOD(V143+W143,1),0)
  - IF(WEEKDAY(B143,2)&lt;6,MOD(B143+C143,1),0)
)
&amp; ":" &amp;
TEXT(HOUR(
  NETWORKDAYS(B143,V143)-1
  + IF(WEEKDAY(V143,2)&lt;6,MOD(V143+W143,1),0)
  - IF(WEEKDAY(B143,2)&lt;6,MOD(B143+C143,1),0)
),"00")
&amp; ":" &amp;
TEXT(MINUTE(
  NETWORKDAYS(B143,V143)-1
  + IF(WEEKDAY(V143,2)&lt;6,MOD(V143+W143,1),0)
  - IF(WEEKDAY(B143,2)&lt;6,MOD(B143+C143,1),0)
),"00")</f>
        <v>2:19:27</v>
      </c>
      <c r="AQ143" s="0" t="n">
        <f aca="false">IFERROR(
LEFT(AP143,FIND(":",AP143)-1)
+ MID(AP143,FIND(":",AP143)+1,2)/24
+ RIGHT(AP143,2)/1440,
"")</f>
        <v>2.81041666666667</v>
      </c>
      <c r="AR143" s="0" t="n">
        <f aca="false">WEEKNUM(B143,1)</f>
        <v>6</v>
      </c>
      <c r="AS143" s="17" t="n">
        <f aca="false">IF(B143&gt;0, (B143+C143)-TIME(13,30,0), "")</f>
        <v>46056.6020833333</v>
      </c>
      <c r="AT143" s="18" t="n">
        <f aca="false">IF(B143&gt;0, (B143+C143)-TIME(13,30,0), "")</f>
        <v>46056.6020833333</v>
      </c>
      <c r="AU143" s="17" t="n">
        <f aca="false">IF(V143&gt;0, (V143+W143)-TIME(13,30,0), "")</f>
        <v>46059.4125</v>
      </c>
      <c r="AV143" s="18" t="n">
        <f aca="false">IF(V143&gt;0, (V143+W143)-TIME(13,30,0), "")</f>
        <v>46059.4125</v>
      </c>
      <c r="AW143" s="19" t="n">
        <f aca="false">24*(
MAX(0,
IF(NETWORKDAYS(AS143,AU143)=1,
MIN(MOD(AV143,1),TIME(17,30,0)) - MAX(MOD(AT143,1),TIME(8,30,0)),
(TIME(17,30,0)-MAX(MOD(AT143,1),TIME(8,30,0)))
+ (MIN(MOD(AV143,1),TIME(17,30,0))-TIME(8,30,0))
+ (NETWORKDAYS(AS143,AU143)-2)*9/24
)
)
)</f>
        <v>22.45</v>
      </c>
      <c r="AX143" s="19" t="n">
        <f aca="false">24*(
MAX(0,
IF(NETWORKDAYS(AS143,AU143)=1,
MIN(MOD(AV143,1),TIME(17,30,0)) - MAX(MOD(AT143,1),TIME(8,30,0)),
(TIME(17,30,0)-MAX(MOD(AT143,1),TIME(8,30,0)))
+ (MIN(MOD(AV143,1),TIME(17,30,0))-TIME(8,30,0))
+ (NETWORKDAYS(AS143,AU143)-2)* (TIME(17,30,0)-TIME(8,30,0))
)
)
)</f>
        <v>22.45</v>
      </c>
      <c r="AY143" s="20" t="n">
        <f aca="false">ROUND(
IF(AS143=AU143,
MAX(0,
(MIN(MOD(AV143,1),TIME(17,30,0))-
MAX(MOD(AT143,1),TIME(8,30,0)))*24
),
(
(MAX(0,TIME(17,30,0)-MAX(MOD(AT143,1),TIME(8,30,0)))*24)
+
(MAX(0,MIN(MOD(AV143,1),TIME(17,30,0))-TIME(8,30,0))*24)
+
(MAX(0,NETWORKDAYS(AS143+1,AU143-1))*9)
)
),
2)</f>
        <v>22.45</v>
      </c>
      <c r="AZ143" s="0" t="n">
        <f aca="false" t="array" ref="AZ143:AZ143">_xlfn.XLOOKUP(J143,{"Low","Medium","High"},{270,72,24})</f>
        <v>270</v>
      </c>
      <c r="BA143" s="0" t="str">
        <f aca="false">IF(AW143&gt;AZ143,"Not Met","Met")</f>
        <v>Met</v>
      </c>
      <c r="BB143" s="21" t="str">
        <f aca="false">IF(AS143="","",TEXT(AS143,"MMM")&amp;"'"&amp;TEXT(AS143,"yy"))</f>
        <v>Feb'26</v>
      </c>
      <c r="BC143" s="0" t="str">
        <f aca="false">IF(AU143="","",TEXT(AU143,"MMM")&amp;"'"&amp;TEXT(AU143,"yy"))</f>
        <v>Feb'26</v>
      </c>
    </row>
    <row r="144" customFormat="false" ht="15" hidden="false" customHeight="false" outlineLevel="0" collapsed="false">
      <c r="A144" s="23" t="s">
        <v>578</v>
      </c>
      <c r="B144" s="24" t="n">
        <v>46057</v>
      </c>
      <c r="C144" s="12" t="n">
        <v>0.215277777777778</v>
      </c>
      <c r="D144" s="13" t="str">
        <f aca="false">IF(B144="","",TEXT(B144,"MMM")&amp;"'"&amp;TEXT(B144,"yy"))</f>
        <v>Feb'26</v>
      </c>
      <c r="E144" s="27" t="s">
        <v>55</v>
      </c>
      <c r="F144" s="1" t="s">
        <v>39</v>
      </c>
      <c r="G144" s="1" t="str">
        <f aca="false">IF(F144="Closed","Closed","Pending")</f>
        <v>Closed</v>
      </c>
      <c r="H144" s="27" t="s">
        <v>56</v>
      </c>
      <c r="I144" s="1" t="s">
        <v>82</v>
      </c>
      <c r="J144" s="1" t="s">
        <v>74</v>
      </c>
      <c r="K144" s="35" t="s">
        <v>59</v>
      </c>
      <c r="L144" s="1" t="s">
        <v>579</v>
      </c>
      <c r="M144" s="1" t="s">
        <v>534</v>
      </c>
      <c r="N144" s="1" t="s">
        <v>65</v>
      </c>
      <c r="O144" s="1" t="s">
        <v>106</v>
      </c>
      <c r="Q144" s="1" t="s">
        <v>65</v>
      </c>
      <c r="R144" s="1" t="s">
        <v>87</v>
      </c>
      <c r="U144" s="12" t="n">
        <v>0.21875</v>
      </c>
      <c r="V144" s="11" t="n">
        <v>46058</v>
      </c>
      <c r="W144" s="12" t="n">
        <v>0.977083333333333</v>
      </c>
      <c r="X144" s="11" t="n">
        <v>46059</v>
      </c>
      <c r="Y144" s="12" t="n">
        <v>0.0458333333333333</v>
      </c>
      <c r="Z144" s="1" t="s">
        <v>67</v>
      </c>
      <c r="AA144" s="1" t="s">
        <v>68</v>
      </c>
      <c r="AB144" s="2" t="e">
        <f aca="false">U144-#REF!</f>
        <v>#REF!</v>
      </c>
      <c r="AC144" s="14" t="n">
        <f aca="false">(V144+W144)-(B144+C144)</f>
        <v>1.76180555555556</v>
      </c>
      <c r="AD144" s="4" t="str">
        <f aca="false">INT((V144+W144)-(B144+C144)) &amp; ":" &amp;
TEXT(HOUR((V144+W144)-(B144+C144)), "00") &amp; ":" &amp;
TEXT(MINUTE((V144+W144)-(B144+C144)), "00")</f>
        <v>1:18:17</v>
      </c>
      <c r="AE144" s="1" t="n">
        <f aca="false">IFERROR(
LEFT(AD144,FIND(":",AD144)-1)
+ MID(AD144,FIND(":",AD144)+1,2)/24
+ RIGHT(AD144,2)/1440,
"")</f>
        <v>1.76180555555556</v>
      </c>
      <c r="AF144" s="4" t="str">
        <f aca="false">INT((X144+Y144)-(B144+C144)) &amp; ":" &amp;
TEXT(HOUR((X144+Y144)-(B144+C144)), "00") &amp; ":" &amp;
TEXT(MINUTE((X144+Y144)-(B144+C144)), "00")</f>
        <v>1:19:56</v>
      </c>
      <c r="AG144" s="4" t="str">
        <f aca="false" t="array" ref="AG144:AG144">INT(_xlfn.XLOOKUP(J144,{"Low","Medium","High","Urgent"},{48,24,12,8})/24) &amp; ":" &amp;
TEXT(MOD(_xlfn.XLOOKUP(J144,{"Low","Medium","High","Urgent"},{48,24,12,8}),24)/24,"hh:mm")</f>
        <v>2:00:00</v>
      </c>
      <c r="AH144" s="4" t="str">
        <f aca="false">IF(AD144&gt;AG144,"Not Met","Met")</f>
        <v>Met</v>
      </c>
      <c r="AI144" s="4" t="e">
        <f aca="false">IF(AB144&lt;TIME(0,30,0),"Met","Not Met")</f>
        <v>#REF!</v>
      </c>
      <c r="AN144" s="1" t="str">
        <f aca="false">TEXT(B144,"dd")</f>
        <v>04</v>
      </c>
      <c r="AO144" s="1" t="str">
        <f aca="false">TEXT(X144,"dd")</f>
        <v>06</v>
      </c>
      <c r="AP144" s="16" t="str">
        <f aca="false">INT(
  NETWORKDAYS(B144,V144)-1
  + IF(WEEKDAY(V144,2)&lt;6,MOD(V144+W144,1),0)
  - IF(WEEKDAY(B144,2)&lt;6,MOD(B144+C144,1),0)
)
&amp; ":" &amp;
TEXT(HOUR(
  NETWORKDAYS(B144,V144)-1
  + IF(WEEKDAY(V144,2)&lt;6,MOD(V144+W144,1),0)
  - IF(WEEKDAY(B144,2)&lt;6,MOD(B144+C144,1),0)
),"00")
&amp; ":" &amp;
TEXT(MINUTE(
  NETWORKDAYS(B144,V144)-1
  + IF(WEEKDAY(V144,2)&lt;6,MOD(V144+W144,1),0)
  - IF(WEEKDAY(B144,2)&lt;6,MOD(B144+C144,1),0)
),"00")</f>
        <v>1:18:16</v>
      </c>
      <c r="AQ144" s="0" t="n">
        <f aca="false">IFERROR(
LEFT(AP144,FIND(":",AP144)-1)
+ MID(AP144,FIND(":",AP144)+1,2)/24
+ RIGHT(AP144,2)/1440,
"")</f>
        <v>1.76111111111111</v>
      </c>
      <c r="AR144" s="0" t="n">
        <f aca="false">WEEKNUM(B144,1)</f>
        <v>6</v>
      </c>
      <c r="AS144" s="17" t="n">
        <f aca="false">IF(B144&gt;0, (B144+C144)-TIME(13,30,0), "")</f>
        <v>46056.6527777778</v>
      </c>
      <c r="AT144" s="18" t="n">
        <f aca="false">IF(B144&gt;0, (B144+C144)-TIME(13,30,0), "")</f>
        <v>46056.6527777778</v>
      </c>
      <c r="AU144" s="17" t="n">
        <f aca="false">IF(V144&gt;0, (V144+W144)-TIME(13,30,0), "")</f>
        <v>46058.4145833333</v>
      </c>
      <c r="AV144" s="18" t="n">
        <f aca="false">IF(V144&gt;0, (V144+W144)-TIME(13,30,0), "")</f>
        <v>46058.4145833333</v>
      </c>
      <c r="AW144" s="19" t="n">
        <f aca="false">24*(
MAX(0,
IF(NETWORKDAYS(AS144,AU144)=1,
MIN(MOD(AV144,1),TIME(17,30,0)) - MAX(MOD(AT144,1),TIME(8,30,0)),
(TIME(17,30,0)-MAX(MOD(AT144,1),TIME(8,30,0)))
+ (MIN(MOD(AV144,1),TIME(17,30,0))-TIME(8,30,0))
+ (NETWORKDAYS(AS144,AU144)-2)*9/24
)
)
)</f>
        <v>12.2833333333333</v>
      </c>
      <c r="AX144" s="19" t="n">
        <f aca="false">24*(
MAX(0,
IF(NETWORKDAYS(AS144,AU144)=1,
MIN(MOD(AV144,1),TIME(17,30,0)) - MAX(MOD(AT144,1),TIME(8,30,0)),
(TIME(17,30,0)-MAX(MOD(AT144,1),TIME(8,30,0)))
+ (MIN(MOD(AV144,1),TIME(17,30,0))-TIME(8,30,0))
+ (NETWORKDAYS(AS144,AU144)-2)* (TIME(17,30,0)-TIME(8,30,0))
)
)
)</f>
        <v>12.2833333333333</v>
      </c>
      <c r="AY144" s="20" t="n">
        <f aca="false">ROUND(
IF(AS144=AU144,
MAX(0,
(MIN(MOD(AV144,1),TIME(17,30,0))-
MAX(MOD(AT144,1),TIME(8,30,0)))*24
),
(
(MAX(0,TIME(17,30,0)-MAX(MOD(AT144,1),TIME(8,30,0)))*24)
+
(MAX(0,MIN(MOD(AV144,1),TIME(17,30,0))-TIME(8,30,0))*24)
+
(MAX(0,NETWORKDAYS(AS144+1,AU144-1))*9)
)
),
2)</f>
        <v>12.28</v>
      </c>
      <c r="AZ144" s="0" t="n">
        <f aca="false" t="array" ref="AZ144:AZ144">_xlfn.XLOOKUP(J144,{"Low","Medium","High"},{270,72,24})</f>
        <v>270</v>
      </c>
      <c r="BA144" s="0" t="str">
        <f aca="false">IF(AW144&gt;AZ144,"Not Met","Met")</f>
        <v>Met</v>
      </c>
      <c r="BB144" s="21" t="str">
        <f aca="false">IF(AS144="","",TEXT(AS144,"MMM")&amp;"'"&amp;TEXT(AS144,"yy"))</f>
        <v>Feb'26</v>
      </c>
      <c r="BC144" s="0" t="str">
        <f aca="false">IF(AU144="","",TEXT(AU144,"MMM")&amp;"'"&amp;TEXT(AU144,"yy"))</f>
        <v>Feb'26</v>
      </c>
    </row>
    <row r="145" customFormat="false" ht="15" hidden="false" customHeight="false" outlineLevel="0" collapsed="false">
      <c r="A145" s="23" t="s">
        <v>580</v>
      </c>
      <c r="B145" s="24" t="n">
        <v>46057</v>
      </c>
      <c r="C145" s="12" t="n">
        <v>0.236111111111111</v>
      </c>
      <c r="D145" s="13" t="str">
        <f aca="false">IF(B145="","",TEXT(B145,"MMM")&amp;"'"&amp;TEXT(B145,"yy"))</f>
        <v>Feb'26</v>
      </c>
      <c r="E145" s="27" t="s">
        <v>55</v>
      </c>
      <c r="F145" s="1" t="s">
        <v>39</v>
      </c>
      <c r="G145" s="1" t="str">
        <f aca="false">IF(F145="Closed","Closed","Pending")</f>
        <v>Closed</v>
      </c>
      <c r="H145" s="1" t="s">
        <v>157</v>
      </c>
      <c r="I145" s="42" t="s">
        <v>581</v>
      </c>
      <c r="J145" s="53" t="s">
        <v>74</v>
      </c>
      <c r="K145" s="1" t="s">
        <v>59</v>
      </c>
      <c r="L145" s="1" t="s">
        <v>582</v>
      </c>
      <c r="M145" s="1" t="s">
        <v>361</v>
      </c>
      <c r="N145" s="1" t="s">
        <v>65</v>
      </c>
      <c r="O145" s="1" t="s">
        <v>106</v>
      </c>
      <c r="Q145" s="1" t="s">
        <v>65</v>
      </c>
      <c r="R145" s="1" t="s">
        <v>87</v>
      </c>
      <c r="U145" s="25" t="n">
        <v>46057.9923611111</v>
      </c>
      <c r="V145" s="11" t="n">
        <v>46058</v>
      </c>
      <c r="W145" s="12" t="n">
        <v>0.000694444444444445</v>
      </c>
      <c r="X145" s="11" t="n">
        <v>46058</v>
      </c>
      <c r="Y145" s="12" t="n">
        <v>0.00208333333333333</v>
      </c>
      <c r="Z145" s="1" t="s">
        <v>67</v>
      </c>
      <c r="AA145" s="1" t="s">
        <v>68</v>
      </c>
      <c r="AB145" s="2" t="n">
        <v>0.75625</v>
      </c>
      <c r="AC145" s="14" t="n">
        <f aca="false">(V145+W145)-(B145+C145)</f>
        <v>0.764583333333333</v>
      </c>
      <c r="AD145" s="4" t="str">
        <f aca="false">INT((V145+W145)-(B145+C145)) &amp; ":" &amp;
TEXT(HOUR((V145+W145)-(B145+C145)), "00") &amp; ":" &amp;
TEXT(MINUTE((V145+W145)-(B145+C145)), "00")</f>
        <v>0:18:21</v>
      </c>
      <c r="AE145" s="1" t="n">
        <f aca="false">IFERROR(
LEFT(AD145,FIND(":",AD145)-1)
+ MID(AD145,FIND(":",AD145)+1,2)/24
+ RIGHT(AD145,2)/1440,
"")</f>
        <v>0.764583333333333</v>
      </c>
      <c r="AF145" s="4" t="str">
        <f aca="false">INT((X145+Y145)-(B145+C145)) &amp; ":" &amp;
TEXT(HOUR((X145+Y145)-(B145+C145)), "00") &amp; ":" &amp;
TEXT(MINUTE((X145+Y145)-(B145+C145)), "00")</f>
        <v>0:18:23</v>
      </c>
      <c r="AG145" s="4" t="str">
        <f aca="false" t="array" ref="AG145:AG145">INT(_xlfn.XLOOKUP(J145,{"Low","Medium","High","Urgent"},{48,24,12,8})/24) &amp; ":" &amp;
TEXT(MOD(_xlfn.XLOOKUP(J145,{"Low","Medium","High","Urgent"},{48,24,12,8}),24)/24,"hh:mm")</f>
        <v>2:00:00</v>
      </c>
      <c r="AH145" s="4" t="str">
        <f aca="false">IF(AD145&gt;AG145,"Not Met","Met")</f>
        <v>Met</v>
      </c>
      <c r="AI145" s="4" t="str">
        <f aca="false">IF(AB145&lt;TIME(0,30,0),"Met","Not Met")</f>
        <v>Not Met</v>
      </c>
      <c r="AN145" s="1" t="str">
        <f aca="false">TEXT(B145,"dd")</f>
        <v>04</v>
      </c>
      <c r="AO145" s="1" t="str">
        <f aca="false">TEXT(X145,"dd")</f>
        <v>05</v>
      </c>
      <c r="AP145" s="16" t="str">
        <f aca="false">INT(
  NETWORKDAYS(B145,V145)-1
  + IF(WEEKDAY(V145,2)&lt;6,MOD(V145+W145,1),0)
  - IF(WEEKDAY(B145,2)&lt;6,MOD(B145+C145,1),0)
)
&amp; ":" &amp;
TEXT(HOUR(
  NETWORKDAYS(B145,V145)-1
  + IF(WEEKDAY(V145,2)&lt;6,MOD(V145+W145,1),0)
  - IF(WEEKDAY(B145,2)&lt;6,MOD(B145+C145,1),0)
),"00")
&amp; ":" &amp;
TEXT(MINUTE(
  NETWORKDAYS(B145,V145)-1
  + IF(WEEKDAY(V145,2)&lt;6,MOD(V145+W145,1),0)
  - IF(WEEKDAY(B145,2)&lt;6,MOD(B145+C145,1),0)
),"00")</f>
        <v>0:18:21</v>
      </c>
      <c r="AQ145" s="0" t="n">
        <f aca="false">IFERROR(
LEFT(AP145,FIND(":",AP145)-1)
+ MID(AP145,FIND(":",AP145)+1,2)/24
+ RIGHT(AP145,2)/1440,
"")</f>
        <v>0.764583333333333</v>
      </c>
      <c r="AR145" s="0" t="n">
        <f aca="false">WEEKNUM(B145,1)</f>
        <v>6</v>
      </c>
      <c r="AS145" s="17" t="n">
        <f aca="false">IF(B145&gt;0, (B145+C145)-TIME(13,30,0), "")</f>
        <v>46056.6736111111</v>
      </c>
      <c r="AT145" s="18" t="n">
        <f aca="false">IF(B145&gt;0, (B145+C145)-TIME(13,30,0), "")</f>
        <v>46056.6736111111</v>
      </c>
      <c r="AU145" s="17" t="n">
        <f aca="false">IF(V145&gt;0, (V145+W145)-TIME(13,30,0), "")</f>
        <v>46057.4381944445</v>
      </c>
      <c r="AV145" s="18" t="n">
        <f aca="false">IF(V145&gt;0, (V145+W145)-TIME(13,30,0), "")</f>
        <v>46057.4381944445</v>
      </c>
      <c r="AW145" s="19" t="n">
        <f aca="false">24*(
MAX(0,
IF(NETWORKDAYS(AS145,AU145)=1,
MIN(MOD(AV145,1),TIME(17,30,0)) - MAX(MOD(AT145,1),TIME(8,30,0)),
(TIME(17,30,0)-MAX(MOD(AT145,1),TIME(8,30,0)))
+ (MIN(MOD(AV145,1),TIME(17,30,0))-TIME(8,30,0))
+ (NETWORKDAYS(AS145,AU145)-2)*9/24
)
)
)</f>
        <v>3.35</v>
      </c>
      <c r="AX145" s="19" t="n">
        <f aca="false">24*(
MAX(0,
IF(NETWORKDAYS(AS145,AU145)=1,
MIN(MOD(AV145,1),TIME(17,30,0)) - MAX(MOD(AT145,1),TIME(8,30,0)),
(TIME(17,30,0)-MAX(MOD(AT145,1),TIME(8,30,0)))
+ (MIN(MOD(AV145,1),TIME(17,30,0))-TIME(8,30,0))
+ (NETWORKDAYS(AS145,AU145)-2)* (TIME(17,30,0)-TIME(8,30,0))
)
)
)</f>
        <v>3.35</v>
      </c>
      <c r="AY145" s="20" t="n">
        <f aca="false">ROUND(
IF(AS145=AU145,
MAX(0,
(MIN(MOD(AV145,1),TIME(17,30,0))-
MAX(MOD(AT145,1),TIME(8,30,0)))*24
),
(
(MAX(0,TIME(17,30,0)-MAX(MOD(AT145,1),TIME(8,30,0)))*24)
+
(MAX(0,MIN(MOD(AV145,1),TIME(17,30,0))-TIME(8,30,0))*24)
+
(MAX(0,NETWORKDAYS(AS145+1,AU145-1))*9)
)
),
2)</f>
        <v>3.35</v>
      </c>
      <c r="AZ145" s="0" t="n">
        <f aca="false" t="array" ref="AZ145:AZ145">_xlfn.XLOOKUP(J145,{"Low","Medium","High"},{270,72,24})</f>
        <v>270</v>
      </c>
      <c r="BA145" s="0" t="str">
        <f aca="false">IF(AW145&gt;AZ145,"Not Met","Met")</f>
        <v>Met</v>
      </c>
      <c r="BB145" s="21" t="str">
        <f aca="false">IF(AS145="","",TEXT(AS145,"MMM")&amp;"'"&amp;TEXT(AS145,"yy"))</f>
        <v>Feb'26</v>
      </c>
      <c r="BC145" s="0" t="str">
        <f aca="false">IF(AU145="","",TEXT(AU145,"MMM")&amp;"'"&amp;TEXT(AU145,"yy"))</f>
        <v>Feb'26</v>
      </c>
    </row>
    <row r="146" customFormat="false" ht="15" hidden="false" customHeight="false" outlineLevel="0" collapsed="false">
      <c r="A146" s="23" t="s">
        <v>583</v>
      </c>
      <c r="B146" s="24" t="n">
        <v>46057</v>
      </c>
      <c r="C146" s="12" t="n">
        <v>0.849305555555556</v>
      </c>
      <c r="D146" s="13" t="str">
        <f aca="false">IF(B146="","",TEXT(B146,"MMM")&amp;"'"&amp;TEXT(B146,"yy"))</f>
        <v>Feb'26</v>
      </c>
      <c r="E146" s="27" t="s">
        <v>55</v>
      </c>
      <c r="F146" s="29" t="s">
        <v>39</v>
      </c>
      <c r="G146" s="38" t="str">
        <f aca="false">IF(F146="Closed","Closed","Pending")</f>
        <v>Closed</v>
      </c>
      <c r="H146" s="54" t="s">
        <v>405</v>
      </c>
      <c r="I146" s="1" t="s">
        <v>168</v>
      </c>
      <c r="J146" s="1" t="s">
        <v>74</v>
      </c>
      <c r="K146" s="35" t="s">
        <v>59</v>
      </c>
      <c r="L146" s="1" t="s">
        <v>584</v>
      </c>
      <c r="M146" s="1" t="s">
        <v>585</v>
      </c>
      <c r="N146" s="1" t="s">
        <v>65</v>
      </c>
      <c r="O146" s="1" t="s">
        <v>106</v>
      </c>
      <c r="Q146" s="1" t="s">
        <v>65</v>
      </c>
      <c r="R146" s="1" t="s">
        <v>426</v>
      </c>
      <c r="U146" s="12" t="n">
        <v>0.99375</v>
      </c>
      <c r="V146" s="11" t="n">
        <v>46058</v>
      </c>
      <c r="W146" s="12" t="n">
        <v>0.983333333333333</v>
      </c>
      <c r="X146" s="11" t="n">
        <v>46059</v>
      </c>
      <c r="Y146" s="12" t="n">
        <v>0.0104166666666667</v>
      </c>
      <c r="Z146" s="1" t="s">
        <v>67</v>
      </c>
      <c r="AA146" s="1" t="s">
        <v>68</v>
      </c>
      <c r="AB146" s="2" t="e">
        <f aca="false">U146-#REF!</f>
        <v>#REF!</v>
      </c>
      <c r="AC146" s="14" t="n">
        <f aca="false">(V146+W146)-(B146+C146)</f>
        <v>1.13402777777778</v>
      </c>
      <c r="AD146" s="4" t="str">
        <f aca="false">INT((V146+W146)-(B146+C146)) &amp; ":" &amp;
TEXT(HOUR((V146+W146)-(B146+C146)), "00") &amp; ":" &amp;
TEXT(MINUTE((V146+W146)-(B146+C146)), "00")</f>
        <v>1:03:13</v>
      </c>
      <c r="AE146" s="1" t="n">
        <f aca="false">IFERROR(
LEFT(AD146,FIND(":",AD146)-1)
+ MID(AD146,FIND(":",AD146)+1,2)/24
+ RIGHT(AD146,2)/1440,
"")</f>
        <v>1.13402777777778</v>
      </c>
      <c r="AF146" s="4" t="str">
        <f aca="false">INT((X146+Y146)-(B146+C146)) &amp; ":" &amp;
TEXT(HOUR((X146+Y146)-(B146+C146)), "00") &amp; ":" &amp;
TEXT(MINUTE((X146+Y146)-(B146+C146)), "00")</f>
        <v>1:03:52</v>
      </c>
      <c r="AG146" s="4" t="str">
        <f aca="false" t="array" ref="AG146:AG146">INT(_xlfn.XLOOKUP(J146,{"Low","Medium","High","Urgent"},{48,24,12,8})/24) &amp; ":" &amp;
TEXT(MOD(_xlfn.XLOOKUP(J146,{"Low","Medium","High","Urgent"},{48,24,12,8}),24)/24,"hh:mm")</f>
        <v>2:00:00</v>
      </c>
      <c r="AH146" s="4" t="str">
        <f aca="false">IF(AD146&gt;AG146,"Not Met","Met")</f>
        <v>Met</v>
      </c>
      <c r="AI146" s="4" t="e">
        <f aca="false">IF(AB146&lt;TIME(0,30,0),"Met","Not Met")</f>
        <v>#REF!</v>
      </c>
      <c r="AN146" s="1" t="str">
        <f aca="false">TEXT(B146,"dd")</f>
        <v>04</v>
      </c>
      <c r="AO146" s="1" t="str">
        <f aca="false">TEXT(X146,"dd")</f>
        <v>06</v>
      </c>
      <c r="AP146" s="16" t="str">
        <f aca="false">INT(
  NETWORKDAYS(B146,V146)-1
  + IF(WEEKDAY(V146,2)&lt;6,MOD(V146+W146,1),0)
  - IF(WEEKDAY(B146,2)&lt;6,MOD(B146+C146,1),0)
)
&amp; ":" &amp;
TEXT(HOUR(
  NETWORKDAYS(B146,V146)-1
  + IF(WEEKDAY(V146,2)&lt;6,MOD(V146+W146,1),0)
  - IF(WEEKDAY(B146,2)&lt;6,MOD(B146+C146,1),0)
),"00")
&amp; ":" &amp;
TEXT(MINUTE(
  NETWORKDAYS(B146,V146)-1
  + IF(WEEKDAY(V146,2)&lt;6,MOD(V146+W146,1),0)
  - IF(WEEKDAY(B146,2)&lt;6,MOD(B146+C146,1),0)
),"00")</f>
        <v>1:03:12</v>
      </c>
      <c r="AQ146" s="0" t="n">
        <f aca="false">IFERROR(
LEFT(AP146,FIND(":",AP146)-1)
+ MID(AP146,FIND(":",AP146)+1,2)/24
+ RIGHT(AP146,2)/1440,
"")</f>
        <v>1.13333333333333</v>
      </c>
      <c r="AR146" s="0" t="n">
        <f aca="false">WEEKNUM(B146,1)</f>
        <v>6</v>
      </c>
      <c r="AS146" s="17" t="n">
        <f aca="false">IF(B146&gt;0, (B146+C146)-TIME(13,30,0), "")</f>
        <v>46057.2868055556</v>
      </c>
      <c r="AT146" s="18" t="n">
        <f aca="false">IF(B146&gt;0, (B146+C146)-TIME(13,30,0), "")</f>
        <v>46057.2868055556</v>
      </c>
      <c r="AU146" s="17" t="n">
        <f aca="false">IF(V146&gt;0, (V146+W146)-TIME(13,30,0), "")</f>
        <v>46058.4208333333</v>
      </c>
      <c r="AV146" s="18" t="n">
        <f aca="false">IF(V146&gt;0, (V146+W146)-TIME(13,30,0), "")</f>
        <v>46058.4208333333</v>
      </c>
      <c r="AW146" s="19" t="n">
        <f aca="false">24*(
MAX(0,
IF(NETWORKDAYS(AS146,AU146)=1,
MIN(MOD(AV146,1),TIME(17,30,0)) - MAX(MOD(AT146,1),TIME(8,30,0)),
(TIME(17,30,0)-MAX(MOD(AT146,1),TIME(8,30,0)))
+ (MIN(MOD(AV146,1),TIME(17,30,0))-TIME(8,30,0))
+ (NETWORKDAYS(AS146,AU146)-2)*9/24
)
)
)</f>
        <v>10.6</v>
      </c>
      <c r="AX146" s="19" t="n">
        <f aca="false">24*(
MAX(0,
IF(NETWORKDAYS(AS146,AU146)=1,
MIN(MOD(AV146,1),TIME(17,30,0)) - MAX(MOD(AT146,1),TIME(8,30,0)),
(TIME(17,30,0)-MAX(MOD(AT146,1),TIME(8,30,0)))
+ (MIN(MOD(AV146,1),TIME(17,30,0))-TIME(8,30,0))
+ (NETWORKDAYS(AS146,AU146)-2)* (TIME(17,30,0)-TIME(8,30,0))
)
)
)</f>
        <v>10.6</v>
      </c>
      <c r="AY146" s="20" t="n">
        <f aca="false">ROUND(
IF(AS146=AU146,
MAX(0,
(MIN(MOD(AV146,1),TIME(17,30,0))-
MAX(MOD(AT146,1),TIME(8,30,0)))*24
),
(
(MAX(0,TIME(17,30,0)-MAX(MOD(AT146,1),TIME(8,30,0)))*24)
+
(MAX(0,MIN(MOD(AV146,1),TIME(17,30,0))-TIME(8,30,0))*24)
+
(MAX(0,NETWORKDAYS(AS146+1,AU146-1))*9)
)
),
2)</f>
        <v>10.6</v>
      </c>
      <c r="AZ146" s="0" t="n">
        <f aca="false" t="array" ref="AZ146:AZ146">_xlfn.XLOOKUP(J146,{"Low","Medium","High"},{270,72,24})</f>
        <v>270</v>
      </c>
      <c r="BA146" s="0" t="str">
        <f aca="false">IF(AW146&gt;AZ146,"Not Met","Met")</f>
        <v>Met</v>
      </c>
      <c r="BB146" s="21" t="str">
        <f aca="false">IF(AS146="","",TEXT(AS146,"MMM")&amp;"'"&amp;TEXT(AS146,"yy"))</f>
        <v>Feb'26</v>
      </c>
      <c r="BC146" s="0" t="str">
        <f aca="false">IF(AU146="","",TEXT(AU146,"MMM")&amp;"'"&amp;TEXT(AU146,"yy"))</f>
        <v>Feb'26</v>
      </c>
    </row>
    <row r="147" customFormat="false" ht="15" hidden="false" customHeight="false" outlineLevel="0" collapsed="false">
      <c r="A147" s="23" t="s">
        <v>586</v>
      </c>
      <c r="B147" s="24" t="n">
        <v>46057</v>
      </c>
      <c r="C147" s="12" t="n">
        <v>0.980555555555556</v>
      </c>
      <c r="D147" s="13" t="str">
        <f aca="false">IF(B147="","",TEXT(B147,"MMM")&amp;"'"&amp;TEXT(B147,"yy"))</f>
        <v>Feb'26</v>
      </c>
      <c r="E147" s="27" t="s">
        <v>55</v>
      </c>
      <c r="F147" s="1" t="s">
        <v>39</v>
      </c>
      <c r="G147" s="46" t="str">
        <f aca="false">IF(F147="Closed","Closed","Pending")</f>
        <v>Closed</v>
      </c>
      <c r="H147" s="27" t="s">
        <v>72</v>
      </c>
      <c r="I147" s="1" t="s">
        <v>565</v>
      </c>
      <c r="J147" s="1" t="s">
        <v>74</v>
      </c>
      <c r="K147" s="35" t="s">
        <v>59</v>
      </c>
      <c r="L147" s="1" t="s">
        <v>587</v>
      </c>
      <c r="M147" s="1" t="s">
        <v>588</v>
      </c>
      <c r="N147" s="1" t="s">
        <v>65</v>
      </c>
      <c r="O147" s="1" t="s">
        <v>106</v>
      </c>
      <c r="Q147" s="1" t="s">
        <v>65</v>
      </c>
      <c r="R147" s="1" t="s">
        <v>589</v>
      </c>
      <c r="U147" s="25" t="n">
        <v>46058.9506944444</v>
      </c>
      <c r="V147" s="11" t="n">
        <v>46058</v>
      </c>
      <c r="W147" s="12" t="n">
        <v>0.950694444444444</v>
      </c>
      <c r="X147" s="11" t="n">
        <v>46059</v>
      </c>
      <c r="Y147" s="12" t="n">
        <v>0.0458333333333333</v>
      </c>
      <c r="Z147" s="1" t="s">
        <v>67</v>
      </c>
      <c r="AA147" s="1" t="s">
        <v>68</v>
      </c>
      <c r="AB147" s="2" t="n">
        <v>0.708333333333333</v>
      </c>
      <c r="AC147" s="14" t="n">
        <f aca="false">(V147+W147)-(B147+C147)</f>
        <v>0.970138888888889</v>
      </c>
      <c r="AD147" s="4" t="str">
        <f aca="false">INT((V147+W147)-(B147+C147)) &amp; ":" &amp;
TEXT(HOUR((V147+W147)-(B147+C147)), "00") &amp; ":" &amp;
TEXT(MINUTE((V147+W147)-(B147+C147)), "00")</f>
        <v>0:23:17</v>
      </c>
      <c r="AE147" s="1" t="n">
        <f aca="false">IFERROR(
LEFT(AD147,FIND(":",AD147)-1)
+ MID(AD147,FIND(":",AD147)+1,2)/24
+ RIGHT(AD147,2)/1440,
"")</f>
        <v>0.970138888888889</v>
      </c>
      <c r="AF147" s="4" t="str">
        <f aca="false">INT((X147+Y147)-(B147+C147)) &amp; ":" &amp;
TEXT(HOUR((X147+Y147)-(B147+C147)), "00") &amp; ":" &amp;
TEXT(MINUTE((X147+Y147)-(B147+C147)), "00")</f>
        <v>1:01:34</v>
      </c>
      <c r="AG147" s="4" t="str">
        <f aca="false" t="array" ref="AG147:AG147">INT(_xlfn.XLOOKUP(J147,{"Low","Medium","High","Urgent"},{48,24,12,8})/24) &amp; ":" &amp;
TEXT(MOD(_xlfn.XLOOKUP(J147,{"Low","Medium","High","Urgent"},{48,24,12,8}),24)/24,"hh:mm")</f>
        <v>2:00:00</v>
      </c>
      <c r="AH147" s="4" t="str">
        <f aca="false">IF(AD147&gt;AG147,"Not Met","Met")</f>
        <v>Met</v>
      </c>
      <c r="AI147" s="4" t="str">
        <f aca="false">IF(AB147&lt;TIME(0,30,0),"Met","Not Met")</f>
        <v>Not Met</v>
      </c>
      <c r="AN147" s="1" t="str">
        <f aca="false">TEXT(B147,"dd")</f>
        <v>04</v>
      </c>
      <c r="AO147" s="1" t="str">
        <f aca="false">TEXT(X147,"dd")</f>
        <v>06</v>
      </c>
      <c r="AP147" s="16" t="str">
        <f aca="false">INT(
  NETWORKDAYS(B147,V147)-1
  + IF(WEEKDAY(V147,2)&lt;6,MOD(V147+W147,1),0)
  - IF(WEEKDAY(B147,2)&lt;6,MOD(B147+C147,1),0)
)
&amp; ":" &amp;
TEXT(HOUR(
  NETWORKDAYS(B147,V147)-1
  + IF(WEEKDAY(V147,2)&lt;6,MOD(V147+W147,1),0)
  - IF(WEEKDAY(B147,2)&lt;6,MOD(B147+C147,1),0)
),"00")
&amp; ":" &amp;
TEXT(MINUTE(
  NETWORKDAYS(B147,V147)-1
  + IF(WEEKDAY(V147,2)&lt;6,MOD(V147+W147,1),0)
  - IF(WEEKDAY(B147,2)&lt;6,MOD(B147+C147,1),0)
),"00")</f>
        <v>0:23:16</v>
      </c>
      <c r="AQ147" s="0" t="n">
        <f aca="false">IFERROR(
LEFT(AP147,FIND(":",AP147)-1)
+ MID(AP147,FIND(":",AP147)+1,2)/24
+ RIGHT(AP147,2)/1440,
"")</f>
        <v>0.969444444444444</v>
      </c>
      <c r="AR147" s="0" t="n">
        <f aca="false">WEEKNUM(B147,1)</f>
        <v>6</v>
      </c>
      <c r="AS147" s="17" t="n">
        <f aca="false">IF(B147&gt;0, (B147+C147)-TIME(13,30,0), "")</f>
        <v>46057.4180555556</v>
      </c>
      <c r="AT147" s="18" t="n">
        <f aca="false">IF(B147&gt;0, (B147+C147)-TIME(13,30,0), "")</f>
        <v>46057.4180555556</v>
      </c>
      <c r="AU147" s="17" t="n">
        <f aca="false">IF(V147&gt;0, (V147+W147)-TIME(13,30,0), "")</f>
        <v>46058.3881944444</v>
      </c>
      <c r="AV147" s="18" t="n">
        <f aca="false">IF(V147&gt;0, (V147+W147)-TIME(13,30,0), "")</f>
        <v>46058.3881944444</v>
      </c>
      <c r="AW147" s="19" t="n">
        <f aca="false">24*(
MAX(0,
IF(NETWORKDAYS(AS147,AU147)=1,
MIN(MOD(AV147,1),TIME(17,30,0)) - MAX(MOD(AT147,1),TIME(8,30,0)),
(TIME(17,30,0)-MAX(MOD(AT147,1),TIME(8,30,0)))
+ (MIN(MOD(AV147,1),TIME(17,30,0))-TIME(8,30,0))
+ (NETWORKDAYS(AS147,AU147)-2)*9/24
)
)
)</f>
        <v>8.28333333333333</v>
      </c>
      <c r="AX147" s="19" t="n">
        <f aca="false">24*(
MAX(0,
IF(NETWORKDAYS(AS147,AU147)=1,
MIN(MOD(AV147,1),TIME(17,30,0)) - MAX(MOD(AT147,1),TIME(8,30,0)),
(TIME(17,30,0)-MAX(MOD(AT147,1),TIME(8,30,0)))
+ (MIN(MOD(AV147,1),TIME(17,30,0))-TIME(8,30,0))
+ (NETWORKDAYS(AS147,AU147)-2)* (TIME(17,30,0)-TIME(8,30,0))
)
)
)</f>
        <v>8.28333333333333</v>
      </c>
      <c r="AY147" s="20" t="n">
        <f aca="false">ROUND(
IF(AS147=AU147,
MAX(0,
(MIN(MOD(AV147,1),TIME(17,30,0))-
MAX(MOD(AT147,1),TIME(8,30,0)))*24
),
(
(MAX(0,TIME(17,30,0)-MAX(MOD(AT147,1),TIME(8,30,0)))*24)
+
(MAX(0,MIN(MOD(AV147,1),TIME(17,30,0))-TIME(8,30,0))*24)
+
(MAX(0,NETWORKDAYS(AS147+1,AU147-1))*9)
)
),
2)</f>
        <v>8.28</v>
      </c>
      <c r="AZ147" s="0" t="n">
        <f aca="false" t="array" ref="AZ147:AZ147">_xlfn.XLOOKUP(J147,{"Low","Medium","High"},{270,72,24})</f>
        <v>270</v>
      </c>
      <c r="BA147" s="0" t="str">
        <f aca="false">IF(AW147&gt;AZ147,"Not Met","Met")</f>
        <v>Met</v>
      </c>
      <c r="BB147" s="21" t="str">
        <f aca="false">IF(AS147="","",TEXT(AS147,"MMM")&amp;"'"&amp;TEXT(AS147,"yy"))</f>
        <v>Feb'26</v>
      </c>
      <c r="BC147" s="0" t="str">
        <f aca="false">IF(AU147="","",TEXT(AU147,"MMM")&amp;"'"&amp;TEXT(AU147,"yy"))</f>
        <v>Feb'26</v>
      </c>
    </row>
    <row r="148" customFormat="false" ht="15" hidden="false" customHeight="false" outlineLevel="0" collapsed="false">
      <c r="A148" s="23" t="s">
        <v>590</v>
      </c>
      <c r="B148" s="24" t="n">
        <v>46058</v>
      </c>
      <c r="C148" s="12" t="n">
        <v>0.190277777777778</v>
      </c>
      <c r="D148" s="13" t="str">
        <f aca="false">IF(B148="","",TEXT(B148,"MMM")&amp;"'"&amp;TEXT(B148,"yy"))</f>
        <v>Feb'26</v>
      </c>
      <c r="E148" s="27" t="s">
        <v>55</v>
      </c>
      <c r="F148" s="1" t="s">
        <v>39</v>
      </c>
      <c r="G148" s="46" t="str">
        <f aca="false">IF(F148="Closed","Closed","Pending")</f>
        <v>Closed</v>
      </c>
      <c r="H148" s="27" t="s">
        <v>263</v>
      </c>
      <c r="I148" s="1" t="s">
        <v>103</v>
      </c>
      <c r="J148" s="1" t="s">
        <v>74</v>
      </c>
      <c r="K148" s="35" t="s">
        <v>59</v>
      </c>
      <c r="L148" s="1" t="s">
        <v>115</v>
      </c>
      <c r="M148" s="1" t="s">
        <v>591</v>
      </c>
      <c r="N148" s="1" t="s">
        <v>65</v>
      </c>
      <c r="O148" s="1" t="s">
        <v>106</v>
      </c>
      <c r="Q148" s="1" t="s">
        <v>65</v>
      </c>
      <c r="R148" s="1" t="s">
        <v>87</v>
      </c>
      <c r="U148" s="12" t="n">
        <v>0.198611111111111</v>
      </c>
      <c r="V148" s="11" t="n">
        <v>46058</v>
      </c>
      <c r="W148" s="12" t="n">
        <v>0.955555555555556</v>
      </c>
      <c r="X148" s="11" t="n">
        <v>46059</v>
      </c>
      <c r="Y148" s="12" t="n">
        <v>0.0222222222222222</v>
      </c>
      <c r="Z148" s="1" t="s">
        <v>67</v>
      </c>
      <c r="AA148" s="1" t="s">
        <v>68</v>
      </c>
      <c r="AB148" s="2" t="e">
        <f aca="false">U148-#REF!</f>
        <v>#REF!</v>
      </c>
      <c r="AC148" s="14" t="n">
        <f aca="false">(V148+W148)-(B148+C148)</f>
        <v>0.765277777777778</v>
      </c>
      <c r="AD148" s="4" t="str">
        <f aca="false">INT((V148+W148)-(B148+C148)) &amp; ":" &amp;
TEXT(HOUR((V148+W148)-(B148+C148)), "00") &amp; ":" &amp;
TEXT(MINUTE((V148+W148)-(B148+C148)), "00")</f>
        <v>0:18:22</v>
      </c>
      <c r="AE148" s="1" t="n">
        <f aca="false">IFERROR(
LEFT(AD148,FIND(":",AD148)-1)
+ MID(AD148,FIND(":",AD148)+1,2)/24
+ RIGHT(AD148,2)/1440,
"")</f>
        <v>0.765277777777778</v>
      </c>
      <c r="AF148" s="4" t="str">
        <f aca="false">INT((X148+Y148)-(B148+C148)) &amp; ":" &amp;
TEXT(HOUR((X148+Y148)-(B148+C148)), "00") &amp; ":" &amp;
TEXT(MINUTE((X148+Y148)-(B148+C148)), "00")</f>
        <v>0:19:58</v>
      </c>
      <c r="AG148" s="4" t="str">
        <f aca="false" t="array" ref="AG148:AG148">INT(_xlfn.XLOOKUP(J148,{"Low","Medium","High","Urgent"},{48,24,12,8})/24) &amp; ":" &amp;
TEXT(MOD(_xlfn.XLOOKUP(J148,{"Low","Medium","High","Urgent"},{48,24,12,8}),24)/24,"hh:mm")</f>
        <v>2:00:00</v>
      </c>
      <c r="AH148" s="4" t="str">
        <f aca="false">IF(AD148&gt;AG148,"Not Met","Met")</f>
        <v>Met</v>
      </c>
      <c r="AI148" s="4" t="e">
        <f aca="false">IF(AB148&lt;TIME(0,30,0),"Met","Not Met")</f>
        <v>#REF!</v>
      </c>
      <c r="AN148" s="1" t="str">
        <f aca="false">TEXT(B148,"dd")</f>
        <v>05</v>
      </c>
      <c r="AO148" s="1" t="str">
        <f aca="false">TEXT(X148,"dd")</f>
        <v>06</v>
      </c>
      <c r="AP148" s="16" t="str">
        <f aca="false">INT(
  NETWORKDAYS(B148,V148)-1
  + IF(WEEKDAY(V148,2)&lt;6,MOD(V148+W148,1),0)
  - IF(WEEKDAY(B148,2)&lt;6,MOD(B148+C148,1),0)
)
&amp; ":" &amp;
TEXT(HOUR(
  NETWORKDAYS(B148,V148)-1
  + IF(WEEKDAY(V148,2)&lt;6,MOD(V148+W148,1),0)
  - IF(WEEKDAY(B148,2)&lt;6,MOD(B148+C148,1),0)
),"00")
&amp; ":" &amp;
TEXT(MINUTE(
  NETWORKDAYS(B148,V148)-1
  + IF(WEEKDAY(V148,2)&lt;6,MOD(V148+W148,1),0)
  - IF(WEEKDAY(B148,2)&lt;6,MOD(B148+C148,1),0)
),"00")</f>
        <v>0:18:21</v>
      </c>
      <c r="AQ148" s="0" t="n">
        <f aca="false">IFERROR(
LEFT(AP148,FIND(":",AP148)-1)
+ MID(AP148,FIND(":",AP148)+1,2)/24
+ RIGHT(AP148,2)/1440,
"")</f>
        <v>0.764583333333333</v>
      </c>
      <c r="AR148" s="0" t="n">
        <f aca="false">WEEKNUM(B148,1)</f>
        <v>6</v>
      </c>
      <c r="AS148" s="17" t="n">
        <f aca="false">IF(B148&gt;0, (B148+C148)-TIME(13,30,0), "")</f>
        <v>46057.6277777778</v>
      </c>
      <c r="AT148" s="18" t="n">
        <f aca="false">IF(B148&gt;0, (B148+C148)-TIME(13,30,0), "")</f>
        <v>46057.6277777778</v>
      </c>
      <c r="AU148" s="17" t="n">
        <f aca="false">IF(V148&gt;0, (V148+W148)-TIME(13,30,0), "")</f>
        <v>46058.3930555556</v>
      </c>
      <c r="AV148" s="18" t="n">
        <f aca="false">IF(V148&gt;0, (V148+W148)-TIME(13,30,0), "")</f>
        <v>46058.3930555556</v>
      </c>
      <c r="AW148" s="19" t="n">
        <f aca="false">24*(
MAX(0,
IF(NETWORKDAYS(AS148,AU148)=1,
MIN(MOD(AV148,1),TIME(17,30,0)) - MAX(MOD(AT148,1),TIME(8,30,0)),
(TIME(17,30,0)-MAX(MOD(AT148,1),TIME(8,30,0)))
+ (MIN(MOD(AV148,1),TIME(17,30,0))-TIME(8,30,0))
+ (NETWORKDAYS(AS148,AU148)-2)*9/24
)
)
)</f>
        <v>3.36666666666667</v>
      </c>
      <c r="AX148" s="19" t="n">
        <f aca="false">24*(
MAX(0,
IF(NETWORKDAYS(AS148,AU148)=1,
MIN(MOD(AV148,1),TIME(17,30,0)) - MAX(MOD(AT148,1),TIME(8,30,0)),
(TIME(17,30,0)-MAX(MOD(AT148,1),TIME(8,30,0)))
+ (MIN(MOD(AV148,1),TIME(17,30,0))-TIME(8,30,0))
+ (NETWORKDAYS(AS148,AU148)-2)* (TIME(17,30,0)-TIME(8,30,0))
)
)
)</f>
        <v>3.36666666666667</v>
      </c>
      <c r="AY148" s="20" t="n">
        <f aca="false">ROUND(
IF(AS148=AU148,
MAX(0,
(MIN(MOD(AV148,1),TIME(17,30,0))-
MAX(MOD(AT148,1),TIME(8,30,0)))*24
),
(
(MAX(0,TIME(17,30,0)-MAX(MOD(AT148,1),TIME(8,30,0)))*24)
+
(MAX(0,MIN(MOD(AV148,1),TIME(17,30,0))-TIME(8,30,0))*24)
+
(MAX(0,NETWORKDAYS(AS148+1,AU148-1))*9)
)
),
2)</f>
        <v>3.37</v>
      </c>
      <c r="AZ148" s="0" t="n">
        <f aca="false" t="array" ref="AZ148:AZ148">_xlfn.XLOOKUP(J148,{"Low","Medium","High"},{270,72,24})</f>
        <v>270</v>
      </c>
      <c r="BA148" s="0" t="str">
        <f aca="false">IF(AW148&gt;AZ148,"Not Met","Met")</f>
        <v>Met</v>
      </c>
      <c r="BB148" s="21" t="str">
        <f aca="false">IF(AS148="","",TEXT(AS148,"MMM")&amp;"'"&amp;TEXT(AS148,"yy"))</f>
        <v>Feb'26</v>
      </c>
      <c r="BC148" s="0" t="str">
        <f aca="false">IF(AU148="","",TEXT(AU148,"MMM")&amp;"'"&amp;TEXT(AU148,"yy"))</f>
        <v>Feb'26</v>
      </c>
    </row>
    <row r="149" customFormat="false" ht="15" hidden="false" customHeight="false" outlineLevel="0" collapsed="false">
      <c r="A149" s="23" t="s">
        <v>592</v>
      </c>
      <c r="B149" s="24" t="n">
        <v>46058</v>
      </c>
      <c r="C149" s="12" t="n">
        <v>0.197222222222222</v>
      </c>
      <c r="D149" s="13" t="str">
        <f aca="false">IF(B149="","",TEXT(B149,"MMM")&amp;"'"&amp;TEXT(B149,"yy"))</f>
        <v>Feb'26</v>
      </c>
      <c r="E149" s="27" t="s">
        <v>55</v>
      </c>
      <c r="F149" s="1" t="s">
        <v>39</v>
      </c>
      <c r="G149" s="46" t="str">
        <f aca="false">IF(F149="Closed","Closed","Pending")</f>
        <v>Closed</v>
      </c>
      <c r="H149" s="27" t="s">
        <v>72</v>
      </c>
      <c r="I149" s="1" t="s">
        <v>190</v>
      </c>
      <c r="J149" s="1" t="s">
        <v>74</v>
      </c>
      <c r="K149" s="35" t="s">
        <v>59</v>
      </c>
      <c r="L149" s="1" t="s">
        <v>593</v>
      </c>
      <c r="M149" s="1" t="s">
        <v>594</v>
      </c>
      <c r="N149" s="1" t="s">
        <v>65</v>
      </c>
      <c r="O149" s="1" t="s">
        <v>106</v>
      </c>
      <c r="Q149" s="1" t="s">
        <v>86</v>
      </c>
      <c r="R149" s="1" t="s">
        <v>426</v>
      </c>
      <c r="U149" s="12" t="n">
        <v>0.199305555555556</v>
      </c>
      <c r="V149" s="11" t="n">
        <v>46058</v>
      </c>
      <c r="W149" s="12" t="n">
        <v>0.957638888888889</v>
      </c>
      <c r="X149" s="11" t="n">
        <v>46059</v>
      </c>
      <c r="Y149" s="12" t="n">
        <v>0.0111111111111111</v>
      </c>
      <c r="Z149" s="1" t="s">
        <v>67</v>
      </c>
      <c r="AA149" s="1" t="s">
        <v>68</v>
      </c>
      <c r="AB149" s="2" t="e">
        <f aca="false">U149-#REF!</f>
        <v>#REF!</v>
      </c>
      <c r="AC149" s="14" t="n">
        <f aca="false">(V149+W149)-(B149+C149)</f>
        <v>0.760416666666667</v>
      </c>
      <c r="AD149" s="4" t="str">
        <f aca="false">INT((V149+W149)-(B149+C149)) &amp; ":" &amp;
TEXT(HOUR((V149+W149)-(B149+C149)), "00") &amp; ":" &amp;
TEXT(MINUTE((V149+W149)-(B149+C149)), "00")</f>
        <v>0:18:15</v>
      </c>
      <c r="AE149" s="1" t="n">
        <f aca="false">IFERROR(
LEFT(AD149,FIND(":",AD149)-1)
+ MID(AD149,FIND(":",AD149)+1,2)/24
+ RIGHT(AD149,2)/1440,
"")</f>
        <v>0.760416666666667</v>
      </c>
      <c r="AF149" s="4" t="str">
        <f aca="false">INT((X149+Y149)-(B149+C149)) &amp; ":" &amp;
TEXT(HOUR((X149+Y149)-(B149+C149)), "00") &amp; ":" &amp;
TEXT(MINUTE((X149+Y149)-(B149+C149)), "00")</f>
        <v>0:19:32</v>
      </c>
      <c r="AG149" s="4" t="str">
        <f aca="false" t="array" ref="AG149:AG149">INT(_xlfn.XLOOKUP(J149,{"Low","Medium","High","Urgent"},{48,24,12,8})/24) &amp; ":" &amp;
TEXT(MOD(_xlfn.XLOOKUP(J149,{"Low","Medium","High","Urgent"},{48,24,12,8}),24)/24,"hh:mm")</f>
        <v>2:00:00</v>
      </c>
      <c r="AH149" s="4" t="str">
        <f aca="false">IF(AD149&gt;AG149,"Not Met","Met")</f>
        <v>Met</v>
      </c>
      <c r="AI149" s="4" t="e">
        <f aca="false">IF(AB149&lt;TIME(0,30,0),"Met","Not Met")</f>
        <v>#REF!</v>
      </c>
      <c r="AN149" s="1" t="str">
        <f aca="false">TEXT(B149,"dd")</f>
        <v>05</v>
      </c>
      <c r="AO149" s="1" t="str">
        <f aca="false">TEXT(X149,"dd")</f>
        <v>06</v>
      </c>
      <c r="AP149" s="16" t="str">
        <f aca="false">INT(
  NETWORKDAYS(B149,V149)-1
  + IF(WEEKDAY(V149,2)&lt;6,MOD(V149+W149,1),0)
  - IF(WEEKDAY(B149,2)&lt;6,MOD(B149+C149,1),0)
)
&amp; ":" &amp;
TEXT(HOUR(
  NETWORKDAYS(B149,V149)-1
  + IF(WEEKDAY(V149,2)&lt;6,MOD(V149+W149,1),0)
  - IF(WEEKDAY(B149,2)&lt;6,MOD(B149+C149,1),0)
),"00")
&amp; ":" &amp;
TEXT(MINUTE(
  NETWORKDAYS(B149,V149)-1
  + IF(WEEKDAY(V149,2)&lt;6,MOD(V149+W149,1),0)
  - IF(WEEKDAY(B149,2)&lt;6,MOD(B149+C149,1),0)
),"00")</f>
        <v>0:18:14</v>
      </c>
      <c r="AQ149" s="0" t="n">
        <f aca="false">IFERROR(
LEFT(AP149,FIND(":",AP149)-1)
+ MID(AP149,FIND(":",AP149)+1,2)/24
+ RIGHT(AP149,2)/1440,
"")</f>
        <v>0.759722222222222</v>
      </c>
      <c r="AR149" s="0" t="n">
        <f aca="false">WEEKNUM(B149,1)</f>
        <v>6</v>
      </c>
      <c r="AS149" s="17" t="n">
        <f aca="false">IF(B149&gt;0, (B149+C149)-TIME(13,30,0), "")</f>
        <v>46057.6347222222</v>
      </c>
      <c r="AT149" s="18" t="n">
        <f aca="false">IF(B149&gt;0, (B149+C149)-TIME(13,30,0), "")</f>
        <v>46057.6347222222</v>
      </c>
      <c r="AU149" s="17" t="n">
        <f aca="false">IF(V149&gt;0, (V149+W149)-TIME(13,30,0), "")</f>
        <v>46058.3951388889</v>
      </c>
      <c r="AV149" s="18" t="n">
        <f aca="false">IF(V149&gt;0, (V149+W149)-TIME(13,30,0), "")</f>
        <v>46058.3951388889</v>
      </c>
      <c r="AW149" s="19" t="n">
        <f aca="false">24*(
MAX(0,
IF(NETWORKDAYS(AS149,AU149)=1,
MIN(MOD(AV149,1),TIME(17,30,0)) - MAX(MOD(AT149,1),TIME(8,30,0)),
(TIME(17,30,0)-MAX(MOD(AT149,1),TIME(8,30,0)))
+ (MIN(MOD(AV149,1),TIME(17,30,0))-TIME(8,30,0))
+ (NETWORKDAYS(AS149,AU149)-2)*9/24
)
)
)</f>
        <v>3.25</v>
      </c>
      <c r="AX149" s="19" t="n">
        <f aca="false">24*(
MAX(0,
IF(NETWORKDAYS(AS149,AU149)=1,
MIN(MOD(AV149,1),TIME(17,30,0)) - MAX(MOD(AT149,1),TIME(8,30,0)),
(TIME(17,30,0)-MAX(MOD(AT149,1),TIME(8,30,0)))
+ (MIN(MOD(AV149,1),TIME(17,30,0))-TIME(8,30,0))
+ (NETWORKDAYS(AS149,AU149)-2)* (TIME(17,30,0)-TIME(8,30,0))
)
)
)</f>
        <v>3.25</v>
      </c>
      <c r="AY149" s="20" t="n">
        <f aca="false">ROUND(
IF(AS149=AU149,
MAX(0,
(MIN(MOD(AV149,1),TIME(17,30,0))-
MAX(MOD(AT149,1),TIME(8,30,0)))*24
),
(
(MAX(0,TIME(17,30,0)-MAX(MOD(AT149,1),TIME(8,30,0)))*24)
+
(MAX(0,MIN(MOD(AV149,1),TIME(17,30,0))-TIME(8,30,0))*24)
+
(MAX(0,NETWORKDAYS(AS149+1,AU149-1))*9)
)
),
2)</f>
        <v>3.25</v>
      </c>
      <c r="AZ149" s="0" t="n">
        <f aca="false" t="array" ref="AZ149:AZ149">_xlfn.XLOOKUP(J149,{"Low","Medium","High"},{270,72,24})</f>
        <v>270</v>
      </c>
      <c r="BA149" s="0" t="str">
        <f aca="false">IF(AW149&gt;AZ149,"Not Met","Met")</f>
        <v>Met</v>
      </c>
      <c r="BB149" s="21" t="str">
        <f aca="false">IF(AS149="","",TEXT(AS149,"MMM")&amp;"'"&amp;TEXT(AS149,"yy"))</f>
        <v>Feb'26</v>
      </c>
      <c r="BC149" s="0" t="str">
        <f aca="false">IF(AU149="","",TEXT(AU149,"MMM")&amp;"'"&amp;TEXT(AU149,"yy"))</f>
        <v>Feb'26</v>
      </c>
    </row>
    <row r="150" customFormat="false" ht="15" hidden="false" customHeight="false" outlineLevel="0" collapsed="false">
      <c r="A150" s="1" t="s">
        <v>595</v>
      </c>
      <c r="B150" s="24" t="n">
        <v>46058</v>
      </c>
      <c r="C150" s="12" t="n">
        <v>0.924305555555556</v>
      </c>
      <c r="D150" s="13" t="str">
        <f aca="false">IF(B150="","",TEXT(B150,"MMM")&amp;"'"&amp;TEXT(B150,"yy"))</f>
        <v>Feb'26</v>
      </c>
      <c r="E150" s="27" t="s">
        <v>55</v>
      </c>
      <c r="F150" s="1" t="s">
        <v>39</v>
      </c>
      <c r="G150" s="1" t="str">
        <f aca="false">IF(F150="Closed","Closed","Pending")</f>
        <v>Closed</v>
      </c>
      <c r="H150" s="1" t="s">
        <v>81</v>
      </c>
      <c r="I150" s="1" t="s">
        <v>82</v>
      </c>
      <c r="J150" s="1" t="s">
        <v>74</v>
      </c>
      <c r="K150" s="35" t="s">
        <v>59</v>
      </c>
      <c r="L150" s="1" t="s">
        <v>596</v>
      </c>
      <c r="M150" s="1" t="s">
        <v>597</v>
      </c>
      <c r="N150" s="1" t="s">
        <v>62</v>
      </c>
      <c r="O150" s="1" t="s">
        <v>63</v>
      </c>
      <c r="Q150" s="1" t="s">
        <v>229</v>
      </c>
      <c r="R150" s="1" t="s">
        <v>230</v>
      </c>
      <c r="S150" s="1" t="s">
        <v>231</v>
      </c>
      <c r="U150" s="12" t="n">
        <v>0.959722222222222</v>
      </c>
      <c r="V150" s="11" t="n">
        <v>46058</v>
      </c>
      <c r="W150" s="12" t="n">
        <v>0.959722222222222</v>
      </c>
      <c r="X150" s="11" t="n">
        <v>46078</v>
      </c>
      <c r="Y150" s="12" t="n">
        <v>0.149305555555556</v>
      </c>
      <c r="Z150" s="1" t="s">
        <v>67</v>
      </c>
      <c r="AA150" s="1" t="s">
        <v>68</v>
      </c>
      <c r="AB150" s="2" t="e">
        <f aca="false">U150-#REF!</f>
        <v>#REF!</v>
      </c>
      <c r="AC150" s="14" t="n">
        <f aca="false">(V150+W150)-(B150+C150)</f>
        <v>0.0354166666666667</v>
      </c>
      <c r="AD150" s="4" t="str">
        <f aca="false">INT((V150+W150)-(B150+C150)) &amp; ":" &amp;
TEXT(HOUR((V150+W150)-(B150+C150)), "00") &amp; ":" &amp;
TEXT(MINUTE((V150+W150)-(B150+C150)), "00")</f>
        <v>0:00:51</v>
      </c>
      <c r="AE150" s="1" t="n">
        <f aca="false">IFERROR(
LEFT(AD150,FIND(":",AD150)-1)
+ MID(AD150,FIND(":",AD150)+1,2)/24
+ RIGHT(AD150,2)/1440,
"")</f>
        <v>0.0354166666666667</v>
      </c>
      <c r="AF150" s="4" t="str">
        <f aca="false">INT((X150+Y150)-(B150+C150)) &amp; ":" &amp;
TEXT(HOUR((X150+Y150)-(B150+C150)), "00") &amp; ":" &amp;
TEXT(MINUTE((X150+Y150)-(B150+C150)), "00")</f>
        <v>19:05:24</v>
      </c>
      <c r="AG150" s="4" t="str">
        <f aca="false" t="array" ref="AG150:AG150">INT(_xlfn.XLOOKUP(J150,{"Low","Medium","High","Urgent"},{48,24,12,8})/24) &amp; ":" &amp;
TEXT(MOD(_xlfn.XLOOKUP(J150,{"Low","Medium","High","Urgent"},{48,24,12,8}),24)/24,"hh:mm")</f>
        <v>2:00:00</v>
      </c>
      <c r="AH150" s="4" t="str">
        <f aca="false">IF(AD150&gt;AG150,"Not Met","Met")</f>
        <v>Met</v>
      </c>
      <c r="AI150" s="4" t="e">
        <f aca="false">IF(AB150&lt;TIME(0,30,0),"Met","Not Met")</f>
        <v>#REF!</v>
      </c>
      <c r="AN150" s="1" t="str">
        <f aca="false">TEXT(B150,"dd")</f>
        <v>05</v>
      </c>
      <c r="AO150" s="1" t="str">
        <f aca="false">TEXT(X150,"dd")</f>
        <v>25</v>
      </c>
      <c r="AP150" s="16" t="str">
        <f aca="false">INT(
  NETWORKDAYS(B150,V150)-1
  + IF(WEEKDAY(V150,2)&lt;6,MOD(V150+W150,1),0)
  - IF(WEEKDAY(B150,2)&lt;6,MOD(B150+C150,1),0)
)
&amp; ":" &amp;
TEXT(HOUR(
  NETWORKDAYS(B150,V150)-1
  + IF(WEEKDAY(V150,2)&lt;6,MOD(V150+W150,1),0)
  - IF(WEEKDAY(B150,2)&lt;6,MOD(B150+C150,1),0)
),"00")
&amp; ":" &amp;
TEXT(MINUTE(
  NETWORKDAYS(B150,V150)-1
  + IF(WEEKDAY(V150,2)&lt;6,MOD(V150+W150,1),0)
  - IF(WEEKDAY(B150,2)&lt;6,MOD(B150+C150,1),0)
),"00")</f>
        <v>0:00:50</v>
      </c>
      <c r="AQ150" s="0" t="n">
        <f aca="false">IFERROR(
LEFT(AP150,FIND(":",AP150)-1)
+ MID(AP150,FIND(":",AP150)+1,2)/24
+ RIGHT(AP150,2)/1440,
"")</f>
        <v>0.0347222222222222</v>
      </c>
      <c r="AR150" s="0" t="n">
        <f aca="false">WEEKNUM(B150,1)</f>
        <v>6</v>
      </c>
      <c r="AS150" s="17" t="n">
        <f aca="false">IF(B150&gt;0, (B150+C150)-TIME(13,30,0), "")</f>
        <v>46058.3618055556</v>
      </c>
      <c r="AT150" s="18" t="n">
        <f aca="false">IF(B150&gt;0, (B150+C150)-TIME(13,30,0), "")</f>
        <v>46058.3618055556</v>
      </c>
      <c r="AU150" s="17" t="n">
        <f aca="false">IF(V150&gt;0, (V150+W150)-TIME(13,30,0), "")</f>
        <v>46058.3972222222</v>
      </c>
      <c r="AV150" s="18" t="n">
        <f aca="false">IF(V150&gt;0, (V150+W150)-TIME(13,30,0), "")</f>
        <v>46058.3972222222</v>
      </c>
      <c r="AW150" s="19" t="n">
        <f aca="false">24*(
MAX(0,
IF(NETWORKDAYS(AS150,AU150)=1,
MIN(MOD(AV150,1),TIME(17,30,0)) - MAX(MOD(AT150,1),TIME(8,30,0)),
(TIME(17,30,0)-MAX(MOD(AT150,1),TIME(8,30,0)))
+ (MIN(MOD(AV150,1),TIME(17,30,0))-TIME(8,30,0))
+ (NETWORKDAYS(AS150,AU150)-2)*9/24
)
)
)</f>
        <v>0.849999999976717</v>
      </c>
      <c r="AX150" s="19" t="n">
        <f aca="false">24*(
MAX(0,
IF(NETWORKDAYS(AS150,AU150)=1,
MIN(MOD(AV150,1),TIME(17,30,0)) - MAX(MOD(AT150,1),TIME(8,30,0)),
(TIME(17,30,0)-MAX(MOD(AT150,1),TIME(8,30,0)))
+ (MIN(MOD(AV150,1),TIME(17,30,0))-TIME(8,30,0))
+ (NETWORKDAYS(AS150,AU150)-2)* (TIME(17,30,0)-TIME(8,30,0))
)
)
)</f>
        <v>0.849999999976717</v>
      </c>
      <c r="AY150" s="20" t="n">
        <f aca="false">ROUND(
IF(AS150=AU150,
MAX(0,
(MIN(MOD(AV150,1),TIME(17,30,0))-
MAX(MOD(AT150,1),TIME(8,30,0)))*24
),
(
(MAX(0,TIME(17,30,0)-MAX(MOD(AT150,1),TIME(8,30,0)))*24)
+
(MAX(0,MIN(MOD(AV150,1),TIME(17,30,0))-TIME(8,30,0))*24)
+
(MAX(0,NETWORKDAYS(AS150+1,AU150-1))*9)
)
),
2)</f>
        <v>9.85</v>
      </c>
      <c r="AZ150" s="0" t="n">
        <f aca="false" t="array" ref="AZ150:AZ150">_xlfn.XLOOKUP(J150,{"Low","Medium","High"},{270,72,24})</f>
        <v>270</v>
      </c>
      <c r="BA150" s="0" t="str">
        <f aca="false">IF(AW150&gt;AZ150,"Not Met","Met")</f>
        <v>Met</v>
      </c>
      <c r="BB150" s="21" t="str">
        <f aca="false">IF(AS150="","",TEXT(AS150,"MMM")&amp;"'"&amp;TEXT(AS150,"yy"))</f>
        <v>Feb'26</v>
      </c>
      <c r="BC150" s="0" t="str">
        <f aca="false">IF(AU150="","",TEXT(AU150,"MMM")&amp;"'"&amp;TEXT(AU150,"yy"))</f>
        <v>Feb'26</v>
      </c>
    </row>
    <row r="151" customFormat="false" ht="15" hidden="false" customHeight="false" outlineLevel="0" collapsed="false">
      <c r="A151" s="1" t="s">
        <v>598</v>
      </c>
      <c r="B151" s="24" t="n">
        <v>46058</v>
      </c>
      <c r="C151" s="12" t="n">
        <v>0.965972222222222</v>
      </c>
      <c r="D151" s="13" t="str">
        <f aca="false">IF(B151="","",TEXT(B151,"MMM")&amp;"'"&amp;TEXT(B151,"yy"))</f>
        <v>Feb'26</v>
      </c>
      <c r="E151" s="27" t="s">
        <v>55</v>
      </c>
      <c r="F151" s="1" t="s">
        <v>39</v>
      </c>
      <c r="G151" s="1" t="str">
        <f aca="false">IF(F151="Closed","Closed","Pending")</f>
        <v>Closed</v>
      </c>
      <c r="H151" s="1" t="s">
        <v>56</v>
      </c>
      <c r="I151" s="1" t="s">
        <v>82</v>
      </c>
      <c r="J151" s="1" t="s">
        <v>74</v>
      </c>
      <c r="K151" s="35" t="s">
        <v>59</v>
      </c>
      <c r="L151" s="1" t="s">
        <v>599</v>
      </c>
      <c r="M151" s="1" t="s">
        <v>534</v>
      </c>
      <c r="N151" s="1" t="s">
        <v>65</v>
      </c>
      <c r="O151" s="1" t="s">
        <v>106</v>
      </c>
      <c r="Q151" s="1" t="s">
        <v>65</v>
      </c>
      <c r="R151" s="1" t="s">
        <v>87</v>
      </c>
      <c r="U151" s="12" t="n">
        <v>0.970833333333333</v>
      </c>
      <c r="V151" s="11" t="n">
        <v>46062</v>
      </c>
      <c r="W151" s="12" t="n">
        <v>0.985416666666667</v>
      </c>
      <c r="X151" s="11" t="n">
        <v>46063</v>
      </c>
      <c r="Y151" s="12" t="n">
        <v>0.0423611111111111</v>
      </c>
      <c r="Z151" s="1" t="s">
        <v>67</v>
      </c>
      <c r="AB151" s="2" t="e">
        <f aca="false">U151-#REF!</f>
        <v>#REF!</v>
      </c>
      <c r="AC151" s="14" t="n">
        <f aca="false">(V151+W151)-(B151+C151)</f>
        <v>4.01944444444445</v>
      </c>
      <c r="AD151" s="4" t="str">
        <f aca="false">INT((V151+W151)-(B151+C151)) &amp; ":" &amp;
TEXT(HOUR((V151+W151)-(B151+C151)), "00") &amp; ":" &amp;
TEXT(MINUTE((V151+W151)-(B151+C151)), "00")</f>
        <v>4:00:28</v>
      </c>
      <c r="AE151" s="1" t="n">
        <f aca="false">IFERROR(
LEFT(AD151,FIND(":",AD151)-1)
+ MID(AD151,FIND(":",AD151)+1,2)/24
+ RIGHT(AD151,2)/1440,
"")</f>
        <v>4.01944444444445</v>
      </c>
      <c r="AF151" s="4" t="str">
        <f aca="false">INT((X151+Y151)-(B151+C151)) &amp; ":" &amp;
TEXT(HOUR((X151+Y151)-(B151+C151)), "00") &amp; ":" &amp;
TEXT(MINUTE((X151+Y151)-(B151+C151)), "00")</f>
        <v>4:01:50</v>
      </c>
      <c r="AG151" s="4" t="str">
        <f aca="false" t="array" ref="AG151:AG151">INT(_xlfn.XLOOKUP(J151,{"Low","Medium","High","Urgent"},{48,24,12,8})/24) &amp; ":" &amp;
TEXT(MOD(_xlfn.XLOOKUP(J151,{"Low","Medium","High","Urgent"},{48,24,12,8}),24)/24,"hh:mm")</f>
        <v>2:00:00</v>
      </c>
      <c r="AH151" s="4" t="str">
        <f aca="false">IF(AD151&gt;AG151,"Not Met","Met")</f>
        <v>Not Met</v>
      </c>
      <c r="AI151" s="4" t="e">
        <f aca="false">IF(AB151&lt;TIME(0,30,0),"Met","Not Met")</f>
        <v>#REF!</v>
      </c>
      <c r="AN151" s="1" t="str">
        <f aca="false">TEXT(B151,"dd")</f>
        <v>05</v>
      </c>
      <c r="AO151" s="1" t="str">
        <f aca="false">TEXT(X151,"dd")</f>
        <v>10</v>
      </c>
      <c r="AP151" s="16" t="str">
        <f aca="false">INT(
  NETWORKDAYS(B151,V151)-1
  + IF(WEEKDAY(V151,2)&lt;6,MOD(V151+W151,1),0)
  - IF(WEEKDAY(B151,2)&lt;6,MOD(B151+C151,1),0)
)
&amp; ":" &amp;
TEXT(HOUR(
  NETWORKDAYS(B151,V151)-1
  + IF(WEEKDAY(V151,2)&lt;6,MOD(V151+W151,1),0)
  - IF(WEEKDAY(B151,2)&lt;6,MOD(B151+C151,1),0)
),"00")
&amp; ":" &amp;
TEXT(MINUTE(
  NETWORKDAYS(B151,V151)-1
  + IF(WEEKDAY(V151,2)&lt;6,MOD(V151+W151,1),0)
  - IF(WEEKDAY(B151,2)&lt;6,MOD(B151+C151,1),0)
),"00")</f>
        <v>2:00:28</v>
      </c>
      <c r="AQ151" s="0" t="n">
        <f aca="false">IFERROR(
LEFT(AP151,FIND(":",AP151)-1)
+ MID(AP151,FIND(":",AP151)+1,2)/24
+ RIGHT(AP151,2)/1440,
"")</f>
        <v>2.01944444444444</v>
      </c>
      <c r="AR151" s="0" t="n">
        <f aca="false">WEEKNUM(B151,1)</f>
        <v>6</v>
      </c>
      <c r="AS151" s="17" t="n">
        <f aca="false">IF(B151&gt;0, (B151+C151)-TIME(13,30,0), "")</f>
        <v>46058.4034722222</v>
      </c>
      <c r="AT151" s="18" t="n">
        <f aca="false">IF(B151&gt;0, (B151+C151)-TIME(13,30,0), "")</f>
        <v>46058.4034722222</v>
      </c>
      <c r="AU151" s="17" t="n">
        <f aca="false">IF(V151&gt;0, (V151+W151)-TIME(13,30,0), "")</f>
        <v>46062.4229166667</v>
      </c>
      <c r="AV151" s="18" t="n">
        <f aca="false">IF(V151&gt;0, (V151+W151)-TIME(13,30,0), "")</f>
        <v>46062.4229166667</v>
      </c>
      <c r="AW151" s="19" t="n">
        <f aca="false">24*(
MAX(0,
IF(NETWORKDAYS(AS151,AU151)=1,
MIN(MOD(AV151,1),TIME(17,30,0)) - MAX(MOD(AT151,1),TIME(8,30,0)),
(TIME(17,30,0)-MAX(MOD(AT151,1),TIME(8,30,0)))
+ (MIN(MOD(AV151,1),TIME(17,30,0))-TIME(8,30,0))
+ (NETWORKDAYS(AS151,AU151)-2)*9/24
)
)
)</f>
        <v>18.4666666666667</v>
      </c>
      <c r="AX151" s="19" t="n">
        <f aca="false">24*(
MAX(0,
IF(NETWORKDAYS(AS151,AU151)=1,
MIN(MOD(AV151,1),TIME(17,30,0)) - MAX(MOD(AT151,1),TIME(8,30,0)),
(TIME(17,30,0)-MAX(MOD(AT151,1),TIME(8,30,0)))
+ (MIN(MOD(AV151,1),TIME(17,30,0))-TIME(8,30,0))
+ (NETWORKDAYS(AS151,AU151)-2)* (TIME(17,30,0)-TIME(8,30,0))
)
)
)</f>
        <v>18.4666666666667</v>
      </c>
      <c r="AY151" s="20" t="n">
        <f aca="false">ROUND(
IF(AS151=AU151,
MAX(0,
(MIN(MOD(AV151,1),TIME(17,30,0))-
MAX(MOD(AT151,1),TIME(8,30,0)))*24
),
(
(MAX(0,TIME(17,30,0)-MAX(MOD(AT151,1),TIME(8,30,0)))*24)
+
(MAX(0,MIN(MOD(AV151,1),TIME(17,30,0))-TIME(8,30,0))*24)
+
(MAX(0,NETWORKDAYS(AS151+1,AU151-1))*9)
)
),
2)</f>
        <v>18.47</v>
      </c>
      <c r="AZ151" s="0" t="n">
        <f aca="false" t="array" ref="AZ151:AZ151">_xlfn.XLOOKUP(J151,{"Low","Medium","High"},{270,72,24})</f>
        <v>270</v>
      </c>
      <c r="BA151" s="0" t="str">
        <f aca="false">IF(AW151&gt;AZ151,"Not Met","Met")</f>
        <v>Met</v>
      </c>
      <c r="BB151" s="21" t="str">
        <f aca="false">IF(AS151="","",TEXT(AS151,"MMM")&amp;"'"&amp;TEXT(AS151,"yy"))</f>
        <v>Feb'26</v>
      </c>
      <c r="BC151" s="0" t="str">
        <f aca="false">IF(AU151="","",TEXT(AU151,"MMM")&amp;"'"&amp;TEXT(AU151,"yy"))</f>
        <v>Feb'26</v>
      </c>
    </row>
    <row r="152" customFormat="false" ht="15" hidden="false" customHeight="false" outlineLevel="0" collapsed="false">
      <c r="A152" s="1" t="s">
        <v>600</v>
      </c>
      <c r="B152" s="11" t="n">
        <v>46059</v>
      </c>
      <c r="C152" s="12" t="n">
        <v>0.177083333333333</v>
      </c>
      <c r="D152" s="13" t="str">
        <f aca="false">IF(B152="","",TEXT(B152,"MMM")&amp;"'"&amp;TEXT(B152,"yy"))</f>
        <v>Feb'26</v>
      </c>
      <c r="E152" s="27" t="s">
        <v>55</v>
      </c>
      <c r="F152" s="1" t="s">
        <v>39</v>
      </c>
      <c r="G152" s="1" t="str">
        <f aca="false">IF(F152="Closed","Closed","Pending")</f>
        <v>Closed</v>
      </c>
      <c r="H152" s="26" t="s">
        <v>72</v>
      </c>
      <c r="I152" s="26" t="s">
        <v>190</v>
      </c>
      <c r="J152" s="1" t="s">
        <v>74</v>
      </c>
      <c r="K152" s="40" t="s">
        <v>59</v>
      </c>
      <c r="L152" s="26" t="s">
        <v>601</v>
      </c>
      <c r="M152" s="26" t="s">
        <v>602</v>
      </c>
      <c r="N152" s="1" t="s">
        <v>62</v>
      </c>
      <c r="O152" s="1" t="s">
        <v>77</v>
      </c>
      <c r="Q152" s="1" t="s">
        <v>86</v>
      </c>
      <c r="R152" s="1" t="s">
        <v>87</v>
      </c>
      <c r="U152" s="12" t="n">
        <v>0.179861111111111</v>
      </c>
      <c r="V152" s="11" t="n">
        <v>46059</v>
      </c>
      <c r="W152" s="12" t="n">
        <v>0.979861111111111</v>
      </c>
      <c r="X152" s="11" t="n">
        <v>46060</v>
      </c>
      <c r="Y152" s="12" t="n">
        <v>0.025</v>
      </c>
      <c r="Z152" s="1" t="s">
        <v>67</v>
      </c>
      <c r="AA152" s="1" t="s">
        <v>68</v>
      </c>
      <c r="AB152" s="2" t="e">
        <f aca="false">U152-#REF!</f>
        <v>#REF!</v>
      </c>
      <c r="AC152" s="14" t="n">
        <f aca="false">(V152+W152)-(B152+C152)</f>
        <v>0.802777777777778</v>
      </c>
      <c r="AD152" s="4" t="str">
        <f aca="false">INT((V152+W152)-(B152+C152)) &amp; ":" &amp;
TEXT(HOUR((V152+W152)-(B152+C152)), "00") &amp; ":" &amp;
TEXT(MINUTE((V152+W152)-(B152+C152)), "00")</f>
        <v>0:19:16</v>
      </c>
      <c r="AE152" s="1" t="n">
        <f aca="false">IFERROR(
LEFT(AD152,FIND(":",AD152)-1)
+ MID(AD152,FIND(":",AD152)+1,2)/24
+ RIGHT(AD152,2)/1440,
"")</f>
        <v>0.802777777777778</v>
      </c>
      <c r="AF152" s="4" t="str">
        <f aca="false">INT((X152+Y152)-(B152+C152)) &amp; ":" &amp;
TEXT(HOUR((X152+Y152)-(B152+C152)), "00") &amp; ":" &amp;
TEXT(MINUTE((X152+Y152)-(B152+C152)), "00")</f>
        <v>0:20:21</v>
      </c>
      <c r="AG152" s="4" t="str">
        <f aca="false" t="array" ref="AG152:AG152">INT(_xlfn.XLOOKUP(J152,{"Low","Medium","High","Urgent"},{48,24,12,8})/24) &amp; ":" &amp;
TEXT(MOD(_xlfn.XLOOKUP(J152,{"Low","Medium","High","Urgent"},{48,24,12,8}),24)/24,"hh:mm")</f>
        <v>2:00:00</v>
      </c>
      <c r="AH152" s="4" t="str">
        <f aca="false">IF(AD152&gt;AG152,"Not Met","Met")</f>
        <v>Met</v>
      </c>
      <c r="AI152" s="4" t="e">
        <f aca="false">IF(AB152&lt;TIME(0,30,0),"Met","Not Met")</f>
        <v>#REF!</v>
      </c>
      <c r="AN152" s="1" t="str">
        <f aca="false">TEXT(B152,"dd")</f>
        <v>06</v>
      </c>
      <c r="AO152" s="1" t="str">
        <f aca="false">TEXT(X152,"dd")</f>
        <v>07</v>
      </c>
      <c r="AP152" s="16" t="str">
        <f aca="false">INT(
  NETWORKDAYS(B152,V152)-1
  + IF(WEEKDAY(V152,2)&lt;6,MOD(V152+W152,1),0)
  - IF(WEEKDAY(B152,2)&lt;6,MOD(B152+C152,1),0)
)
&amp; ":" &amp;
TEXT(HOUR(
  NETWORKDAYS(B152,V152)-1
  + IF(WEEKDAY(V152,2)&lt;6,MOD(V152+W152,1),0)
  - IF(WEEKDAY(B152,2)&lt;6,MOD(B152+C152,1),0)
),"00")
&amp; ":" &amp;
TEXT(MINUTE(
  NETWORKDAYS(B152,V152)-1
  + IF(WEEKDAY(V152,2)&lt;6,MOD(V152+W152,1),0)
  - IF(WEEKDAY(B152,2)&lt;6,MOD(B152+C152,1),0)
),"00")</f>
        <v>0:19:15</v>
      </c>
      <c r="AQ152" s="0" t="n">
        <f aca="false">IFERROR(
LEFT(AP152,FIND(":",AP152)-1)
+ MID(AP152,FIND(":",AP152)+1,2)/24
+ RIGHT(AP152,2)/1440,
"")</f>
        <v>0.802083333333333</v>
      </c>
      <c r="AR152" s="0" t="n">
        <f aca="false">WEEKNUM(B152,1)</f>
        <v>6</v>
      </c>
      <c r="AS152" s="17" t="n">
        <f aca="false">IF(B152&gt;0, (B152+C152)-TIME(13,30,0), "")</f>
        <v>46058.6145833333</v>
      </c>
      <c r="AT152" s="18" t="n">
        <f aca="false">IF(B152&gt;0, (B152+C152)-TIME(13,30,0), "")</f>
        <v>46058.6145833333</v>
      </c>
      <c r="AU152" s="17" t="n">
        <f aca="false">IF(V152&gt;0, (V152+W152)-TIME(13,30,0), "")</f>
        <v>46059.4173611111</v>
      </c>
      <c r="AV152" s="18" t="n">
        <f aca="false">IF(V152&gt;0, (V152+W152)-TIME(13,30,0), "")</f>
        <v>46059.4173611111</v>
      </c>
      <c r="AW152" s="19" t="n">
        <f aca="false">24*(
MAX(0,
IF(NETWORKDAYS(AS152,AU152)=1,
MIN(MOD(AV152,1),TIME(17,30,0)) - MAX(MOD(AT152,1),TIME(8,30,0)),
(TIME(17,30,0)-MAX(MOD(AT152,1),TIME(8,30,0)))
+ (MIN(MOD(AV152,1),TIME(17,30,0))-TIME(8,30,0))
+ (NETWORKDAYS(AS152,AU152)-2)*9/24
)
)
)</f>
        <v>4.26666666666667</v>
      </c>
      <c r="AX152" s="19" t="n">
        <f aca="false">24*(
MAX(0,
IF(NETWORKDAYS(AS152,AU152)=1,
MIN(MOD(AV152,1),TIME(17,30,0)) - MAX(MOD(AT152,1),TIME(8,30,0)),
(TIME(17,30,0)-MAX(MOD(AT152,1),TIME(8,30,0)))
+ (MIN(MOD(AV152,1),TIME(17,30,0))-TIME(8,30,0))
+ (NETWORKDAYS(AS152,AU152)-2)* (TIME(17,30,0)-TIME(8,30,0))
)
)
)</f>
        <v>4.26666666666667</v>
      </c>
      <c r="AY152" s="20" t="n">
        <f aca="false">ROUND(
IF(AS152=AU152,
MAX(0,
(MIN(MOD(AV152,1),TIME(17,30,0))-
MAX(MOD(AT152,1),TIME(8,30,0)))*24
),
(
(MAX(0,TIME(17,30,0)-MAX(MOD(AT152,1),TIME(8,30,0)))*24)
+
(MAX(0,MIN(MOD(AV152,1),TIME(17,30,0))-TIME(8,30,0))*24)
+
(MAX(0,NETWORKDAYS(AS152+1,AU152-1))*9)
)
),
2)</f>
        <v>4.27</v>
      </c>
      <c r="AZ152" s="0" t="n">
        <f aca="false" t="array" ref="AZ152:AZ152">_xlfn.XLOOKUP(J152,{"Low","Medium","High"},{270,72,24})</f>
        <v>270</v>
      </c>
      <c r="BA152" s="0" t="str">
        <f aca="false">IF(AW152&gt;AZ152,"Not Met","Met")</f>
        <v>Met</v>
      </c>
      <c r="BB152" s="21" t="str">
        <f aca="false">IF(AS152="","",TEXT(AS152,"MMM")&amp;"'"&amp;TEXT(AS152,"yy"))</f>
        <v>Feb'26</v>
      </c>
      <c r="BC152" s="0" t="str">
        <f aca="false">IF(AU152="","",TEXT(AU152,"MMM")&amp;"'"&amp;TEXT(AU152,"yy"))</f>
        <v>Feb'26</v>
      </c>
    </row>
    <row r="153" customFormat="false" ht="15" hidden="false" customHeight="false" outlineLevel="0" collapsed="false">
      <c r="A153" s="1" t="s">
        <v>603</v>
      </c>
      <c r="B153" s="11" t="n">
        <v>46059</v>
      </c>
      <c r="C153" s="12" t="n">
        <v>0.845833333333333</v>
      </c>
      <c r="D153" s="13" t="str">
        <f aca="false">IF(B153="","",TEXT(B153,"MMM")&amp;"'"&amp;TEXT(B153,"yy"))</f>
        <v>Feb'26</v>
      </c>
      <c r="E153" s="27" t="s">
        <v>55</v>
      </c>
      <c r="F153" s="1" t="s">
        <v>39</v>
      </c>
      <c r="G153" s="1" t="str">
        <f aca="false">IF(F153="Closed","Closed","Pending")</f>
        <v>Closed</v>
      </c>
      <c r="H153" s="1" t="s">
        <v>185</v>
      </c>
      <c r="I153" s="1" t="s">
        <v>223</v>
      </c>
      <c r="J153" s="51" t="s">
        <v>74</v>
      </c>
      <c r="K153" s="1" t="s">
        <v>59</v>
      </c>
      <c r="L153" s="23" t="s">
        <v>604</v>
      </c>
      <c r="M153" s="1" t="s">
        <v>605</v>
      </c>
      <c r="N153" s="35" t="s">
        <v>62</v>
      </c>
      <c r="O153" s="1" t="s">
        <v>63</v>
      </c>
      <c r="Q153" s="1" t="s">
        <v>229</v>
      </c>
      <c r="R153" s="1" t="s">
        <v>606</v>
      </c>
      <c r="U153" s="12" t="n">
        <v>0.949305555555556</v>
      </c>
      <c r="V153" s="11" t="n">
        <v>46062</v>
      </c>
      <c r="W153" s="12" t="n">
        <v>0.985416666666667</v>
      </c>
      <c r="X153" s="11" t="n">
        <v>46064</v>
      </c>
      <c r="Y153" s="12" t="n">
        <v>0.01875</v>
      </c>
      <c r="Z153" s="1" t="s">
        <v>108</v>
      </c>
      <c r="AA153" s="1" t="s">
        <v>68</v>
      </c>
      <c r="AB153" s="2" t="e">
        <f aca="false">U153-#REF!</f>
        <v>#REF!</v>
      </c>
      <c r="AC153" s="14" t="n">
        <f aca="false">(V153+W153)-(B153+C153)</f>
        <v>3.13958333333333</v>
      </c>
      <c r="AD153" s="4" t="str">
        <f aca="false">INT((V153+W153)-(B153+C153)) &amp; ":" &amp;
TEXT(HOUR((V153+W153)-(B153+C153)), "00") &amp; ":" &amp;
TEXT(MINUTE((V153+W153)-(B153+C153)), "00")</f>
        <v>3:03:21</v>
      </c>
      <c r="AE153" s="1" t="n">
        <f aca="false">IFERROR(
LEFT(AD153,FIND(":",AD153)-1)
+ MID(AD153,FIND(":",AD153)+1,2)/24
+ RIGHT(AD153,2)/1440,
"")</f>
        <v>3.13958333333333</v>
      </c>
      <c r="AF153" s="4" t="str">
        <f aca="false">INT((X153+Y153)-(B153+C153)) &amp; ":" &amp;
TEXT(HOUR((X153+Y153)-(B153+C153)), "00") &amp; ":" &amp;
TEXT(MINUTE((X153+Y153)-(B153+C153)), "00")</f>
        <v>4:04:09</v>
      </c>
      <c r="AG153" s="4" t="str">
        <f aca="false" t="array" ref="AG153:AG153">INT(_xlfn.XLOOKUP(J153,{"Low","Medium","High","Urgent"},{48,24,12,8})/24) &amp; ":" &amp;
TEXT(MOD(_xlfn.XLOOKUP(J153,{"Low","Medium","High","Urgent"},{48,24,12,8}),24)/24,"hh:mm")</f>
        <v>2:00:00</v>
      </c>
      <c r="AH153" s="4" t="str">
        <f aca="false">IF(AD153&gt;AG153,"Not Met","Met")</f>
        <v>Not Met</v>
      </c>
      <c r="AI153" s="4" t="e">
        <f aca="false">IF(AB153&lt;TIME(0,30,0),"Met","Not Met")</f>
        <v>#REF!</v>
      </c>
      <c r="AN153" s="1" t="str">
        <f aca="false">TEXT(B153,"dd")</f>
        <v>06</v>
      </c>
      <c r="AO153" s="1" t="str">
        <f aca="false">TEXT(X153,"dd")</f>
        <v>11</v>
      </c>
      <c r="AP153" s="16" t="str">
        <f aca="false">INT(
  NETWORKDAYS(B153,V153)-1
  + IF(WEEKDAY(V153,2)&lt;6,MOD(V153+W153,1),0)
  - IF(WEEKDAY(B153,2)&lt;6,MOD(B153+C153,1),0)
)
&amp; ":" &amp;
TEXT(HOUR(
  NETWORKDAYS(B153,V153)-1
  + IF(WEEKDAY(V153,2)&lt;6,MOD(V153+W153,1),0)
  - IF(WEEKDAY(B153,2)&lt;6,MOD(B153+C153,1),0)
),"00")
&amp; ":" &amp;
TEXT(MINUTE(
  NETWORKDAYS(B153,V153)-1
  + IF(WEEKDAY(V153,2)&lt;6,MOD(V153+W153,1),0)
  - IF(WEEKDAY(B153,2)&lt;6,MOD(B153+C153,1),0)
),"00")</f>
        <v>1:03:21</v>
      </c>
      <c r="AQ153" s="0" t="n">
        <f aca="false">IFERROR(
LEFT(AP153,FIND(":",AP153)-1)
+ MID(AP153,FIND(":",AP153)+1,2)/24
+ RIGHT(AP153,2)/1440,
"")</f>
        <v>1.13958333333333</v>
      </c>
      <c r="AR153" s="0" t="n">
        <f aca="false">WEEKNUM(B153,1)</f>
        <v>6</v>
      </c>
      <c r="AS153" s="17" t="n">
        <f aca="false">IF(B153&gt;0, (B153+C153)-TIME(13,30,0), "")</f>
        <v>46059.2833333333</v>
      </c>
      <c r="AT153" s="18" t="n">
        <f aca="false">IF(B153&gt;0, (B153+C153)-TIME(13,30,0), "")</f>
        <v>46059.2833333333</v>
      </c>
      <c r="AU153" s="17" t="n">
        <f aca="false">IF(V153&gt;0, (V153+W153)-TIME(13,30,0), "")</f>
        <v>46062.4229166667</v>
      </c>
      <c r="AV153" s="18" t="n">
        <f aca="false">IF(V153&gt;0, (V153+W153)-TIME(13,30,0), "")</f>
        <v>46062.4229166667</v>
      </c>
      <c r="AW153" s="19" t="n">
        <f aca="false">24*(
MAX(0,
IF(NETWORKDAYS(AS153,AU153)=1,
MIN(MOD(AV153,1),TIME(17,30,0)) - MAX(MOD(AT153,1),TIME(8,30,0)),
(TIME(17,30,0)-MAX(MOD(AT153,1),TIME(8,30,0)))
+ (MIN(MOD(AV153,1),TIME(17,30,0))-TIME(8,30,0))
+ (NETWORKDAYS(AS153,AU153)-2)*9/24
)
)
)</f>
        <v>10.65</v>
      </c>
      <c r="AX153" s="19" t="n">
        <f aca="false">24*(
MAX(0,
IF(NETWORKDAYS(AS153,AU153)=1,
MIN(MOD(AV153,1),TIME(17,30,0)) - MAX(MOD(AT153,1),TIME(8,30,0)),
(TIME(17,30,0)-MAX(MOD(AT153,1),TIME(8,30,0)))
+ (MIN(MOD(AV153,1),TIME(17,30,0))-TIME(8,30,0))
+ (NETWORKDAYS(AS153,AU153)-2)* (TIME(17,30,0)-TIME(8,30,0))
)
)
)</f>
        <v>10.65</v>
      </c>
      <c r="AY153" s="20" t="n">
        <f aca="false">ROUND(
IF(AS153=AU153,
MAX(0,
(MIN(MOD(AV153,1),TIME(17,30,0))-
MAX(MOD(AT153,1),TIME(8,30,0)))*24
),
(
(MAX(0,TIME(17,30,0)-MAX(MOD(AT153,1),TIME(8,30,0)))*24)
+
(MAX(0,MIN(MOD(AV153,1),TIME(17,30,0))-TIME(8,30,0))*24)
+
(MAX(0,NETWORKDAYS(AS153+1,AU153-1))*9)
)
),
2)</f>
        <v>10.65</v>
      </c>
      <c r="AZ153" s="0" t="n">
        <f aca="false" t="array" ref="AZ153:AZ153">_xlfn.XLOOKUP(J153,{"Low","Medium","High"},{270,72,24})</f>
        <v>270</v>
      </c>
      <c r="BA153" s="0" t="str">
        <f aca="false">IF(AW153&gt;AZ153,"Not Met","Met")</f>
        <v>Met</v>
      </c>
      <c r="BB153" s="21" t="str">
        <f aca="false">IF(AS153="","",TEXT(AS153,"MMM")&amp;"'"&amp;TEXT(AS153,"yy"))</f>
        <v>Feb'26</v>
      </c>
      <c r="BC153" s="0" t="str">
        <f aca="false">IF(AU153="","",TEXT(AU153,"MMM")&amp;"'"&amp;TEXT(AU153,"yy"))</f>
        <v>Feb'26</v>
      </c>
    </row>
    <row r="154" customFormat="false" ht="15" hidden="false" customHeight="false" outlineLevel="0" collapsed="false">
      <c r="A154" s="1" t="s">
        <v>607</v>
      </c>
      <c r="B154" s="11" t="n">
        <v>46059</v>
      </c>
      <c r="C154" s="12" t="n">
        <v>0.961111111111111</v>
      </c>
      <c r="D154" s="13" t="str">
        <f aca="false">IF(B154="","",TEXT(B154,"MMM")&amp;"'"&amp;TEXT(B154,"yy"))</f>
        <v>Feb'26</v>
      </c>
      <c r="E154" s="27" t="s">
        <v>55</v>
      </c>
      <c r="F154" s="1" t="s">
        <v>39</v>
      </c>
      <c r="G154" s="1" t="str">
        <f aca="false">IF(F154="Closed","Closed","Pending")</f>
        <v>Closed</v>
      </c>
      <c r="H154" s="1" t="s">
        <v>56</v>
      </c>
      <c r="I154" s="1" t="s">
        <v>270</v>
      </c>
      <c r="J154" s="51" t="s">
        <v>74</v>
      </c>
      <c r="K154" s="1" t="s">
        <v>59</v>
      </c>
      <c r="L154" s="23" t="s">
        <v>79</v>
      </c>
      <c r="M154" s="1" t="s">
        <v>608</v>
      </c>
      <c r="N154" s="35" t="s">
        <v>62</v>
      </c>
      <c r="O154" s="1" t="s">
        <v>106</v>
      </c>
      <c r="R154" s="1" t="s">
        <v>490</v>
      </c>
      <c r="U154" s="12" t="n">
        <v>0.981944444444444</v>
      </c>
      <c r="V154" s="11" t="n">
        <v>46122</v>
      </c>
      <c r="W154" s="12" t="n">
        <v>0.767361111111111</v>
      </c>
      <c r="X154" s="11" t="n">
        <v>46135</v>
      </c>
      <c r="Y154" s="12" t="n">
        <v>0.00277777777777778</v>
      </c>
      <c r="Z154" s="1" t="s">
        <v>108</v>
      </c>
      <c r="AA154" s="1" t="s">
        <v>68</v>
      </c>
      <c r="AB154" s="2" t="e">
        <f aca="false">U154-#REF!</f>
        <v>#REF!</v>
      </c>
      <c r="AC154" s="14" t="n">
        <f aca="false">(V154+W154)-(B154+C154)</f>
        <v>62.80625</v>
      </c>
      <c r="AD154" s="4" t="str">
        <f aca="false">INT((V154+W154)-(B154+C154)) &amp; ":" &amp;
TEXT(HOUR((V154+W154)-(B154+C154)), "00") &amp; ":" &amp;
TEXT(MINUTE((V154+W154)-(B154+C154)), "00")</f>
        <v>62:19:21</v>
      </c>
      <c r="AE154" s="1" t="n">
        <f aca="false">IFERROR(
LEFT(AD154,FIND(":",AD154)-1)
+ MID(AD154,FIND(":",AD154)+1,2)/24
+ RIGHT(AD154,2)/1440,
"")</f>
        <v>62.80625</v>
      </c>
      <c r="AF154" s="4" t="str">
        <f aca="false">INT((X154+Y154)-(B154+C154)) &amp; ":" &amp;
TEXT(HOUR((X154+Y154)-(B154+C154)), "00") &amp; ":" &amp;
TEXT(MINUTE((X154+Y154)-(B154+C154)), "00")</f>
        <v>75:01:00</v>
      </c>
      <c r="AG154" s="4" t="str">
        <f aca="false" t="array" ref="AG154:AG154">INT(_xlfn.XLOOKUP(J154,{"Low","Medium","High","Urgent"},{48,24,12,8})/24) &amp; ":" &amp;
TEXT(MOD(_xlfn.XLOOKUP(J154,{"Low","Medium","High","Urgent"},{48,24,12,8}),24)/24,"hh:mm")</f>
        <v>2:00:00</v>
      </c>
      <c r="AH154" s="4" t="str">
        <f aca="false">IF(AD154&gt;AG154,"Not Met","Met")</f>
        <v>Not Met</v>
      </c>
      <c r="AI154" s="4" t="e">
        <f aca="false">IF(AB154&lt;TIME(0,30,0),"Met","Not Met")</f>
        <v>#REF!</v>
      </c>
      <c r="AN154" s="1" t="str">
        <f aca="false">TEXT(B154,"dd")</f>
        <v>06</v>
      </c>
      <c r="AO154" s="1" t="str">
        <f aca="false">TEXT(X154,"dd")</f>
        <v>23</v>
      </c>
      <c r="AP154" s="16" t="str">
        <f aca="false">INT(
  NETWORKDAYS(B154,V154)-1
  + IF(WEEKDAY(V154,2)&lt;6,MOD(V154+W154,1),0)
  - IF(WEEKDAY(B154,2)&lt;6,MOD(B154+C154,1),0)
)
&amp; ":" &amp;
TEXT(HOUR(
  NETWORKDAYS(B154,V154)-1
  + IF(WEEKDAY(V154,2)&lt;6,MOD(V154+W154,1),0)
  - IF(WEEKDAY(B154,2)&lt;6,MOD(B154+C154,1),0)
),"00")
&amp; ":" &amp;
TEXT(MINUTE(
  NETWORKDAYS(B154,V154)-1
  + IF(WEEKDAY(V154,2)&lt;6,MOD(V154+W154,1),0)
  - IF(WEEKDAY(B154,2)&lt;6,MOD(B154+C154,1),0)
),"00")</f>
        <v>44:19:21</v>
      </c>
      <c r="AQ154" s="0" t="n">
        <f aca="false">IFERROR(
LEFT(AP154,FIND(":",AP154)-1)
+ MID(AP154,FIND(":",AP154)+1,2)/24
+ RIGHT(AP154,2)/1440,
"")</f>
        <v>44.80625</v>
      </c>
      <c r="AR154" s="0" t="n">
        <f aca="false">WEEKNUM(B154,1)</f>
        <v>6</v>
      </c>
      <c r="AS154" s="17" t="n">
        <f aca="false">IF(B154&gt;0, (B154+C154)-TIME(13,30,0), "")</f>
        <v>46059.3986111111</v>
      </c>
      <c r="AT154" s="18" t="n">
        <f aca="false">IF(B154&gt;0, (B154+C154)-TIME(13,30,0), "")</f>
        <v>46059.3986111111</v>
      </c>
      <c r="AU154" s="17" t="n">
        <f aca="false">IF(V154&gt;0, (V154+W154)-TIME(13,30,0), "")</f>
        <v>46122.2048611111</v>
      </c>
      <c r="AV154" s="18" t="n">
        <f aca="false">IF(V154&gt;0, (V154+W154)-TIME(13,30,0), "")</f>
        <v>46122.2048611111</v>
      </c>
      <c r="AW154" s="19" t="n">
        <f aca="false">24*(
MAX(0,
IF(NETWORKDAYS(AS154,AU154)=1,
MIN(MOD(AV154,1),TIME(17,30,0)) - MAX(MOD(AT154,1),TIME(8,30,0)),
(TIME(17,30,0)-MAX(MOD(AT154,1),TIME(8,30,0)))
+ (MIN(MOD(AV154,1),TIME(17,30,0))-TIME(8,30,0))
+ (NETWORKDAYS(AS154,AU154)-2)*9/24
)
)
)</f>
        <v>400.35</v>
      </c>
      <c r="AX154" s="19" t="n">
        <f aca="false">24*(
MAX(0,
IF(NETWORKDAYS(AS154,AU154)=1,
MIN(MOD(AV154,1),TIME(17,30,0)) - MAX(MOD(AT154,1),TIME(8,30,0)),
(TIME(17,30,0)-MAX(MOD(AT154,1),TIME(8,30,0)))
+ (MIN(MOD(AV154,1),TIME(17,30,0))-TIME(8,30,0))
+ (NETWORKDAYS(AS154,AU154)-2)* (TIME(17,30,0)-TIME(8,30,0))
)
)
)</f>
        <v>400.35</v>
      </c>
      <c r="AY154" s="20" t="n">
        <f aca="false">ROUND(
IF(AS154=AU154,
MAX(0,
(MIN(MOD(AV154,1),TIME(17,30,0))-
MAX(MOD(AT154,1),TIME(8,30,0)))*24
),
(
(MAX(0,TIME(17,30,0)-MAX(MOD(AT154,1),TIME(8,30,0)))*24)
+
(MAX(0,MIN(MOD(AV154,1),TIME(17,30,0))-TIME(8,30,0))*24)
+
(MAX(0,NETWORKDAYS(AS154+1,AU154-1))*9)
)
),
2)</f>
        <v>403.93</v>
      </c>
      <c r="AZ154" s="0" t="n">
        <f aca="false" t="array" ref="AZ154:AZ154">_xlfn.XLOOKUP(J154,{"Low","Medium","High"},{270,72,24})</f>
        <v>270</v>
      </c>
      <c r="BA154" s="0" t="str">
        <f aca="false">IF(AW154&gt;AZ154,"Not Met","Met")</f>
        <v>Not Met</v>
      </c>
      <c r="BB154" s="21" t="str">
        <f aca="false">IF(AS154="","",TEXT(AS154,"MMM")&amp;"'"&amp;TEXT(AS154,"yy"))</f>
        <v>Feb'26</v>
      </c>
      <c r="BC154" s="0" t="str">
        <f aca="false">IF(AU154="","",TEXT(AU154,"MMM")&amp;"'"&amp;TEXT(AU154,"yy"))</f>
        <v>Apr'26</v>
      </c>
    </row>
    <row r="155" customFormat="false" ht="15" hidden="false" customHeight="false" outlineLevel="0" collapsed="false">
      <c r="A155" s="23" t="s">
        <v>609</v>
      </c>
      <c r="B155" s="24" t="n">
        <v>46062</v>
      </c>
      <c r="C155" s="12" t="n">
        <v>0.822916666666667</v>
      </c>
      <c r="D155" s="13" t="str">
        <f aca="false">IF(B155="","",TEXT(B155,"MMM")&amp;"'"&amp;TEXT(B155,"yy"))</f>
        <v>Feb'26</v>
      </c>
      <c r="E155" s="27" t="s">
        <v>55</v>
      </c>
      <c r="F155" s="1" t="s">
        <v>39</v>
      </c>
      <c r="G155" s="1" t="str">
        <f aca="false">IF(F155="Closed","Closed","Pending")</f>
        <v>Closed</v>
      </c>
      <c r="H155" s="23" t="s">
        <v>185</v>
      </c>
      <c r="I155" s="1" t="s">
        <v>223</v>
      </c>
      <c r="J155" s="51" t="s">
        <v>74</v>
      </c>
      <c r="K155" s="1" t="s">
        <v>59</v>
      </c>
      <c r="L155" s="23" t="s">
        <v>610</v>
      </c>
      <c r="M155" s="29" t="s">
        <v>611</v>
      </c>
      <c r="N155" s="1" t="s">
        <v>62</v>
      </c>
      <c r="O155" s="1" t="s">
        <v>77</v>
      </c>
      <c r="Q155" s="1" t="s">
        <v>86</v>
      </c>
      <c r="R155" s="1" t="s">
        <v>66</v>
      </c>
      <c r="U155" s="12" t="n">
        <v>0.941666666666667</v>
      </c>
      <c r="V155" s="11" t="n">
        <v>46063</v>
      </c>
      <c r="W155" s="12" t="n">
        <v>0.94375</v>
      </c>
      <c r="X155" s="11" t="n">
        <v>46064</v>
      </c>
      <c r="Y155" s="12" t="n">
        <v>0.979861111111111</v>
      </c>
      <c r="Z155" s="1" t="s">
        <v>108</v>
      </c>
      <c r="AA155" s="1" t="s">
        <v>68</v>
      </c>
      <c r="AB155" s="2" t="e">
        <f aca="false">U155-#REF!</f>
        <v>#REF!</v>
      </c>
      <c r="AC155" s="14" t="n">
        <f aca="false">(V155+W155)-(B155+C155)</f>
        <v>1.12083333333333</v>
      </c>
      <c r="AD155" s="4" t="str">
        <f aca="false">INT((V155+W155)-(B155+C155)) &amp; ":" &amp;
TEXT(HOUR((V155+W155)-(B155+C155)), "00") &amp; ":" &amp;
TEXT(MINUTE((V155+W155)-(B155+C155)), "00")</f>
        <v>1:02:54</v>
      </c>
      <c r="AE155" s="1" t="n">
        <f aca="false">IFERROR(
LEFT(AD155,FIND(":",AD155)-1)
+ MID(AD155,FIND(":",AD155)+1,2)/24
+ RIGHT(AD155,2)/1440,
"")</f>
        <v>1.12083333333333</v>
      </c>
      <c r="AF155" s="4" t="str">
        <f aca="false">INT((X155+Y155)-(B155+C155)) &amp; ":" &amp;
TEXT(HOUR((X155+Y155)-(B155+C155)), "00") &amp; ":" &amp;
TEXT(MINUTE((X155+Y155)-(B155+C155)), "00")</f>
        <v>2:03:46</v>
      </c>
      <c r="AG155" s="4" t="str">
        <f aca="false" t="array" ref="AG155:AG155">INT(_xlfn.XLOOKUP(J155,{"Low","Medium","High","Urgent"},{48,24,12,8})/24) &amp; ":" &amp;
TEXT(MOD(_xlfn.XLOOKUP(J155,{"Low","Medium","High","Urgent"},{48,24,12,8}),24)/24,"hh:mm")</f>
        <v>2:00:00</v>
      </c>
      <c r="AH155" s="4" t="str">
        <f aca="false">IF(AD155&gt;AG155,"Not Met","Met")</f>
        <v>Met</v>
      </c>
      <c r="AI155" s="4" t="e">
        <f aca="false">IF(AB155&lt;TIME(0,30,0),"Met","Not Met")</f>
        <v>#REF!</v>
      </c>
      <c r="AN155" s="1" t="str">
        <f aca="false">TEXT(B155,"dd")</f>
        <v>09</v>
      </c>
      <c r="AO155" s="1" t="str">
        <f aca="false">TEXT(X155,"dd")</f>
        <v>11</v>
      </c>
      <c r="AP155" s="16" t="str">
        <f aca="false">INT(
  NETWORKDAYS(B155,V155)-1
  + IF(WEEKDAY(V155,2)&lt;6,MOD(V155+W155,1),0)
  - IF(WEEKDAY(B155,2)&lt;6,MOD(B155+C155,1),0)
)
&amp; ":" &amp;
TEXT(HOUR(
  NETWORKDAYS(B155,V155)-1
  + IF(WEEKDAY(V155,2)&lt;6,MOD(V155+W155,1),0)
  - IF(WEEKDAY(B155,2)&lt;6,MOD(B155+C155,1),0)
),"00")
&amp; ":" &amp;
TEXT(MINUTE(
  NETWORKDAYS(B155,V155)-1
  + IF(WEEKDAY(V155,2)&lt;6,MOD(V155+W155,1),0)
  - IF(WEEKDAY(B155,2)&lt;6,MOD(B155+C155,1),0)
),"00")</f>
        <v>1:02:54</v>
      </c>
      <c r="AQ155" s="0" t="n">
        <f aca="false">IFERROR(
LEFT(AP155,FIND(":",AP155)-1)
+ MID(AP155,FIND(":",AP155)+1,2)/24
+ RIGHT(AP155,2)/1440,
"")</f>
        <v>1.12083333333333</v>
      </c>
      <c r="AR155" s="0" t="n">
        <f aca="false">WEEKNUM(B155,1)</f>
        <v>7</v>
      </c>
      <c r="AS155" s="17" t="n">
        <f aca="false">IF(B155&gt;0, (B155+C155)-TIME(13,30,0), "")</f>
        <v>46062.2604166667</v>
      </c>
      <c r="AT155" s="18" t="n">
        <f aca="false">IF(B155&gt;0, (B155+C155)-TIME(13,30,0), "")</f>
        <v>46062.2604166667</v>
      </c>
      <c r="AU155" s="17" t="n">
        <f aca="false">IF(V155&gt;0, (V155+W155)-TIME(13,30,0), "")</f>
        <v>46063.38125</v>
      </c>
      <c r="AV155" s="18" t="n">
        <f aca="false">IF(V155&gt;0, (V155+W155)-TIME(13,30,0), "")</f>
        <v>46063.38125</v>
      </c>
      <c r="AW155" s="19" t="n">
        <f aca="false">24*(
MAX(0,
IF(NETWORKDAYS(AS155,AU155)=1,
MIN(MOD(AV155,1),TIME(17,30,0)) - MAX(MOD(AT155,1),TIME(8,30,0)),
(TIME(17,30,0)-MAX(MOD(AT155,1),TIME(8,30,0)))
+ (MIN(MOD(AV155,1),TIME(17,30,0))-TIME(8,30,0))
+ (NETWORKDAYS(AS155,AU155)-2)*9/24
)
)
)</f>
        <v>9.65</v>
      </c>
      <c r="AX155" s="19" t="n">
        <f aca="false">24*(
MAX(0,
IF(NETWORKDAYS(AS155,AU155)=1,
MIN(MOD(AV155,1),TIME(17,30,0)) - MAX(MOD(AT155,1),TIME(8,30,0)),
(TIME(17,30,0)-MAX(MOD(AT155,1),TIME(8,30,0)))
+ (MIN(MOD(AV155,1),TIME(17,30,0))-TIME(8,30,0))
+ (NETWORKDAYS(AS155,AU155)-2)* (TIME(17,30,0)-TIME(8,30,0))
)
)
)</f>
        <v>9.65</v>
      </c>
      <c r="AY155" s="20" t="n">
        <f aca="false">ROUND(
IF(AS155=AU155,
MAX(0,
(MIN(MOD(AV155,1),TIME(17,30,0))-
MAX(MOD(AT155,1),TIME(8,30,0)))*24
),
(
(MAX(0,TIME(17,30,0)-MAX(MOD(AT155,1),TIME(8,30,0)))*24)
+
(MAX(0,MIN(MOD(AV155,1),TIME(17,30,0))-TIME(8,30,0))*24)
+
(MAX(0,NETWORKDAYS(AS155+1,AU155-1))*9)
)
),
2)</f>
        <v>9.65</v>
      </c>
      <c r="AZ155" s="0" t="n">
        <f aca="false" t="array" ref="AZ155:AZ155">_xlfn.XLOOKUP(J155,{"Low","Medium","High"},{270,72,24})</f>
        <v>270</v>
      </c>
      <c r="BA155" s="0" t="str">
        <f aca="false">IF(AW155&gt;AZ155,"Not Met","Met")</f>
        <v>Met</v>
      </c>
      <c r="BB155" s="21" t="str">
        <f aca="false">IF(AS155="","",TEXT(AS155,"MMM")&amp;"'"&amp;TEXT(AS155,"yy"))</f>
        <v>Feb'26</v>
      </c>
      <c r="BC155" s="0" t="str">
        <f aca="false">IF(AU155="","",TEXT(AU155,"MMM")&amp;"'"&amp;TEXT(AU155,"yy"))</f>
        <v>Feb'26</v>
      </c>
    </row>
    <row r="156" customFormat="false" ht="15" hidden="false" customHeight="false" outlineLevel="0" collapsed="false">
      <c r="A156" s="23" t="s">
        <v>612</v>
      </c>
      <c r="B156" s="24" t="n">
        <v>46063</v>
      </c>
      <c r="C156" s="12" t="n">
        <v>0.0361111111111111</v>
      </c>
      <c r="D156" s="13" t="str">
        <f aca="false">IF(B156="","",TEXT(B156,"MMM")&amp;"'"&amp;TEXT(B156,"yy"))</f>
        <v>Feb'26</v>
      </c>
      <c r="E156" s="27" t="s">
        <v>55</v>
      </c>
      <c r="F156" s="1" t="s">
        <v>39</v>
      </c>
      <c r="G156" s="1" t="str">
        <f aca="false">IF(F156="Closed","Closed","Pending")</f>
        <v>Closed</v>
      </c>
      <c r="H156" s="23" t="s">
        <v>72</v>
      </c>
      <c r="I156" s="1" t="s">
        <v>73</v>
      </c>
      <c r="J156" s="51" t="s">
        <v>74</v>
      </c>
      <c r="K156" s="1" t="s">
        <v>59</v>
      </c>
      <c r="L156" s="23" t="s">
        <v>613</v>
      </c>
      <c r="M156" s="1" t="s">
        <v>614</v>
      </c>
      <c r="N156" s="1" t="s">
        <v>62</v>
      </c>
      <c r="O156" s="1" t="s">
        <v>77</v>
      </c>
      <c r="Q156" s="1" t="s">
        <v>86</v>
      </c>
      <c r="R156" s="1" t="s">
        <v>87</v>
      </c>
      <c r="U156" s="12" t="n">
        <v>0.04375</v>
      </c>
      <c r="V156" s="11" t="n">
        <v>46064</v>
      </c>
      <c r="W156" s="12" t="n">
        <v>0.946527777777778</v>
      </c>
      <c r="X156" s="11" t="n">
        <v>46065</v>
      </c>
      <c r="Y156" s="12" t="n">
        <v>0.00972222222222222</v>
      </c>
      <c r="Z156" s="1" t="s">
        <v>67</v>
      </c>
      <c r="AA156" s="1" t="s">
        <v>68</v>
      </c>
      <c r="AB156" s="2" t="e">
        <f aca="false">U156-#REF!</f>
        <v>#REF!</v>
      </c>
      <c r="AC156" s="14" t="n">
        <f aca="false">(V156+W156)-(B156+C156)</f>
        <v>1.91041666666667</v>
      </c>
      <c r="AD156" s="4" t="str">
        <f aca="false">INT((V156+W156)-(B156+C156)) &amp; ":" &amp;
TEXT(HOUR((V156+W156)-(B156+C156)), "00") &amp; ":" &amp;
TEXT(MINUTE((V156+W156)-(B156+C156)), "00")</f>
        <v>1:21:51</v>
      </c>
      <c r="AE156" s="1" t="n">
        <f aca="false">IFERROR(
LEFT(AD156,FIND(":",AD156)-1)
+ MID(AD156,FIND(":",AD156)+1,2)/24
+ RIGHT(AD156,2)/1440,
"")</f>
        <v>1.91041666666667</v>
      </c>
      <c r="AF156" s="4" t="str">
        <f aca="false">INT((X156+Y156)-(B156+C156)) &amp; ":" &amp;
TEXT(HOUR((X156+Y156)-(B156+C156)), "00") &amp; ":" &amp;
TEXT(MINUTE((X156+Y156)-(B156+C156)), "00")</f>
        <v>1:23:22</v>
      </c>
      <c r="AG156" s="4" t="str">
        <f aca="false" t="array" ref="AG156:AG156">INT(_xlfn.XLOOKUP(J156,{"Low","Medium","High","Urgent"},{48,24,12,8})/24) &amp; ":" &amp;
TEXT(MOD(_xlfn.XLOOKUP(J156,{"Low","Medium","High","Urgent"},{48,24,12,8}),24)/24,"hh:mm")</f>
        <v>2:00:00</v>
      </c>
      <c r="AH156" s="4" t="str">
        <f aca="false">IF(AD156&gt;AG156,"Not Met","Met")</f>
        <v>Met</v>
      </c>
      <c r="AI156" s="4" t="e">
        <f aca="false">IF(AB156&lt;TIME(0,30,0),"Met","Not Met")</f>
        <v>#REF!</v>
      </c>
      <c r="AN156" s="1" t="str">
        <f aca="false">TEXT(B156,"dd")</f>
        <v>10</v>
      </c>
      <c r="AO156" s="1" t="str">
        <f aca="false">TEXT(X156,"dd")</f>
        <v>12</v>
      </c>
      <c r="AP156" s="16" t="str">
        <f aca="false">INT(
  NETWORKDAYS(B156,V156)-1
  + IF(WEEKDAY(V156,2)&lt;6,MOD(V156+W156,1),0)
  - IF(WEEKDAY(B156,2)&lt;6,MOD(B156+C156,1),0)
)
&amp; ":" &amp;
TEXT(HOUR(
  NETWORKDAYS(B156,V156)-1
  + IF(WEEKDAY(V156,2)&lt;6,MOD(V156+W156,1),0)
  - IF(WEEKDAY(B156,2)&lt;6,MOD(B156+C156,1),0)
),"00")
&amp; ":" &amp;
TEXT(MINUTE(
  NETWORKDAYS(B156,V156)-1
  + IF(WEEKDAY(V156,2)&lt;6,MOD(V156+W156,1),0)
  - IF(WEEKDAY(B156,2)&lt;6,MOD(B156+C156,1),0)
),"00")</f>
        <v>1:21:50</v>
      </c>
      <c r="AQ156" s="0" t="n">
        <f aca="false">IFERROR(
LEFT(AP156,FIND(":",AP156)-1)
+ MID(AP156,FIND(":",AP156)+1,2)/24
+ RIGHT(AP156,2)/1440,
"")</f>
        <v>1.90972222222222</v>
      </c>
      <c r="AR156" s="0" t="n">
        <f aca="false">WEEKNUM(B156,1)</f>
        <v>7</v>
      </c>
      <c r="AS156" s="17" t="n">
        <f aca="false">IF(B156&gt;0, (B156+C156)-TIME(13,30,0), "")</f>
        <v>46062.4736111111</v>
      </c>
      <c r="AT156" s="18" t="n">
        <f aca="false">IF(B156&gt;0, (B156+C156)-TIME(13,30,0), "")</f>
        <v>46062.4736111111</v>
      </c>
      <c r="AU156" s="17" t="n">
        <f aca="false">IF(V156&gt;0, (V156+W156)-TIME(13,30,0), "")</f>
        <v>46064.3840277778</v>
      </c>
      <c r="AV156" s="18" t="n">
        <f aca="false">IF(V156&gt;0, (V156+W156)-TIME(13,30,0), "")</f>
        <v>46064.3840277778</v>
      </c>
      <c r="AW156" s="19" t="n">
        <f aca="false">24*(
MAX(0,
IF(NETWORKDAYS(AS156,AU156)=1,
MIN(MOD(AV156,1),TIME(17,30,0)) - MAX(MOD(AT156,1),TIME(8,30,0)),
(TIME(17,30,0)-MAX(MOD(AT156,1),TIME(8,30,0)))
+ (MIN(MOD(AV156,1),TIME(17,30,0))-TIME(8,30,0))
+ (NETWORKDAYS(AS156,AU156)-2)*9/24
)
)
)</f>
        <v>15.85</v>
      </c>
      <c r="AX156" s="19" t="n">
        <f aca="false">24*(
MAX(0,
IF(NETWORKDAYS(AS156,AU156)=1,
MIN(MOD(AV156,1),TIME(17,30,0)) - MAX(MOD(AT156,1),TIME(8,30,0)),
(TIME(17,30,0)-MAX(MOD(AT156,1),TIME(8,30,0)))
+ (MIN(MOD(AV156,1),TIME(17,30,0))-TIME(8,30,0))
+ (NETWORKDAYS(AS156,AU156)-2)* (TIME(17,30,0)-TIME(8,30,0))
)
)
)</f>
        <v>15.85</v>
      </c>
      <c r="AY156" s="20" t="n">
        <f aca="false">ROUND(
IF(AS156=AU156,
MAX(0,
(MIN(MOD(AV156,1),TIME(17,30,0))-
MAX(MOD(AT156,1),TIME(8,30,0)))*24
),
(
(MAX(0,TIME(17,30,0)-MAX(MOD(AT156,1),TIME(8,30,0)))*24)
+
(MAX(0,MIN(MOD(AV156,1),TIME(17,30,0))-TIME(8,30,0))*24)
+
(MAX(0,NETWORKDAYS(AS156+1,AU156-1))*9)
)
),
2)</f>
        <v>15.85</v>
      </c>
      <c r="AZ156" s="0" t="n">
        <f aca="false" t="array" ref="AZ156:AZ156">_xlfn.XLOOKUP(J156,{"Low","Medium","High"},{270,72,24})</f>
        <v>270</v>
      </c>
      <c r="BA156" s="0" t="str">
        <f aca="false">IF(AW156&gt;AZ156,"Not Met","Met")</f>
        <v>Met</v>
      </c>
      <c r="BB156" s="21" t="str">
        <f aca="false">IF(AS156="","",TEXT(AS156,"MMM")&amp;"'"&amp;TEXT(AS156,"yy"))</f>
        <v>Feb'26</v>
      </c>
      <c r="BC156" s="0" t="str">
        <f aca="false">IF(AU156="","",TEXT(AU156,"MMM")&amp;"'"&amp;TEXT(AU156,"yy"))</f>
        <v>Feb'26</v>
      </c>
    </row>
    <row r="157" customFormat="false" ht="15" hidden="false" customHeight="false" outlineLevel="0" collapsed="false">
      <c r="A157" s="23" t="s">
        <v>615</v>
      </c>
      <c r="B157" s="24" t="n">
        <v>46063</v>
      </c>
      <c r="C157" s="12" t="n">
        <v>0.0722222222222222</v>
      </c>
      <c r="D157" s="13" t="str">
        <f aca="false">IF(B157="","",TEXT(B157,"MMM")&amp;"'"&amp;TEXT(B157,"yy"))</f>
        <v>Feb'26</v>
      </c>
      <c r="E157" s="27" t="s">
        <v>55</v>
      </c>
      <c r="F157" s="1" t="s">
        <v>39</v>
      </c>
      <c r="G157" s="1" t="str">
        <f aca="false">IF(F157="Closed","Closed","Pending")</f>
        <v>Closed</v>
      </c>
      <c r="H157" s="23" t="s">
        <v>72</v>
      </c>
      <c r="I157" s="26" t="s">
        <v>73</v>
      </c>
      <c r="J157" s="51" t="s">
        <v>74</v>
      </c>
      <c r="K157" s="1" t="s">
        <v>59</v>
      </c>
      <c r="L157" s="23" t="s">
        <v>616</v>
      </c>
      <c r="M157" s="1" t="s">
        <v>617</v>
      </c>
      <c r="N157" s="1" t="s">
        <v>62</v>
      </c>
      <c r="O157" s="1" t="s">
        <v>106</v>
      </c>
      <c r="Q157" s="1" t="s">
        <v>618</v>
      </c>
      <c r="R157" s="1" t="s">
        <v>490</v>
      </c>
      <c r="U157" s="12" t="n">
        <v>0.0958333333333333</v>
      </c>
      <c r="V157" s="11" t="n">
        <v>46164</v>
      </c>
      <c r="W157" s="12" t="n">
        <v>0.874305555555556</v>
      </c>
      <c r="X157" s="11" t="n">
        <v>46170</v>
      </c>
      <c r="Y157" s="12" t="n">
        <v>0.894444444444445</v>
      </c>
      <c r="Z157" s="1" t="s">
        <v>108</v>
      </c>
      <c r="AA157" s="1" t="s">
        <v>89</v>
      </c>
      <c r="AB157" s="2" t="e">
        <f aca="false">U157-#REF!</f>
        <v>#REF!</v>
      </c>
      <c r="AC157" s="14" t="n">
        <f aca="false">(V157+W157)-(B157+C157)</f>
        <v>101.802083333333</v>
      </c>
      <c r="AD157" s="4" t="str">
        <f aca="false">INT((V157+W157)-(B157+C157)) &amp; ":" &amp;
TEXT(HOUR((V157+W157)-(B157+C157)), "00") &amp; ":" &amp;
TEXT(MINUTE((V157+W157)-(B157+C157)), "00")</f>
        <v>101:19:15</v>
      </c>
      <c r="AE157" s="1" t="n">
        <f aca="false">IFERROR(
LEFT(AD157,FIND(":",AD157)-1)
+ MID(AD157,FIND(":",AD157)+1,2)/24
+ RIGHT(AD157,2)/1440,
"")</f>
        <v>101.802083333333</v>
      </c>
      <c r="AF157" s="4" t="str">
        <f aca="false">INT((X157+Y157)-(B157+C157)) &amp; ":" &amp;
TEXT(HOUR((X157+Y157)-(B157+C157)), "00") &amp; ":" &amp;
TEXT(MINUTE((X157+Y157)-(B157+C157)), "00")</f>
        <v>107:19:44</v>
      </c>
      <c r="AG157" s="4" t="str">
        <f aca="false" t="array" ref="AG157:AG157">INT(_xlfn.XLOOKUP(J157,{"Low","Medium","High","Urgent"},{48,24,12,8})/24) &amp; ":" &amp;
TEXT(MOD(_xlfn.XLOOKUP(J157,{"Low","Medium","High","Urgent"},{48,24,12,8}),24)/24,"hh:mm")</f>
        <v>2:00:00</v>
      </c>
      <c r="AH157" s="4" t="str">
        <f aca="false">IF(AD157&gt;AG157,"Not Met","Met")</f>
        <v>Met</v>
      </c>
      <c r="AI157" s="4" t="e">
        <f aca="false">IF(AB157&lt;TIME(0,30,0),"Met","Not Met")</f>
        <v>#REF!</v>
      </c>
      <c r="AJ157" s="25" t="n">
        <v>46084.0583333333</v>
      </c>
      <c r="AN157" s="1" t="str">
        <f aca="false">TEXT(B157,"dd")</f>
        <v>10</v>
      </c>
      <c r="AO157" s="1" t="str">
        <f aca="false">TEXT(X157,"dd")</f>
        <v>28</v>
      </c>
      <c r="AP157" s="16" t="str">
        <f aca="false">INT(
  NETWORKDAYS(B157,V157)-1
  + IF(WEEKDAY(V157,2)&lt;6,MOD(V157+W157,1),0)
  - IF(WEEKDAY(B157,2)&lt;6,MOD(B157+C157,1),0)
)
&amp; ":" &amp;
TEXT(HOUR(
  NETWORKDAYS(B157,V157)-1
  + IF(WEEKDAY(V157,2)&lt;6,MOD(V157+W157,1),0)
  - IF(WEEKDAY(B157,2)&lt;6,MOD(B157+C157,1),0)
),"00")
&amp; ":" &amp;
TEXT(MINUTE(
  NETWORKDAYS(B157,V157)-1
  + IF(WEEKDAY(V157,2)&lt;6,MOD(V157+W157,1),0)
  - IF(WEEKDAY(B157,2)&lt;6,MOD(B157+C157,1),0)
),"00")</f>
        <v>73:19:14</v>
      </c>
      <c r="AQ157" s="0" t="n">
        <f aca="false">IFERROR(
LEFT(AP157,FIND(":",AP157)-1)
+ MID(AP157,FIND(":",AP157)+1,2)/24
+ RIGHT(AP157,2)/1440,
"")</f>
        <v>73.8013888888889</v>
      </c>
      <c r="AR157" s="0" t="n">
        <f aca="false">WEEKNUM(B157,1)</f>
        <v>7</v>
      </c>
      <c r="AS157" s="17" t="n">
        <f aca="false">IF(B157&gt;0, (B157+C157)-TIME(13,30,0), "")</f>
        <v>46062.5097222222</v>
      </c>
      <c r="AT157" s="18" t="n">
        <f aca="false">IF(B157&gt;0, (B157+C157)-TIME(13,30,0), "")</f>
        <v>46062.5097222222</v>
      </c>
      <c r="AU157" s="17" t="n">
        <f aca="false">IF(V157&gt;0, (V157+W157)-TIME(13,30,0), "")</f>
        <v>46164.3118055556</v>
      </c>
      <c r="AV157" s="18" t="n">
        <f aca="false">IF(V157&gt;0, (V157+W157)-TIME(13,30,0), "")</f>
        <v>46164.3118055556</v>
      </c>
      <c r="AW157" s="19" t="n">
        <f aca="false">24*(
MAX(0,
IF(NETWORKDAYS(AS157,AU157)=1,
MIN(MOD(AV157,1),TIME(17,30,0)) - MAX(MOD(AT157,1),TIME(8,30,0)),
(TIME(17,30,0)-MAX(MOD(AT157,1),TIME(8,30,0)))
+ (MIN(MOD(AV157,1),TIME(17,30,0))-TIME(8,30,0))
+ (NETWORKDAYS(AS157,AU157)-2)*9/24
)
)
)</f>
        <v>661.25</v>
      </c>
      <c r="AX157" s="19" t="n">
        <f aca="false">24*(
MAX(0,
IF(NETWORKDAYS(AS157,AU157)=1,
MIN(MOD(AV157,1),TIME(17,30,0)) - MAX(MOD(AT157,1),TIME(8,30,0)),
(TIME(17,30,0)-MAX(MOD(AT157,1),TIME(8,30,0)))
+ (MIN(MOD(AV157,1),TIME(17,30,0))-TIME(8,30,0))
+ (NETWORKDAYS(AS157,AU157)-2)* (TIME(17,30,0)-TIME(8,30,0))
)
)
)</f>
        <v>661.25</v>
      </c>
      <c r="AY157" s="20" t="n">
        <f aca="false">ROUND(
IF(AS157=AU157,
MAX(0,
(MIN(MOD(AV157,1),TIME(17,30,0))-
MAX(MOD(AT157,1),TIME(8,30,0)))*24
),
(
(MAX(0,TIME(17,30,0)-MAX(MOD(AT157,1),TIME(8,30,0)))*24)
+
(MAX(0,MIN(MOD(AV157,1),TIME(17,30,0))-TIME(8,30,0))*24)
+
(MAX(0,NETWORKDAYS(AS157+1,AU157-1))*9)
)
),
2)</f>
        <v>662.27</v>
      </c>
      <c r="AZ157" s="0" t="n">
        <f aca="false" t="array" ref="AZ157:AZ157">_xlfn.XLOOKUP(J157,{"Low","Medium","High"},{270,72,24})</f>
        <v>270</v>
      </c>
      <c r="BA157" s="0" t="str">
        <f aca="false">IF(AW157&gt;AZ157,"Not Met","Met")</f>
        <v>Not Met</v>
      </c>
      <c r="BB157" s="21" t="str">
        <f aca="false">IF(AS157="","",TEXT(AS157,"MMM")&amp;"'"&amp;TEXT(AS157,"yy"))</f>
        <v>Feb'26</v>
      </c>
      <c r="BC157" s="0" t="str">
        <f aca="false">IF(AU157="","",TEXT(AU157,"MMM")&amp;"'"&amp;TEXT(AU157,"yy"))</f>
        <v>May'26</v>
      </c>
    </row>
    <row r="158" customFormat="false" ht="15" hidden="false" customHeight="false" outlineLevel="0" collapsed="false">
      <c r="A158" s="23" t="s">
        <v>619</v>
      </c>
      <c r="B158" s="24" t="n">
        <v>46063</v>
      </c>
      <c r="C158" s="12" t="n">
        <v>0.860416666666667</v>
      </c>
      <c r="D158" s="13" t="str">
        <f aca="false">IF(B158="","",TEXT(B158,"MMM")&amp;"'"&amp;TEXT(B158,"yy"))</f>
        <v>Feb'26</v>
      </c>
      <c r="E158" s="27" t="s">
        <v>55</v>
      </c>
      <c r="F158" s="1" t="s">
        <v>39</v>
      </c>
      <c r="G158" s="1" t="str">
        <f aca="false">IF(F158="Closed","Closed","Pending")</f>
        <v>Closed</v>
      </c>
      <c r="H158" s="27" t="s">
        <v>72</v>
      </c>
      <c r="I158" s="1" t="s">
        <v>73</v>
      </c>
      <c r="J158" s="51" t="s">
        <v>74</v>
      </c>
      <c r="K158" s="1" t="s">
        <v>59</v>
      </c>
      <c r="L158" s="1" t="s">
        <v>620</v>
      </c>
      <c r="M158" s="1" t="s">
        <v>621</v>
      </c>
      <c r="N158" s="1" t="s">
        <v>62</v>
      </c>
      <c r="O158" s="1" t="s">
        <v>63</v>
      </c>
      <c r="R158" s="1" t="s">
        <v>622</v>
      </c>
      <c r="U158" s="12" t="n">
        <v>0.90625</v>
      </c>
      <c r="V158" s="11" t="n">
        <v>46108</v>
      </c>
      <c r="W158" s="12" t="n">
        <v>0.947916666666667</v>
      </c>
      <c r="X158" s="11" t="n">
        <v>46083</v>
      </c>
      <c r="Y158" s="12" t="n">
        <v>0.984027777777778</v>
      </c>
      <c r="Z158" s="1" t="s">
        <v>67</v>
      </c>
      <c r="AA158" s="1" t="s">
        <v>68</v>
      </c>
      <c r="AB158" s="2" t="e">
        <f aca="false">U158-#REF!</f>
        <v>#REF!</v>
      </c>
      <c r="AC158" s="14" t="n">
        <f aca="false">(V158+W158)-(B158+C158)</f>
        <v>45.0875</v>
      </c>
      <c r="AD158" s="4" t="str">
        <f aca="false">INT((V158+W158)-(B158+C158)) &amp; ":" &amp;
TEXT(HOUR((V158+W158)-(B158+C158)), "00") &amp; ":" &amp;
TEXT(MINUTE((V158+W158)-(B158+C158)), "00")</f>
        <v>45:02:06</v>
      </c>
      <c r="AE158" s="1" t="n">
        <f aca="false">IFERROR(
LEFT(AD158,FIND(":",AD158)-1)
+ MID(AD158,FIND(":",AD158)+1,2)/24
+ RIGHT(AD158,2)/1440,
"")</f>
        <v>45.0875</v>
      </c>
      <c r="AF158" s="4" t="str">
        <f aca="false">INT((X158+Y158)-(B158+C158)) &amp; ":" &amp;
TEXT(HOUR((X158+Y158)-(B158+C158)), "00") &amp; ":" &amp;
TEXT(MINUTE((X158+Y158)-(B158+C158)), "00")</f>
        <v>20:02:58</v>
      </c>
      <c r="AG158" s="4" t="str">
        <f aca="false" t="array" ref="AG158:AG158">INT(_xlfn.XLOOKUP(J158,{"Low","Medium","High","Urgent"},{48,24,12,8})/24) &amp; ":" &amp;
TEXT(MOD(_xlfn.XLOOKUP(J158,{"Low","Medium","High","Urgent"},{48,24,12,8}),24)/24,"hh:mm")</f>
        <v>2:00:00</v>
      </c>
      <c r="AH158" s="4" t="str">
        <f aca="false">IF(AD158&gt;AG158,"Not Met","Met")</f>
        <v>Not Met</v>
      </c>
      <c r="AI158" s="4" t="e">
        <f aca="false">IF(AB158&lt;TIME(0,30,0),"Met","Not Met")</f>
        <v>#REF!</v>
      </c>
      <c r="AN158" s="1" t="str">
        <f aca="false">TEXT(B158,"dd")</f>
        <v>10</v>
      </c>
      <c r="AO158" s="1" t="str">
        <f aca="false">TEXT(X158,"dd")</f>
        <v>02</v>
      </c>
      <c r="AP158" s="16" t="str">
        <f aca="false">INT(
  NETWORKDAYS(B158,V158)-1
  + IF(WEEKDAY(V158,2)&lt;6,MOD(V158+W158,1),0)
  - IF(WEEKDAY(B158,2)&lt;6,MOD(B158+C158,1),0)
)
&amp; ":" &amp;
TEXT(HOUR(
  NETWORKDAYS(B158,V158)-1
  + IF(WEEKDAY(V158,2)&lt;6,MOD(V158+W158,1),0)
  - IF(WEEKDAY(B158,2)&lt;6,MOD(B158+C158,1),0)
),"00")
&amp; ":" &amp;
TEXT(MINUTE(
  NETWORKDAYS(B158,V158)-1
  + IF(WEEKDAY(V158,2)&lt;6,MOD(V158+W158,1),0)
  - IF(WEEKDAY(B158,2)&lt;6,MOD(B158+C158,1),0)
),"00")</f>
        <v>33:02:05</v>
      </c>
      <c r="AQ158" s="0" t="n">
        <f aca="false">IFERROR(
LEFT(AP158,FIND(":",AP158)-1)
+ MID(AP158,FIND(":",AP158)+1,2)/24
+ RIGHT(AP158,2)/1440,
"")</f>
        <v>33.0868055555556</v>
      </c>
      <c r="AR158" s="0" t="n">
        <f aca="false">WEEKNUM(B158,1)</f>
        <v>7</v>
      </c>
      <c r="AS158" s="17" t="n">
        <f aca="false">IF(B158&gt;0, (B158+C158)-TIME(13,30,0), "")</f>
        <v>46063.2979166667</v>
      </c>
      <c r="AT158" s="18" t="n">
        <f aca="false">IF(B158&gt;0, (B158+C158)-TIME(13,30,0), "")</f>
        <v>46063.2979166667</v>
      </c>
      <c r="AU158" s="17" t="n">
        <f aca="false">IF(V158&gt;0, (V158+W158)-TIME(13,30,0), "")</f>
        <v>46108.3854166667</v>
      </c>
      <c r="AV158" s="18" t="n">
        <f aca="false">IF(V158&gt;0, (V158+W158)-TIME(13,30,0), "")</f>
        <v>46108.3854166667</v>
      </c>
      <c r="AW158" s="19" t="n">
        <f aca="false">24*(
MAX(0,
IF(NETWORKDAYS(AS158,AU158)=1,
MIN(MOD(AV158,1),TIME(17,30,0)) - MAX(MOD(AT158,1),TIME(8,30,0)),
(TIME(17,30,0)-MAX(MOD(AT158,1),TIME(8,30,0)))
+ (MIN(MOD(AV158,1),TIME(17,30,0))-TIME(8,30,0))
+ (NETWORKDAYS(AS158,AU158)-2)*9/24
)
)
)</f>
        <v>297.75</v>
      </c>
      <c r="AX158" s="19" t="n">
        <f aca="false">24*(
MAX(0,
IF(NETWORKDAYS(AS158,AU158)=1,
MIN(MOD(AV158,1),TIME(17,30,0)) - MAX(MOD(AT158,1),TIME(8,30,0)),
(TIME(17,30,0)-MAX(MOD(AT158,1),TIME(8,30,0)))
+ (MIN(MOD(AV158,1),TIME(17,30,0))-TIME(8,30,0))
+ (NETWORKDAYS(AS158,AU158)-2)* (TIME(17,30,0)-TIME(8,30,0))
)
)
)</f>
        <v>297.75</v>
      </c>
      <c r="AY158" s="20" t="n">
        <f aca="false">ROUND(
IF(AS158=AU158,
MAX(0,
(MIN(MOD(AV158,1),TIME(17,30,0))-
MAX(MOD(AT158,1),TIME(8,30,0)))*24
),
(
(MAX(0,TIME(17,30,0)-MAX(MOD(AT158,1),TIME(8,30,0)))*24)
+
(MAX(0,MIN(MOD(AV158,1),TIME(17,30,0))-TIME(8,30,0))*24)
+
(MAX(0,NETWORKDAYS(AS158+1,AU158-1))*9)
)
),
2)</f>
        <v>297.75</v>
      </c>
      <c r="AZ158" s="0" t="n">
        <f aca="false" t="array" ref="AZ158:AZ158">_xlfn.XLOOKUP(J158,{"Low","Medium","High"},{270,72,24})</f>
        <v>270</v>
      </c>
      <c r="BA158" s="0" t="str">
        <f aca="false">IF(AW158&gt;AZ158,"Not Met","Met")</f>
        <v>Not Met</v>
      </c>
      <c r="BB158" s="21" t="str">
        <f aca="false">IF(AS158="","",TEXT(AS158,"MMM")&amp;"'"&amp;TEXT(AS158,"yy"))</f>
        <v>Feb'26</v>
      </c>
      <c r="BC158" s="0" t="str">
        <f aca="false">IF(AU158="","",TEXT(AU158,"MMM")&amp;"'"&amp;TEXT(AU158,"yy"))</f>
        <v>Mar'26</v>
      </c>
    </row>
    <row r="159" customFormat="false" ht="15" hidden="false" customHeight="false" outlineLevel="0" collapsed="false">
      <c r="A159" s="23" t="s">
        <v>623</v>
      </c>
      <c r="B159" s="24" t="n">
        <v>46063</v>
      </c>
      <c r="C159" s="12" t="n">
        <v>0.952083333333333</v>
      </c>
      <c r="D159" s="13" t="str">
        <f aca="false">IF(B159="","",TEXT(B159,"MMM")&amp;"'"&amp;TEXT(B159,"yy"))</f>
        <v>Feb'26</v>
      </c>
      <c r="E159" s="27" t="s">
        <v>55</v>
      </c>
      <c r="F159" s="1" t="s">
        <v>39</v>
      </c>
      <c r="G159" s="1" t="str">
        <f aca="false">IF(F159="Closed","Closed","Pending")</f>
        <v>Closed</v>
      </c>
      <c r="H159" s="27" t="s">
        <v>120</v>
      </c>
      <c r="I159" s="1" t="s">
        <v>349</v>
      </c>
      <c r="J159" s="51" t="s">
        <v>74</v>
      </c>
      <c r="K159" s="1" t="s">
        <v>59</v>
      </c>
      <c r="L159" s="1" t="s">
        <v>624</v>
      </c>
      <c r="M159" s="1" t="s">
        <v>625</v>
      </c>
      <c r="N159" s="1" t="s">
        <v>62</v>
      </c>
      <c r="O159" s="1" t="s">
        <v>63</v>
      </c>
      <c r="Q159" s="1" t="s">
        <v>229</v>
      </c>
      <c r="R159" s="1" t="s">
        <v>87</v>
      </c>
      <c r="U159" s="12" t="n">
        <v>0.960416666666667</v>
      </c>
      <c r="V159" s="11" t="n">
        <v>46064</v>
      </c>
      <c r="W159" s="12" t="n">
        <v>0.974305555555556</v>
      </c>
      <c r="X159" s="11" t="n">
        <v>46065</v>
      </c>
      <c r="Y159" s="12" t="n">
        <v>0.0951388888888889</v>
      </c>
      <c r="Z159" s="1" t="s">
        <v>108</v>
      </c>
      <c r="AA159" s="1" t="s">
        <v>68</v>
      </c>
      <c r="AB159" s="2" t="e">
        <f aca="false">U159-#REF!</f>
        <v>#REF!</v>
      </c>
      <c r="AC159" s="14" t="n">
        <f aca="false">(V159+W159)-(B159+C159)</f>
        <v>1.02222222222222</v>
      </c>
      <c r="AD159" s="4" t="str">
        <f aca="false">INT((V159+W159)-(B159+C159)) &amp; ":" &amp;
TEXT(HOUR((V159+W159)-(B159+C159)), "00") &amp; ":" &amp;
TEXT(MINUTE((V159+W159)-(B159+C159)), "00")</f>
        <v>1:00:32</v>
      </c>
      <c r="AE159" s="1" t="n">
        <f aca="false">IFERROR(
LEFT(AD159,FIND(":",AD159)-1)
+ MID(AD159,FIND(":",AD159)+1,2)/24
+ RIGHT(AD159,2)/1440,
"")</f>
        <v>1.02222222222222</v>
      </c>
      <c r="AF159" s="4" t="str">
        <f aca="false">INT((X159+Y159)-(B159+C159)) &amp; ":" &amp;
TEXT(HOUR((X159+Y159)-(B159+C159)), "00") &amp; ":" &amp;
TEXT(MINUTE((X159+Y159)-(B159+C159)), "00")</f>
        <v>1:03:26</v>
      </c>
      <c r="AG159" s="4" t="str">
        <f aca="false" t="array" ref="AG159:AG159">INT(_xlfn.XLOOKUP(J159,{"Low","Medium","High","Urgent"},{48,24,12,8})/24) &amp; ":" &amp;
TEXT(MOD(_xlfn.XLOOKUP(J159,{"Low","Medium","High","Urgent"},{48,24,12,8}),24)/24,"hh:mm")</f>
        <v>2:00:00</v>
      </c>
      <c r="AH159" s="4" t="str">
        <f aca="false">IF(AD159&gt;AG159,"Not Met","Met")</f>
        <v>Met</v>
      </c>
      <c r="AI159" s="4" t="e">
        <f aca="false">IF(AB159&lt;TIME(0,30,0),"Met","Not Met")</f>
        <v>#REF!</v>
      </c>
      <c r="AN159" s="1" t="str">
        <f aca="false">TEXT(B159,"dd")</f>
        <v>10</v>
      </c>
      <c r="AO159" s="1" t="str">
        <f aca="false">TEXT(X159,"dd")</f>
        <v>12</v>
      </c>
      <c r="AP159" s="16" t="str">
        <f aca="false">INT(
  NETWORKDAYS(B159,V159)-1
  + IF(WEEKDAY(V159,2)&lt;6,MOD(V159+W159,1),0)
  - IF(WEEKDAY(B159,2)&lt;6,MOD(B159+C159,1),0)
)
&amp; ":" &amp;
TEXT(HOUR(
  NETWORKDAYS(B159,V159)-1
  + IF(WEEKDAY(V159,2)&lt;6,MOD(V159+W159,1),0)
  - IF(WEEKDAY(B159,2)&lt;6,MOD(B159+C159,1),0)
),"00")
&amp; ":" &amp;
TEXT(MINUTE(
  NETWORKDAYS(B159,V159)-1
  + IF(WEEKDAY(V159,2)&lt;6,MOD(V159+W159,1),0)
  - IF(WEEKDAY(B159,2)&lt;6,MOD(B159+C159,1),0)
),"00")</f>
        <v>1:00:32</v>
      </c>
      <c r="AQ159" s="0" t="n">
        <f aca="false">IFERROR(
LEFT(AP159,FIND(":",AP159)-1)
+ MID(AP159,FIND(":",AP159)+1,2)/24
+ RIGHT(AP159,2)/1440,
"")</f>
        <v>1.02222222222222</v>
      </c>
      <c r="AR159" s="0" t="n">
        <f aca="false">WEEKNUM(B159,1)</f>
        <v>7</v>
      </c>
      <c r="AS159" s="17" t="n">
        <f aca="false">IF(B159&gt;0, (B159+C159)-TIME(13,30,0), "")</f>
        <v>46063.3895833333</v>
      </c>
      <c r="AT159" s="18" t="n">
        <f aca="false">IF(B159&gt;0, (B159+C159)-TIME(13,30,0), "")</f>
        <v>46063.3895833333</v>
      </c>
      <c r="AU159" s="17" t="n">
        <f aca="false">IF(V159&gt;0, (V159+W159)-TIME(13,30,0), "")</f>
        <v>46064.4118055556</v>
      </c>
      <c r="AV159" s="18" t="n">
        <f aca="false">IF(V159&gt;0, (V159+W159)-TIME(13,30,0), "")</f>
        <v>46064.4118055556</v>
      </c>
      <c r="AW159" s="19" t="n">
        <f aca="false">24*(
MAX(0,
IF(NETWORKDAYS(AS159,AU159)=1,
MIN(MOD(AV159,1),TIME(17,30,0)) - MAX(MOD(AT159,1),TIME(8,30,0)),
(TIME(17,30,0)-MAX(MOD(AT159,1),TIME(8,30,0)))
+ (MIN(MOD(AV159,1),TIME(17,30,0))-TIME(8,30,0))
+ (NETWORKDAYS(AS159,AU159)-2)*9/24
)
)
)</f>
        <v>9.53333333341861</v>
      </c>
      <c r="AX159" s="19" t="n">
        <f aca="false">24*(
MAX(0,
IF(NETWORKDAYS(AS159,AU159)=1,
MIN(MOD(AV159,1),TIME(17,30,0)) - MAX(MOD(AT159,1),TIME(8,30,0)),
(TIME(17,30,0)-MAX(MOD(AT159,1),TIME(8,30,0)))
+ (MIN(MOD(AV159,1),TIME(17,30,0))-TIME(8,30,0))
+ (NETWORKDAYS(AS159,AU159)-2)* (TIME(17,30,0)-TIME(8,30,0))
)
)
)</f>
        <v>9.53333333341861</v>
      </c>
      <c r="AY159" s="20" t="n">
        <f aca="false">ROUND(
IF(AS159=AU159,
MAX(0,
(MIN(MOD(AV159,1),TIME(17,30,0))-
MAX(MOD(AT159,1),TIME(8,30,0)))*24
),
(
(MAX(0,TIME(17,30,0)-MAX(MOD(AT159,1),TIME(8,30,0)))*24)
+
(MAX(0,MIN(MOD(AV159,1),TIME(17,30,0))-TIME(8,30,0))*24)
+
(MAX(0,NETWORKDAYS(AS159+1,AU159-1))*9)
)
),
2)</f>
        <v>9.53</v>
      </c>
      <c r="AZ159" s="0" t="n">
        <f aca="false" t="array" ref="AZ159:AZ159">_xlfn.XLOOKUP(J159,{"Low","Medium","High"},{270,72,24})</f>
        <v>270</v>
      </c>
      <c r="BA159" s="0" t="str">
        <f aca="false">IF(AW159&gt;AZ159,"Not Met","Met")</f>
        <v>Met</v>
      </c>
      <c r="BB159" s="21" t="str">
        <f aca="false">IF(AS159="","",TEXT(AS159,"MMM")&amp;"'"&amp;TEXT(AS159,"yy"))</f>
        <v>Feb'26</v>
      </c>
      <c r="BC159" s="0" t="str">
        <f aca="false">IF(AU159="","",TEXT(AU159,"MMM")&amp;"'"&amp;TEXT(AU159,"yy"))</f>
        <v>Feb'26</v>
      </c>
    </row>
    <row r="160" customFormat="false" ht="15" hidden="false" customHeight="false" outlineLevel="0" collapsed="false">
      <c r="A160" s="23" t="s">
        <v>626</v>
      </c>
      <c r="B160" s="24" t="n">
        <v>46063</v>
      </c>
      <c r="C160" s="12" t="n">
        <v>0.980555555555556</v>
      </c>
      <c r="D160" s="13" t="str">
        <f aca="false">IF(B160="","",TEXT(B160,"MMM")&amp;"'"&amp;TEXT(B160,"yy"))</f>
        <v>Feb'26</v>
      </c>
      <c r="E160" s="27" t="s">
        <v>55</v>
      </c>
      <c r="F160" s="1" t="s">
        <v>39</v>
      </c>
      <c r="G160" s="1" t="str">
        <f aca="false">IF(F160="Closed","Closed","Pending")</f>
        <v>Closed</v>
      </c>
      <c r="H160" s="27" t="s">
        <v>72</v>
      </c>
      <c r="I160" s="1" t="s">
        <v>298</v>
      </c>
      <c r="J160" s="51" t="s">
        <v>74</v>
      </c>
      <c r="K160" s="1" t="s">
        <v>59</v>
      </c>
      <c r="L160" s="1" t="s">
        <v>627</v>
      </c>
      <c r="M160" s="1" t="s">
        <v>628</v>
      </c>
      <c r="N160" s="1" t="s">
        <v>143</v>
      </c>
      <c r="O160" s="1" t="s">
        <v>143</v>
      </c>
      <c r="Q160" s="1" t="s">
        <v>143</v>
      </c>
      <c r="R160" s="1" t="s">
        <v>87</v>
      </c>
      <c r="U160" s="25" t="n">
        <v>46064.0131944444</v>
      </c>
      <c r="V160" s="11" t="n">
        <v>46141</v>
      </c>
      <c r="W160" s="12" t="n">
        <v>0.970833333333333</v>
      </c>
      <c r="X160" s="11" t="n">
        <v>46146</v>
      </c>
      <c r="Y160" s="12" t="n">
        <v>0.893055555555556</v>
      </c>
      <c r="Z160" s="1" t="s">
        <v>67</v>
      </c>
      <c r="AA160" s="1" t="s">
        <v>68</v>
      </c>
      <c r="AB160" s="2" t="n">
        <v>0.0326388888888889</v>
      </c>
      <c r="AC160" s="14" t="n">
        <f aca="false">(V160+W160)-(B160+C160)</f>
        <v>77.9902777777778</v>
      </c>
      <c r="AD160" s="4" t="str">
        <f aca="false">INT((V160+W160)-(B160+C160)) &amp; ":" &amp;
TEXT(HOUR((V160+W160)-(B160+C160)), "00") &amp; ":" &amp;
TEXT(MINUTE((V160+W160)-(B160+C160)), "00")</f>
        <v>77:23:46</v>
      </c>
      <c r="AE160" s="1" t="n">
        <f aca="false">IFERROR(
LEFT(AD160,FIND(":",AD160)-1)
+ MID(AD160,FIND(":",AD160)+1,2)/24
+ RIGHT(AD160,2)/1440,
"")</f>
        <v>77.9902777777778</v>
      </c>
      <c r="AF160" s="4" t="str">
        <f aca="false">INT((X160+Y160)-(B160+C160)) &amp; ":" &amp;
TEXT(HOUR((X160+Y160)-(B160+C160)), "00") &amp; ":" &amp;
TEXT(MINUTE((X160+Y160)-(B160+C160)), "00")</f>
        <v>82:21:54</v>
      </c>
      <c r="AG160" s="4" t="str">
        <f aca="false" t="array" ref="AG160:AG160">INT(_xlfn.XLOOKUP(J160,{"Low","Medium","High","Urgent"},{48,24,12,8})/24) &amp; ":" &amp;
TEXT(MOD(_xlfn.XLOOKUP(J160,{"Low","Medium","High","Urgent"},{48,24,12,8}),24)/24,"hh:mm")</f>
        <v>2:00:00</v>
      </c>
      <c r="AH160" s="4" t="str">
        <f aca="false">IF(AD160&gt;AG160,"Not Met","Met")</f>
        <v>Not Met</v>
      </c>
      <c r="AI160" s="4" t="str">
        <f aca="false">IF(AB160&lt;TIME(0,30,0),"Met","Not Met")</f>
        <v>Not Met</v>
      </c>
      <c r="AN160" s="1" t="str">
        <f aca="false">TEXT(B160,"dd")</f>
        <v>10</v>
      </c>
      <c r="AO160" s="1" t="str">
        <f aca="false">TEXT(X160,"dd")</f>
        <v>04</v>
      </c>
      <c r="AP160" s="16" t="str">
        <f aca="false">INT(
  NETWORKDAYS(B160,V160)-1
  + IF(WEEKDAY(V160,2)&lt;6,MOD(V160+W160,1),0)
  - IF(WEEKDAY(B160,2)&lt;6,MOD(B160+C160,1),0)
)
&amp; ":" &amp;
TEXT(HOUR(
  NETWORKDAYS(B160,V160)-1
  + IF(WEEKDAY(V160,2)&lt;6,MOD(V160+W160,1),0)
  - IF(WEEKDAY(B160,2)&lt;6,MOD(B160+C160,1),0)
),"00")
&amp; ":" &amp;
TEXT(MINUTE(
  NETWORKDAYS(B160,V160)-1
  + IF(WEEKDAY(V160,2)&lt;6,MOD(V160+W160,1),0)
  - IF(WEEKDAY(B160,2)&lt;6,MOD(B160+C160,1),0)
),"00")</f>
        <v>55:23:45</v>
      </c>
      <c r="AQ160" s="0" t="n">
        <f aca="false">IFERROR(
LEFT(AP160,FIND(":",AP160)-1)
+ MID(AP160,FIND(":",AP160)+1,2)/24
+ RIGHT(AP160,2)/1440,
"")</f>
        <v>55.9895833333333</v>
      </c>
      <c r="AR160" s="0" t="n">
        <f aca="false">WEEKNUM(B160,1)</f>
        <v>7</v>
      </c>
      <c r="AS160" s="17" t="n">
        <f aca="false">IF(B160&gt;0, (B160+C160)-TIME(13,30,0), "")</f>
        <v>46063.4180555556</v>
      </c>
      <c r="AT160" s="18" t="n">
        <f aca="false">IF(B160&gt;0, (B160+C160)-TIME(13,30,0), "")</f>
        <v>46063.4180555556</v>
      </c>
      <c r="AU160" s="17" t="n">
        <f aca="false">IF(V160&gt;0, (V160+W160)-TIME(13,30,0), "")</f>
        <v>46141.4083333333</v>
      </c>
      <c r="AV160" s="18" t="n">
        <f aca="false">IF(V160&gt;0, (V160+W160)-TIME(13,30,0), "")</f>
        <v>46141.4083333333</v>
      </c>
      <c r="AW160" s="19" t="n">
        <f aca="false">24*(
MAX(0,
IF(NETWORKDAYS(AS160,AU160)=1,
MIN(MOD(AV160,1),TIME(17,30,0)) - MAX(MOD(AT160,1),TIME(8,30,0)),
(TIME(17,30,0)-MAX(MOD(AT160,1),TIME(8,30,0)))
+ (MIN(MOD(AV160,1),TIME(17,30,0))-TIME(8,30,0))
+ (NETWORKDAYS(AS160,AU160)-2)*9/24
)
)
)</f>
        <v>503.766666666667</v>
      </c>
      <c r="AX160" s="19" t="n">
        <f aca="false">24*(
MAX(0,
IF(NETWORKDAYS(AS160,AU160)=1,
MIN(MOD(AV160,1),TIME(17,30,0)) - MAX(MOD(AT160,1),TIME(8,30,0)),
(TIME(17,30,0)-MAX(MOD(AT160,1),TIME(8,30,0)))
+ (MIN(MOD(AV160,1),TIME(17,30,0))-TIME(8,30,0))
+ (NETWORKDAYS(AS160,AU160)-2)* (TIME(17,30,0)-TIME(8,30,0))
)
)
)</f>
        <v>503.766666666667</v>
      </c>
      <c r="AY160" s="20" t="n">
        <f aca="false">ROUND(
IF(AS160=AU160,
MAX(0,
(MIN(MOD(AV160,1),TIME(17,30,0))-
MAX(MOD(AT160,1),TIME(8,30,0)))*24
),
(
(MAX(0,TIME(17,30,0)-MAX(MOD(AT160,1),TIME(8,30,0)))*24)
+
(MAX(0,MIN(MOD(AV160,1),TIME(17,30,0))-TIME(8,30,0))*24)
+
(MAX(0,NETWORKDAYS(AS160+1,AU160-1))*9)
)
),
2)</f>
        <v>503.77</v>
      </c>
      <c r="AZ160" s="0" t="n">
        <f aca="false" t="array" ref="AZ160:AZ160">_xlfn.XLOOKUP(J160,{"Low","Medium","High"},{270,72,24})</f>
        <v>270</v>
      </c>
      <c r="BA160" s="0" t="str">
        <f aca="false">IF(AW160&gt;AZ160,"Not Met","Met")</f>
        <v>Not Met</v>
      </c>
      <c r="BB160" s="21" t="str">
        <f aca="false">IF(AS160="","",TEXT(AS160,"MMM")&amp;"'"&amp;TEXT(AS160,"yy"))</f>
        <v>Feb'26</v>
      </c>
      <c r="BC160" s="0" t="str">
        <f aca="false">IF(AU160="","",TEXT(AU160,"MMM")&amp;"'"&amp;TEXT(AU160,"yy"))</f>
        <v>Apr'26</v>
      </c>
    </row>
    <row r="161" customFormat="false" ht="15" hidden="false" customHeight="false" outlineLevel="0" collapsed="false">
      <c r="A161" s="23" t="s">
        <v>629</v>
      </c>
      <c r="B161" s="24" t="n">
        <v>46064</v>
      </c>
      <c r="C161" s="12" t="n">
        <v>0.0104166666666667</v>
      </c>
      <c r="D161" s="13" t="str">
        <f aca="false">IF(B161="","",TEXT(B161,"MMM")&amp;"'"&amp;TEXT(B161,"yy"))</f>
        <v>Feb'26</v>
      </c>
      <c r="E161" s="27" t="s">
        <v>55</v>
      </c>
      <c r="F161" s="1" t="s">
        <v>39</v>
      </c>
      <c r="G161" s="1" t="str">
        <f aca="false">IF(F161="Closed","Closed","Pending")</f>
        <v>Closed</v>
      </c>
      <c r="H161" s="27" t="s">
        <v>185</v>
      </c>
      <c r="I161" s="1" t="s">
        <v>223</v>
      </c>
      <c r="J161" s="51" t="s">
        <v>74</v>
      </c>
      <c r="K161" s="1" t="s">
        <v>59</v>
      </c>
      <c r="L161" s="1" t="s">
        <v>630</v>
      </c>
      <c r="M161" s="1" t="s">
        <v>631</v>
      </c>
      <c r="N161" s="1" t="s">
        <v>62</v>
      </c>
      <c r="O161" s="1" t="s">
        <v>63</v>
      </c>
      <c r="Q161" s="1" t="s">
        <v>229</v>
      </c>
      <c r="R161" s="1" t="s">
        <v>66</v>
      </c>
      <c r="U161" s="12" t="n">
        <v>0.0145833333333333</v>
      </c>
      <c r="V161" s="11" t="n">
        <v>46064</v>
      </c>
      <c r="W161" s="12" t="n">
        <v>0.976388888888889</v>
      </c>
      <c r="X161" s="11" t="n">
        <v>46066</v>
      </c>
      <c r="Y161" s="12" t="n">
        <v>0.399305555555556</v>
      </c>
      <c r="Z161" s="1" t="s">
        <v>108</v>
      </c>
      <c r="AA161" s="1" t="s">
        <v>68</v>
      </c>
      <c r="AB161" s="2" t="e">
        <f aca="false">U161-#REF!</f>
        <v>#REF!</v>
      </c>
      <c r="AC161" s="14" t="n">
        <f aca="false">(V161+W161)-(B161+C161)</f>
        <v>0.965972222222222</v>
      </c>
      <c r="AD161" s="4" t="str">
        <f aca="false">INT((V161+W161)-(B161+C161)) &amp; ":" &amp;
TEXT(HOUR((V161+W161)-(B161+C161)), "00") &amp; ":" &amp;
TEXT(MINUTE((V161+W161)-(B161+C161)), "00")</f>
        <v>0:23:11</v>
      </c>
      <c r="AE161" s="1" t="n">
        <f aca="false">IFERROR(
LEFT(AD161,FIND(":",AD161)-1)
+ MID(AD161,FIND(":",AD161)+1,2)/24
+ RIGHT(AD161,2)/1440,
"")</f>
        <v>0.965972222222222</v>
      </c>
      <c r="AF161" s="4" t="str">
        <f aca="false">INT((X161+Y161)-(B161+C161)) &amp; ":" &amp;
TEXT(HOUR((X161+Y161)-(B161+C161)), "00") &amp; ":" &amp;
TEXT(MINUTE((X161+Y161)-(B161+C161)), "00")</f>
        <v>2:09:20</v>
      </c>
      <c r="AG161" s="4" t="str">
        <f aca="false" t="array" ref="AG161:AG161">INT(_xlfn.XLOOKUP(J161,{"Low","Medium","High","Urgent"},{48,24,12,8})/24) &amp; ":" &amp;
TEXT(MOD(_xlfn.XLOOKUP(J161,{"Low","Medium","High","Urgent"},{48,24,12,8}),24)/24,"hh:mm")</f>
        <v>2:00:00</v>
      </c>
      <c r="AH161" s="4" t="str">
        <f aca="false">IF(AD161&gt;AG161,"Not Met","Met")</f>
        <v>Met</v>
      </c>
      <c r="AI161" s="4" t="e">
        <f aca="false">IF(AB161&lt;TIME(0,30,0),"Met","Not Met")</f>
        <v>#REF!</v>
      </c>
      <c r="AN161" s="1" t="str">
        <f aca="false">TEXT(B161,"dd")</f>
        <v>11</v>
      </c>
      <c r="AO161" s="1" t="str">
        <f aca="false">TEXT(X161,"dd")</f>
        <v>13</v>
      </c>
      <c r="AP161" s="16" t="str">
        <f aca="false">INT(
  NETWORKDAYS(B161,V161)-1
  + IF(WEEKDAY(V161,2)&lt;6,MOD(V161+W161,1),0)
  - IF(WEEKDAY(B161,2)&lt;6,MOD(B161+C161,1),0)
)
&amp; ":" &amp;
TEXT(HOUR(
  NETWORKDAYS(B161,V161)-1
  + IF(WEEKDAY(V161,2)&lt;6,MOD(V161+W161,1),0)
  - IF(WEEKDAY(B161,2)&lt;6,MOD(B161+C161,1),0)
),"00")
&amp; ":" &amp;
TEXT(MINUTE(
  NETWORKDAYS(B161,V161)-1
  + IF(WEEKDAY(V161,2)&lt;6,MOD(V161+W161,1),0)
  - IF(WEEKDAY(B161,2)&lt;6,MOD(B161+C161,1),0)
),"00")</f>
        <v>0:23:11</v>
      </c>
      <c r="AQ161" s="0" t="n">
        <f aca="false">IFERROR(
LEFT(AP161,FIND(":",AP161)-1)
+ MID(AP161,FIND(":",AP161)+1,2)/24
+ RIGHT(AP161,2)/1440,
"")</f>
        <v>0.965972222222222</v>
      </c>
      <c r="AR161" s="0" t="n">
        <f aca="false">WEEKNUM(B161,1)</f>
        <v>7</v>
      </c>
      <c r="AS161" s="17" t="n">
        <f aca="false">IF(B161&gt;0, (B161+C161)-TIME(13,30,0), "")</f>
        <v>46063.4479166667</v>
      </c>
      <c r="AT161" s="18" t="n">
        <f aca="false">IF(B161&gt;0, (B161+C161)-TIME(13,30,0), "")</f>
        <v>46063.4479166667</v>
      </c>
      <c r="AU161" s="17" t="n">
        <f aca="false">IF(V161&gt;0, (V161+W161)-TIME(13,30,0), "")</f>
        <v>46064.4138888889</v>
      </c>
      <c r="AV161" s="18" t="n">
        <f aca="false">IF(V161&gt;0, (V161+W161)-TIME(13,30,0), "")</f>
        <v>46064.4138888889</v>
      </c>
      <c r="AW161" s="19" t="n">
        <f aca="false">24*(
MAX(0,
IF(NETWORKDAYS(AS161,AU161)=1,
MIN(MOD(AV161,1),TIME(17,30,0)) - MAX(MOD(AT161,1),TIME(8,30,0)),
(TIME(17,30,0)-MAX(MOD(AT161,1),TIME(8,30,0)))
+ (MIN(MOD(AV161,1),TIME(17,30,0))-TIME(8,30,0))
+ (NETWORKDAYS(AS161,AU161)-2)*9/24
)
)
)</f>
        <v>8.18333333333333</v>
      </c>
      <c r="AX161" s="19" t="n">
        <f aca="false">24*(
MAX(0,
IF(NETWORKDAYS(AS161,AU161)=1,
MIN(MOD(AV161,1),TIME(17,30,0)) - MAX(MOD(AT161,1),TIME(8,30,0)),
(TIME(17,30,0)-MAX(MOD(AT161,1),TIME(8,30,0)))
+ (MIN(MOD(AV161,1),TIME(17,30,0))-TIME(8,30,0))
+ (NETWORKDAYS(AS161,AU161)-2)* (TIME(17,30,0)-TIME(8,30,0))
)
)
)</f>
        <v>8.18333333333333</v>
      </c>
      <c r="AY161" s="20" t="n">
        <f aca="false">ROUND(
IF(AS161=AU161,
MAX(0,
(MIN(MOD(AV161,1),TIME(17,30,0))-
MAX(MOD(AT161,1),TIME(8,30,0)))*24
),
(
(MAX(0,TIME(17,30,0)-MAX(MOD(AT161,1),TIME(8,30,0)))*24)
+
(MAX(0,MIN(MOD(AV161,1),TIME(17,30,0))-TIME(8,30,0))*24)
+
(MAX(0,NETWORKDAYS(AS161+1,AU161-1))*9)
)
),
2)</f>
        <v>8.18</v>
      </c>
      <c r="AZ161" s="0" t="n">
        <f aca="false" t="array" ref="AZ161:AZ161">_xlfn.XLOOKUP(J161,{"Low","Medium","High"},{270,72,24})</f>
        <v>270</v>
      </c>
      <c r="BA161" s="0" t="str">
        <f aca="false">IF(AW161&gt;AZ161,"Not Met","Met")</f>
        <v>Met</v>
      </c>
      <c r="BB161" s="21" t="str">
        <f aca="false">IF(AS161="","",TEXT(AS161,"MMM")&amp;"'"&amp;TEXT(AS161,"yy"))</f>
        <v>Feb'26</v>
      </c>
      <c r="BC161" s="0" t="str">
        <f aca="false">IF(AU161="","",TEXT(AU161,"MMM")&amp;"'"&amp;TEXT(AU161,"yy"))</f>
        <v>Feb'26</v>
      </c>
    </row>
    <row r="162" customFormat="false" ht="15" hidden="false" customHeight="false" outlineLevel="0" collapsed="false">
      <c r="A162" s="23" t="s">
        <v>632</v>
      </c>
      <c r="B162" s="24" t="n">
        <v>46064</v>
      </c>
      <c r="C162" s="12" t="n">
        <v>0.160416666666667</v>
      </c>
      <c r="D162" s="13" t="str">
        <f aca="false">IF(B162="","",TEXT(B162,"MMM")&amp;"'"&amp;TEXT(B162,"yy"))</f>
        <v>Feb'26</v>
      </c>
      <c r="E162" s="27" t="s">
        <v>55</v>
      </c>
      <c r="F162" s="1" t="s">
        <v>39</v>
      </c>
      <c r="G162" s="1" t="str">
        <f aca="false">IF(F162="Closed","Closed","Pending")</f>
        <v>Closed</v>
      </c>
      <c r="H162" s="1" t="s">
        <v>81</v>
      </c>
      <c r="I162" s="1" t="s">
        <v>82</v>
      </c>
      <c r="J162" s="51" t="s">
        <v>74</v>
      </c>
      <c r="K162" s="1" t="s">
        <v>59</v>
      </c>
      <c r="L162" s="1" t="s">
        <v>633</v>
      </c>
      <c r="M162" s="1" t="s">
        <v>634</v>
      </c>
      <c r="N162" s="1" t="s">
        <v>65</v>
      </c>
      <c r="O162" s="1" t="s">
        <v>106</v>
      </c>
      <c r="Q162" s="1" t="s">
        <v>65</v>
      </c>
      <c r="R162" s="1" t="s">
        <v>87</v>
      </c>
      <c r="U162" s="12" t="n">
        <v>0.170833333333333</v>
      </c>
      <c r="V162" s="11" t="n">
        <v>46064</v>
      </c>
      <c r="W162" s="12" t="n">
        <v>0.977777777777778</v>
      </c>
      <c r="X162" s="11" t="n">
        <v>46065</v>
      </c>
      <c r="Y162" s="12" t="n">
        <v>0.122916666666667</v>
      </c>
      <c r="Z162" s="1" t="s">
        <v>67</v>
      </c>
      <c r="AA162" s="1" t="s">
        <v>68</v>
      </c>
      <c r="AB162" s="2" t="e">
        <f aca="false">U162-#REF!</f>
        <v>#REF!</v>
      </c>
      <c r="AC162" s="14" t="n">
        <f aca="false">(V162+W162)-(B162+C162)</f>
        <v>0.817361111111111</v>
      </c>
      <c r="AD162" s="4" t="str">
        <f aca="false">INT((V162+W162)-(B162+C162)) &amp; ":" &amp;
TEXT(HOUR((V162+W162)-(B162+C162)), "00") &amp; ":" &amp;
TEXT(MINUTE((V162+W162)-(B162+C162)), "00")</f>
        <v>0:19:37</v>
      </c>
      <c r="AE162" s="1" t="n">
        <f aca="false">IFERROR(
LEFT(AD162,FIND(":",AD162)-1)
+ MID(AD162,FIND(":",AD162)+1,2)/24
+ RIGHT(AD162,2)/1440,
"")</f>
        <v>0.817361111111111</v>
      </c>
      <c r="AF162" s="4" t="str">
        <f aca="false">INT((X162+Y162)-(B162+C162)) &amp; ":" &amp;
TEXT(HOUR((X162+Y162)-(B162+C162)), "00") &amp; ":" &amp;
TEXT(MINUTE((X162+Y162)-(B162+C162)), "00")</f>
        <v>0:23:06</v>
      </c>
      <c r="AG162" s="4" t="str">
        <f aca="false" t="array" ref="AG162:AG162">INT(_xlfn.XLOOKUP(J162,{"Low","Medium","High","Urgent"},{48,24,12,8})/24) &amp; ":" &amp;
TEXT(MOD(_xlfn.XLOOKUP(J162,{"Low","Medium","High","Urgent"},{48,24,12,8}),24)/24,"hh:mm")</f>
        <v>2:00:00</v>
      </c>
      <c r="AH162" s="4" t="str">
        <f aca="false">IF(AD162&gt;AG162,"Not Met","Met")</f>
        <v>Met</v>
      </c>
      <c r="AI162" s="4" t="e">
        <f aca="false">IF(AB162&lt;TIME(0,30,0),"Met","Not Met")</f>
        <v>#REF!</v>
      </c>
      <c r="AN162" s="1" t="str">
        <f aca="false">TEXT(B162,"dd")</f>
        <v>11</v>
      </c>
      <c r="AO162" s="1" t="str">
        <f aca="false">TEXT(X162,"dd")</f>
        <v>12</v>
      </c>
      <c r="AP162" s="16" t="str">
        <f aca="false">INT(
  NETWORKDAYS(B162,V162)-1
  + IF(WEEKDAY(V162,2)&lt;6,MOD(V162+W162,1),0)
  - IF(WEEKDAY(B162,2)&lt;6,MOD(B162+C162,1),0)
)
&amp; ":" &amp;
TEXT(HOUR(
  NETWORKDAYS(B162,V162)-1
  + IF(WEEKDAY(V162,2)&lt;6,MOD(V162+W162,1),0)
  - IF(WEEKDAY(B162,2)&lt;6,MOD(B162+C162,1),0)
),"00")
&amp; ":" &amp;
TEXT(MINUTE(
  NETWORKDAYS(B162,V162)-1
  + IF(WEEKDAY(V162,2)&lt;6,MOD(V162+W162,1),0)
  - IF(WEEKDAY(B162,2)&lt;6,MOD(B162+C162,1),0)
),"00")</f>
        <v>0:19:37</v>
      </c>
      <c r="AQ162" s="0" t="n">
        <f aca="false">IFERROR(
LEFT(AP162,FIND(":",AP162)-1)
+ MID(AP162,FIND(":",AP162)+1,2)/24
+ RIGHT(AP162,2)/1440,
"")</f>
        <v>0.817361111111111</v>
      </c>
      <c r="AR162" s="0" t="n">
        <f aca="false">WEEKNUM(B162,1)</f>
        <v>7</v>
      </c>
      <c r="AS162" s="17" t="n">
        <f aca="false">IF(B162&gt;0, (B162+C162)-TIME(13,30,0), "")</f>
        <v>46063.5979166667</v>
      </c>
      <c r="AT162" s="18" t="n">
        <f aca="false">IF(B162&gt;0, (B162+C162)-TIME(13,30,0), "")</f>
        <v>46063.5979166667</v>
      </c>
      <c r="AU162" s="17" t="n">
        <f aca="false">IF(V162&gt;0, (V162+W162)-TIME(13,30,0), "")</f>
        <v>46064.4152777778</v>
      </c>
      <c r="AV162" s="18" t="n">
        <f aca="false">IF(V162&gt;0, (V162+W162)-TIME(13,30,0), "")</f>
        <v>46064.4152777778</v>
      </c>
      <c r="AW162" s="19" t="n">
        <f aca="false">24*(
MAX(0,
IF(NETWORKDAYS(AS162,AU162)=1,
MIN(MOD(AV162,1),TIME(17,30,0)) - MAX(MOD(AT162,1),TIME(8,30,0)),
(TIME(17,30,0)-MAX(MOD(AT162,1),TIME(8,30,0)))
+ (MIN(MOD(AV162,1),TIME(17,30,0))-TIME(8,30,0))
+ (NETWORKDAYS(AS162,AU162)-2)*9/24
)
)
)</f>
        <v>4.61666666666667</v>
      </c>
      <c r="AX162" s="19" t="n">
        <f aca="false">24*(
MAX(0,
IF(NETWORKDAYS(AS162,AU162)=1,
MIN(MOD(AV162,1),TIME(17,30,0)) - MAX(MOD(AT162,1),TIME(8,30,0)),
(TIME(17,30,0)-MAX(MOD(AT162,1),TIME(8,30,0)))
+ (MIN(MOD(AV162,1),TIME(17,30,0))-TIME(8,30,0))
+ (NETWORKDAYS(AS162,AU162)-2)* (TIME(17,30,0)-TIME(8,30,0))
)
)
)</f>
        <v>4.61666666666667</v>
      </c>
      <c r="AY162" s="20" t="n">
        <f aca="false">ROUND(
IF(AS162=AU162,
MAX(0,
(MIN(MOD(AV162,1),TIME(17,30,0))-
MAX(MOD(AT162,1),TIME(8,30,0)))*24
),
(
(MAX(0,TIME(17,30,0)-MAX(MOD(AT162,1),TIME(8,30,0)))*24)
+
(MAX(0,MIN(MOD(AV162,1),TIME(17,30,0))-TIME(8,30,0))*24)
+
(MAX(0,NETWORKDAYS(AS162+1,AU162-1))*9)
)
),
2)</f>
        <v>4.62</v>
      </c>
      <c r="AZ162" s="0" t="n">
        <f aca="false" t="array" ref="AZ162:AZ162">_xlfn.XLOOKUP(J162,{"Low","Medium","High"},{270,72,24})</f>
        <v>270</v>
      </c>
      <c r="BA162" s="0" t="str">
        <f aca="false">IF(AW162&gt;AZ162,"Not Met","Met")</f>
        <v>Met</v>
      </c>
      <c r="BB162" s="21" t="str">
        <f aca="false">IF(AS162="","",TEXT(AS162,"MMM")&amp;"'"&amp;TEXT(AS162,"yy"))</f>
        <v>Feb'26</v>
      </c>
      <c r="BC162" s="0" t="str">
        <f aca="false">IF(AU162="","",TEXT(AU162,"MMM")&amp;"'"&amp;TEXT(AU162,"yy"))</f>
        <v>Feb'26</v>
      </c>
    </row>
    <row r="163" customFormat="false" ht="15" hidden="false" customHeight="false" outlineLevel="0" collapsed="false">
      <c r="A163" s="1" t="s">
        <v>635</v>
      </c>
      <c r="B163" s="11" t="n">
        <v>46065</v>
      </c>
      <c r="C163" s="12" t="n">
        <v>0.164583333333333</v>
      </c>
      <c r="D163" s="13" t="str">
        <f aca="false">IF(B163="","",TEXT(B163,"MMM")&amp;"'"&amp;TEXT(B163,"yy"))</f>
        <v>Feb'26</v>
      </c>
      <c r="E163" s="27" t="s">
        <v>55</v>
      </c>
      <c r="F163" s="1" t="s">
        <v>39</v>
      </c>
      <c r="G163" s="1" t="str">
        <f aca="false">IF(F163="Closed","Closed","Pending")</f>
        <v>Closed</v>
      </c>
      <c r="H163" s="1" t="s">
        <v>81</v>
      </c>
      <c r="I163" s="26" t="s">
        <v>82</v>
      </c>
      <c r="J163" s="26" t="s">
        <v>58</v>
      </c>
      <c r="K163" s="1" t="s">
        <v>59</v>
      </c>
      <c r="L163" s="26" t="s">
        <v>636</v>
      </c>
      <c r="M163" s="1" t="s">
        <v>637</v>
      </c>
      <c r="N163" s="1" t="s">
        <v>62</v>
      </c>
      <c r="O163" s="1" t="s">
        <v>77</v>
      </c>
      <c r="Q163" s="1" t="s">
        <v>86</v>
      </c>
      <c r="R163" s="1" t="s">
        <v>87</v>
      </c>
      <c r="U163" s="12" t="n">
        <v>0.166666666666667</v>
      </c>
      <c r="V163" s="11" t="n">
        <v>46066</v>
      </c>
      <c r="W163" s="12" t="n">
        <v>0.0145833333333333</v>
      </c>
      <c r="X163" s="11" t="n">
        <v>46080</v>
      </c>
      <c r="Y163" s="12" t="n">
        <v>0.168055555555556</v>
      </c>
      <c r="Z163" s="1" t="s">
        <v>67</v>
      </c>
      <c r="AA163" s="1" t="s">
        <v>68</v>
      </c>
      <c r="AB163" s="2" t="e">
        <f aca="false">U163-#REF!</f>
        <v>#REF!</v>
      </c>
      <c r="AC163" s="14" t="n">
        <f aca="false">(V163+W163)-(B163+C163)</f>
        <v>0.85</v>
      </c>
      <c r="AD163" s="4" t="str">
        <f aca="false">INT((V163+W163)-(B163+C163)) &amp; ":" &amp;
TEXT(HOUR((V163+W163)-(B163+C163)), "00") &amp; ":" &amp;
TEXT(MINUTE((V163+W163)-(B163+C163)), "00")</f>
        <v>0:20:24</v>
      </c>
      <c r="AE163" s="1" t="n">
        <f aca="false">IFERROR(
LEFT(AD163,FIND(":",AD163)-1)
+ MID(AD163,FIND(":",AD163)+1,2)/24
+ RIGHT(AD163,2)/1440,
"")</f>
        <v>0.85</v>
      </c>
      <c r="AF163" s="4" t="str">
        <f aca="false">INT((X163+Y163)-(B163+C163)) &amp; ":" &amp;
TEXT(HOUR((X163+Y163)-(B163+C163)), "00") &amp; ":" &amp;
TEXT(MINUTE((X163+Y163)-(B163+C163)), "00")</f>
        <v>15:00:05</v>
      </c>
      <c r="AG163" s="4" t="str">
        <f aca="false" t="array" ref="AG163:AG163">INT(_xlfn.XLOOKUP(J163,{"Low","Medium","High","Urgent"},{48,24,12,8})/24) &amp; ":" &amp;
TEXT(MOD(_xlfn.XLOOKUP(J163,{"Low","Medium","High","Urgent"},{48,24,12,8}),24)/24,"hh:mm")</f>
        <v>1:00:00</v>
      </c>
      <c r="AH163" s="4" t="str">
        <f aca="false">IF(AD163&gt;AG163,"Not Met","Met")</f>
        <v>Met</v>
      </c>
      <c r="AI163" s="4" t="e">
        <f aca="false">IF(AB163&lt;TIME(0,30,0),"Met","Not Met")</f>
        <v>#REF!</v>
      </c>
      <c r="AN163" s="1" t="str">
        <f aca="false">TEXT(B163,"dd")</f>
        <v>12</v>
      </c>
      <c r="AO163" s="1" t="str">
        <f aca="false">TEXT(X163,"dd")</f>
        <v>27</v>
      </c>
      <c r="AP163" s="16" t="str">
        <f aca="false">INT(
  NETWORKDAYS(B163,V163)-1
  + IF(WEEKDAY(V163,2)&lt;6,MOD(V163+W163,1),0)
  - IF(WEEKDAY(B163,2)&lt;6,MOD(B163+C163,1),0)
)
&amp; ":" &amp;
TEXT(HOUR(
  NETWORKDAYS(B163,V163)-1
  + IF(WEEKDAY(V163,2)&lt;6,MOD(V163+W163,1),0)
  - IF(WEEKDAY(B163,2)&lt;6,MOD(B163+C163,1),0)
),"00")
&amp; ":" &amp;
TEXT(MINUTE(
  NETWORKDAYS(B163,V163)-1
  + IF(WEEKDAY(V163,2)&lt;6,MOD(V163+W163,1),0)
  - IF(WEEKDAY(B163,2)&lt;6,MOD(B163+C163,1),0)
),"00")</f>
        <v>0:20:23</v>
      </c>
      <c r="AQ163" s="0" t="n">
        <f aca="false">IFERROR(
LEFT(AP163,FIND(":",AP163)-1)
+ MID(AP163,FIND(":",AP163)+1,2)/24
+ RIGHT(AP163,2)/1440,
"")</f>
        <v>0.849305555555556</v>
      </c>
      <c r="AR163" s="0" t="n">
        <f aca="false">WEEKNUM(B163,1)</f>
        <v>7</v>
      </c>
      <c r="AS163" s="17" t="n">
        <f aca="false">IF(B163&gt;0, (B163+C163)-TIME(13,30,0), "")</f>
        <v>46064.6020833333</v>
      </c>
      <c r="AT163" s="18" t="n">
        <f aca="false">IF(B163&gt;0, (B163+C163)-TIME(13,30,0), "")</f>
        <v>46064.6020833333</v>
      </c>
      <c r="AU163" s="17" t="n">
        <f aca="false">IF(V163&gt;0, (V163+W163)-TIME(13,30,0), "")</f>
        <v>46065.4520833333</v>
      </c>
      <c r="AV163" s="18" t="n">
        <f aca="false">IF(V163&gt;0, (V163+W163)-TIME(13,30,0), "")</f>
        <v>46065.4520833333</v>
      </c>
      <c r="AW163" s="19" t="n">
        <f aca="false">24*(
MAX(0,
IF(NETWORKDAYS(AS163,AU163)=1,
MIN(MOD(AV163,1),TIME(17,30,0)) - MAX(MOD(AT163,1),TIME(8,30,0)),
(TIME(17,30,0)-MAX(MOD(AT163,1),TIME(8,30,0)))
+ (MIN(MOD(AV163,1),TIME(17,30,0))-TIME(8,30,0))
+ (NETWORKDAYS(AS163,AU163)-2)*9/24
)
)
)</f>
        <v>5.4</v>
      </c>
      <c r="AX163" s="19" t="n">
        <f aca="false">24*(
MAX(0,
IF(NETWORKDAYS(AS163,AU163)=1,
MIN(MOD(AV163,1),TIME(17,30,0)) - MAX(MOD(AT163,1),TIME(8,30,0)),
(TIME(17,30,0)-MAX(MOD(AT163,1),TIME(8,30,0)))
+ (MIN(MOD(AV163,1),TIME(17,30,0))-TIME(8,30,0))
+ (NETWORKDAYS(AS163,AU163)-2)* (TIME(17,30,0)-TIME(8,30,0))
)
)
)</f>
        <v>5.4</v>
      </c>
      <c r="AY163" s="20" t="n">
        <f aca="false">ROUND(
IF(AS163=AU163,
MAX(0,
(MIN(MOD(AV163,1),TIME(17,30,0))-
MAX(MOD(AT163,1),TIME(8,30,0)))*24
),
(
(MAX(0,TIME(17,30,0)-MAX(MOD(AT163,1),TIME(8,30,0)))*24)
+
(MAX(0,MIN(MOD(AV163,1),TIME(17,30,0))-TIME(8,30,0))*24)
+
(MAX(0,NETWORKDAYS(AS163+1,AU163-1))*9)
)
),
2)</f>
        <v>5.4</v>
      </c>
      <c r="AZ163" s="0" t="n">
        <f aca="false" t="array" ref="AZ163:AZ163">_xlfn.XLOOKUP(J163,{"Low","Medium","High"},{270,72,24})</f>
        <v>72</v>
      </c>
      <c r="BA163" s="0" t="str">
        <f aca="false">IF(AW163&gt;AZ163,"Not Met","Met")</f>
        <v>Met</v>
      </c>
      <c r="BB163" s="21" t="str">
        <f aca="false">IF(AS163="","",TEXT(AS163,"MMM")&amp;"'"&amp;TEXT(AS163,"yy"))</f>
        <v>Feb'26</v>
      </c>
      <c r="BC163" s="0" t="str">
        <f aca="false">IF(AU163="","",TEXT(AU163,"MMM")&amp;"'"&amp;TEXT(AU163,"yy"))</f>
        <v>Feb'26</v>
      </c>
    </row>
    <row r="164" customFormat="false" ht="15" hidden="false" customHeight="false" outlineLevel="0" collapsed="false">
      <c r="A164" s="1" t="s">
        <v>638</v>
      </c>
      <c r="B164" s="11" t="n">
        <v>46065</v>
      </c>
      <c r="C164" s="12" t="n">
        <v>0.214583333333333</v>
      </c>
      <c r="D164" s="13" t="str">
        <f aca="false">IF(B164="","",TEXT(B164,"MMM")&amp;"'"&amp;TEXT(B164,"yy"))</f>
        <v>Feb'26</v>
      </c>
      <c r="E164" s="27" t="s">
        <v>55</v>
      </c>
      <c r="F164" s="1" t="s">
        <v>39</v>
      </c>
      <c r="G164" s="1" t="str">
        <f aca="false">IF(F164="Closed","Closed","Pending")</f>
        <v>Closed</v>
      </c>
      <c r="H164" s="1" t="s">
        <v>56</v>
      </c>
      <c r="I164" s="1" t="s">
        <v>639</v>
      </c>
      <c r="J164" s="1" t="s">
        <v>58</v>
      </c>
      <c r="K164" s="51" t="s">
        <v>59</v>
      </c>
      <c r="L164" s="1" t="s">
        <v>640</v>
      </c>
      <c r="M164" s="35" t="s">
        <v>641</v>
      </c>
      <c r="N164" s="1" t="s">
        <v>62</v>
      </c>
      <c r="O164" s="1" t="s">
        <v>63</v>
      </c>
      <c r="Q164" s="1" t="s">
        <v>65</v>
      </c>
      <c r="R164" s="1" t="s">
        <v>87</v>
      </c>
      <c r="U164" s="12" t="n">
        <v>0.273611111111111</v>
      </c>
      <c r="V164" s="11" t="n">
        <v>46079</v>
      </c>
      <c r="W164" s="12" t="n">
        <v>0.926388888888889</v>
      </c>
      <c r="X164" s="11" t="n">
        <v>46080</v>
      </c>
      <c r="Y164" s="12" t="n">
        <v>0.0263888888888889</v>
      </c>
      <c r="Z164" s="1" t="s">
        <v>108</v>
      </c>
      <c r="AA164" s="1" t="s">
        <v>68</v>
      </c>
      <c r="AB164" s="2" t="e">
        <f aca="false">U164-#REF!</f>
        <v>#REF!</v>
      </c>
      <c r="AC164" s="14" t="n">
        <f aca="false">(V164+W164)-(B164+C164)</f>
        <v>14.7118055555556</v>
      </c>
      <c r="AD164" s="4" t="str">
        <f aca="false">INT((V164+W164)-(B164+C164)) &amp; ":" &amp;
TEXT(HOUR((V164+W164)-(B164+C164)), "00") &amp; ":" &amp;
TEXT(MINUTE((V164+W164)-(B164+C164)), "00")</f>
        <v>14:17:05</v>
      </c>
      <c r="AE164" s="1" t="n">
        <f aca="false">IFERROR(
LEFT(AD164,FIND(":",AD164)-1)
+ MID(AD164,FIND(":",AD164)+1,2)/24
+ RIGHT(AD164,2)/1440,
"")</f>
        <v>14.7118055555556</v>
      </c>
      <c r="AF164" s="4" t="str">
        <f aca="false">INT((X164+Y164)-(B164+C164)) &amp; ":" &amp;
TEXT(HOUR((X164+Y164)-(B164+C164)), "00") &amp; ":" &amp;
TEXT(MINUTE((X164+Y164)-(B164+C164)), "00")</f>
        <v>14:19:29</v>
      </c>
      <c r="AG164" s="4" t="str">
        <f aca="false" t="array" ref="AG164:AG164">INT(_xlfn.XLOOKUP(J164,{"Low","Medium","High","Urgent"},{48,24,12,8})/24) &amp; ":" &amp;
TEXT(MOD(_xlfn.XLOOKUP(J164,{"Low","Medium","High","Urgent"},{48,24,12,8}),24)/24,"hh:mm")</f>
        <v>1:00:00</v>
      </c>
      <c r="AH164" s="4" t="str">
        <f aca="false">IF(AD164&gt;AG164,"Not Met","Met")</f>
        <v>Not Met</v>
      </c>
      <c r="AI164" s="4" t="e">
        <f aca="false">IF(AB164&lt;TIME(0,30,0),"Met","Not Met")</f>
        <v>#REF!</v>
      </c>
      <c r="AN164" s="1" t="str">
        <f aca="false">TEXT(B164,"dd")</f>
        <v>12</v>
      </c>
      <c r="AO164" s="1" t="str">
        <f aca="false">TEXT(X164,"dd")</f>
        <v>27</v>
      </c>
      <c r="AP164" s="16" t="str">
        <f aca="false">INT(
  NETWORKDAYS(B164,V164)-1
  + IF(WEEKDAY(V164,2)&lt;6,MOD(V164+W164,1),0)
  - IF(WEEKDAY(B164,2)&lt;6,MOD(B164+C164,1),0)
)
&amp; ":" &amp;
TEXT(HOUR(
  NETWORKDAYS(B164,V164)-1
  + IF(WEEKDAY(V164,2)&lt;6,MOD(V164+W164,1),0)
  - IF(WEEKDAY(B164,2)&lt;6,MOD(B164+C164,1),0)
),"00")
&amp; ":" &amp;
TEXT(MINUTE(
  NETWORKDAYS(B164,V164)-1
  + IF(WEEKDAY(V164,2)&lt;6,MOD(V164+W164,1),0)
  - IF(WEEKDAY(B164,2)&lt;6,MOD(B164+C164,1),0)
),"00")</f>
        <v>10:17:04</v>
      </c>
      <c r="AQ164" s="0" t="n">
        <f aca="false">IFERROR(
LEFT(AP164,FIND(":",AP164)-1)
+ MID(AP164,FIND(":",AP164)+1,2)/24
+ RIGHT(AP164,2)/1440,
"")</f>
        <v>10.7111111111111</v>
      </c>
      <c r="AR164" s="0" t="n">
        <f aca="false">WEEKNUM(B164,1)</f>
        <v>7</v>
      </c>
      <c r="AS164" s="17" t="n">
        <f aca="false">IF(B164&gt;0, (B164+C164)-TIME(13,30,0), "")</f>
        <v>46064.6520833333</v>
      </c>
      <c r="AT164" s="18" t="n">
        <f aca="false">IF(B164&gt;0, (B164+C164)-TIME(13,30,0), "")</f>
        <v>46064.6520833333</v>
      </c>
      <c r="AU164" s="17" t="n">
        <f aca="false">IF(V164&gt;0, (V164+W164)-TIME(13,30,0), "")</f>
        <v>46079.3638888889</v>
      </c>
      <c r="AV164" s="18" t="n">
        <f aca="false">IF(V164&gt;0, (V164+W164)-TIME(13,30,0), "")</f>
        <v>46079.3638888889</v>
      </c>
      <c r="AW164" s="19" t="n">
        <f aca="false">24*(
MAX(0,
IF(NETWORKDAYS(AS164,AU164)=1,
MIN(MOD(AV164,1),TIME(17,30,0)) - MAX(MOD(AT164,1),TIME(8,30,0)),
(TIME(17,30,0)-MAX(MOD(AT164,1),TIME(8,30,0)))
+ (MIN(MOD(AV164,1),TIME(17,30,0))-TIME(8,30,0))
+ (NETWORKDAYS(AS164,AU164)-2)*9/24
)
)
)</f>
        <v>92.0833333333333</v>
      </c>
      <c r="AX164" s="19" t="n">
        <f aca="false">24*(
MAX(0,
IF(NETWORKDAYS(AS164,AU164)=1,
MIN(MOD(AV164,1),TIME(17,30,0)) - MAX(MOD(AT164,1),TIME(8,30,0)),
(TIME(17,30,0)-MAX(MOD(AT164,1),TIME(8,30,0)))
+ (MIN(MOD(AV164,1),TIME(17,30,0))-TIME(8,30,0))
+ (NETWORKDAYS(AS164,AU164)-2)* (TIME(17,30,0)-TIME(8,30,0))
)
)
)</f>
        <v>92.0833333333333</v>
      </c>
      <c r="AY164" s="20" t="n">
        <f aca="false">ROUND(
IF(AS164=AU164,
MAX(0,
(MIN(MOD(AV164,1),TIME(17,30,0))-
MAX(MOD(AT164,1),TIME(8,30,0)))*24
),
(
(MAX(0,TIME(17,30,0)-MAX(MOD(AT164,1),TIME(8,30,0)))*24)
+
(MAX(0,MIN(MOD(AV164,1),TIME(17,30,0))-TIME(8,30,0))*24)
+
(MAX(0,NETWORKDAYS(AS164+1,AU164-1))*9)
)
),
2)</f>
        <v>92.08</v>
      </c>
      <c r="AZ164" s="0" t="n">
        <f aca="false" t="array" ref="AZ164:AZ164">_xlfn.XLOOKUP(J164,{"Low","Medium","High"},{270,72,24})</f>
        <v>72</v>
      </c>
      <c r="BA164" s="0" t="str">
        <f aca="false">IF(AW164&gt;AZ164,"Not Met","Met")</f>
        <v>Not Met</v>
      </c>
      <c r="BB164" s="21" t="str">
        <f aca="false">IF(AS164="","",TEXT(AS164,"MMM")&amp;"'"&amp;TEXT(AS164,"yy"))</f>
        <v>Feb'26</v>
      </c>
      <c r="BC164" s="0" t="str">
        <f aca="false">IF(AU164="","",TEXT(AU164,"MMM")&amp;"'"&amp;TEXT(AU164,"yy"))</f>
        <v>Feb'26</v>
      </c>
    </row>
    <row r="165" customFormat="false" ht="15" hidden="false" customHeight="false" outlineLevel="0" collapsed="false">
      <c r="A165" s="23" t="s">
        <v>642</v>
      </c>
      <c r="B165" s="11" t="n">
        <v>46065</v>
      </c>
      <c r="C165" s="12" t="n">
        <v>0.940972222222222</v>
      </c>
      <c r="D165" s="13" t="str">
        <f aca="false">IF(B165="","",TEXT(B165,"MMM")&amp;"'"&amp;TEXT(B165,"yy"))</f>
        <v>Feb'26</v>
      </c>
      <c r="E165" s="27" t="s">
        <v>55</v>
      </c>
      <c r="F165" s="1" t="s">
        <v>39</v>
      </c>
      <c r="G165" s="1" t="str">
        <f aca="false">IF(F165="Closed","Closed","Pending")</f>
        <v>Closed</v>
      </c>
      <c r="H165" s="26" t="s">
        <v>120</v>
      </c>
      <c r="I165" s="26" t="s">
        <v>126</v>
      </c>
      <c r="J165" s="26" t="s">
        <v>74</v>
      </c>
      <c r="K165" s="51" t="s">
        <v>59</v>
      </c>
      <c r="L165" s="1" t="s">
        <v>643</v>
      </c>
      <c r="M165" s="35" t="s">
        <v>644</v>
      </c>
      <c r="N165" s="1" t="s">
        <v>65</v>
      </c>
      <c r="O165" s="1" t="s">
        <v>106</v>
      </c>
      <c r="Q165" s="1" t="s">
        <v>65</v>
      </c>
      <c r="R165" s="1" t="s">
        <v>87</v>
      </c>
      <c r="U165" s="25" t="n">
        <v>46066.0291666667</v>
      </c>
      <c r="V165" s="11" t="n">
        <v>46066</v>
      </c>
      <c r="W165" s="12" t="n">
        <v>0.968055555555556</v>
      </c>
      <c r="X165" s="11" t="n">
        <v>46066</v>
      </c>
      <c r="Y165" s="12" t="n">
        <v>0.984722222222222</v>
      </c>
      <c r="Z165" s="1" t="s">
        <v>67</v>
      </c>
      <c r="AA165" s="1" t="s">
        <v>68</v>
      </c>
      <c r="AB165" s="2" t="n">
        <v>0.0881944444444445</v>
      </c>
      <c r="AC165" s="14" t="n">
        <f aca="false">(V165+W165)-(B165+C165)</f>
        <v>1.02708333333333</v>
      </c>
      <c r="AD165" s="4" t="str">
        <f aca="false">INT((V165+W165)-(B165+C165)) &amp; ":" &amp;
TEXT(HOUR((V165+W165)-(B165+C165)), "00") &amp; ":" &amp;
TEXT(MINUTE((V165+W165)-(B165+C165)), "00")</f>
        <v>1:00:39</v>
      </c>
      <c r="AE165" s="1" t="n">
        <f aca="false">IFERROR(
LEFT(AD165,FIND(":",AD165)-1)
+ MID(AD165,FIND(":",AD165)+1,2)/24
+ RIGHT(AD165,2)/1440,
"")</f>
        <v>1.02708333333333</v>
      </c>
      <c r="AF165" s="4" t="str">
        <f aca="false">INT((X165+Y165)-(B165+C165)) &amp; ":" &amp;
TEXT(HOUR((X165+Y165)-(B165+C165)), "00") &amp; ":" &amp;
TEXT(MINUTE((X165+Y165)-(B165+C165)), "00")</f>
        <v>1:01:03</v>
      </c>
      <c r="AG165" s="4" t="str">
        <f aca="false" t="array" ref="AG165:AG165">INT(_xlfn.XLOOKUP(J165,{"Low","Medium","High","Urgent"},{48,24,12,8})/24) &amp; ":" &amp;
TEXT(MOD(_xlfn.XLOOKUP(J165,{"Low","Medium","High","Urgent"},{48,24,12,8}),24)/24,"hh:mm")</f>
        <v>2:00:00</v>
      </c>
      <c r="AH165" s="4" t="str">
        <f aca="false">IF(AD165&gt;AG165,"Not Met","Met")</f>
        <v>Met</v>
      </c>
      <c r="AI165" s="4" t="str">
        <f aca="false">IF(AB165&lt;TIME(0,30,0),"Met","Not Met")</f>
        <v>Not Met</v>
      </c>
      <c r="AN165" s="1" t="str">
        <f aca="false">TEXT(B165,"dd")</f>
        <v>12</v>
      </c>
      <c r="AO165" s="1" t="str">
        <f aca="false">TEXT(X165,"dd")</f>
        <v>13</v>
      </c>
      <c r="AP165" s="16" t="str">
        <f aca="false">INT(
  NETWORKDAYS(B165,V165)-1
  + IF(WEEKDAY(V165,2)&lt;6,MOD(V165+W165,1),0)
  - IF(WEEKDAY(B165,2)&lt;6,MOD(B165+C165,1),0)
)
&amp; ":" &amp;
TEXT(HOUR(
  NETWORKDAYS(B165,V165)-1
  + IF(WEEKDAY(V165,2)&lt;6,MOD(V165+W165,1),0)
  - IF(WEEKDAY(B165,2)&lt;6,MOD(B165+C165,1),0)
),"00")
&amp; ":" &amp;
TEXT(MINUTE(
  NETWORKDAYS(B165,V165)-1
  + IF(WEEKDAY(V165,2)&lt;6,MOD(V165+W165,1),0)
  - IF(WEEKDAY(B165,2)&lt;6,MOD(B165+C165,1),0)
),"00")</f>
        <v>1:00:39</v>
      </c>
      <c r="AQ165" s="0" t="n">
        <f aca="false">IFERROR(
LEFT(AP165,FIND(":",AP165)-1)
+ MID(AP165,FIND(":",AP165)+1,2)/24
+ RIGHT(AP165,2)/1440,
"")</f>
        <v>1.02708333333333</v>
      </c>
      <c r="AR165" s="0" t="n">
        <f aca="false">WEEKNUM(B165,1)</f>
        <v>7</v>
      </c>
      <c r="AS165" s="17" t="n">
        <f aca="false">IF(B165&gt;0, (B165+C165)-TIME(13,30,0), "")</f>
        <v>46065.3784722222</v>
      </c>
      <c r="AT165" s="18" t="n">
        <f aca="false">IF(B165&gt;0, (B165+C165)-TIME(13,30,0), "")</f>
        <v>46065.3784722222</v>
      </c>
      <c r="AU165" s="17" t="n">
        <f aca="false">IF(V165&gt;0, (V165+W165)-TIME(13,30,0), "")</f>
        <v>46066.4055555556</v>
      </c>
      <c r="AV165" s="18" t="n">
        <f aca="false">IF(V165&gt;0, (V165+W165)-TIME(13,30,0), "")</f>
        <v>46066.4055555556</v>
      </c>
      <c r="AW165" s="19" t="n">
        <f aca="false">24*(
MAX(0,
IF(NETWORKDAYS(AS165,AU165)=1,
MIN(MOD(AV165,1),TIME(17,30,0)) - MAX(MOD(AT165,1),TIME(8,30,0)),
(TIME(17,30,0)-MAX(MOD(AT165,1),TIME(8,30,0)))
+ (MIN(MOD(AV165,1),TIME(17,30,0))-TIME(8,30,0))
+ (NETWORKDAYS(AS165,AU165)-2)*9/24
)
)
)</f>
        <v>9.65</v>
      </c>
      <c r="AX165" s="19" t="n">
        <f aca="false">24*(
MAX(0,
IF(NETWORKDAYS(AS165,AU165)=1,
MIN(MOD(AV165,1),TIME(17,30,0)) - MAX(MOD(AT165,1),TIME(8,30,0)),
(TIME(17,30,0)-MAX(MOD(AT165,1),TIME(8,30,0)))
+ (MIN(MOD(AV165,1),TIME(17,30,0))-TIME(8,30,0))
+ (NETWORKDAYS(AS165,AU165)-2)* (TIME(17,30,0)-TIME(8,30,0))
)
)
)</f>
        <v>9.65</v>
      </c>
      <c r="AY165" s="20" t="n">
        <f aca="false">ROUND(
IF(AS165=AU165,
MAX(0,
(MIN(MOD(AV165,1),TIME(17,30,0))-
MAX(MOD(AT165,1),TIME(8,30,0)))*24
),
(
(MAX(0,TIME(17,30,0)-MAX(MOD(AT165,1),TIME(8,30,0)))*24)
+
(MAX(0,MIN(MOD(AV165,1),TIME(17,30,0))-TIME(8,30,0))*24)
+
(MAX(0,NETWORKDAYS(AS165+1,AU165-1))*9)
)
),
2)</f>
        <v>9.65</v>
      </c>
      <c r="AZ165" s="0" t="n">
        <f aca="false" t="array" ref="AZ165:AZ165">_xlfn.XLOOKUP(J165,{"Low","Medium","High"},{270,72,24})</f>
        <v>270</v>
      </c>
      <c r="BA165" s="0" t="str">
        <f aca="false">IF(AW165&gt;AZ165,"Not Met","Met")</f>
        <v>Met</v>
      </c>
      <c r="BB165" s="21" t="str">
        <f aca="false">IF(AS165="","",TEXT(AS165,"MMM")&amp;"'"&amp;TEXT(AS165,"yy"))</f>
        <v>Feb'26</v>
      </c>
      <c r="BC165" s="0" t="str">
        <f aca="false">IF(AU165="","",TEXT(AU165,"MMM")&amp;"'"&amp;TEXT(AU165,"yy"))</f>
        <v>Feb'26</v>
      </c>
    </row>
    <row r="166" customFormat="false" ht="15" hidden="false" customHeight="false" outlineLevel="0" collapsed="false">
      <c r="A166" s="23" t="s">
        <v>645</v>
      </c>
      <c r="B166" s="11" t="n">
        <v>46066</v>
      </c>
      <c r="C166" s="12" t="n">
        <v>0.0520833333333333</v>
      </c>
      <c r="D166" s="13" t="str">
        <f aca="false">IF(B166="","",TEXT(B166,"MMM")&amp;"'"&amp;TEXT(B166,"yy"))</f>
        <v>Feb'26</v>
      </c>
      <c r="E166" s="27" t="s">
        <v>55</v>
      </c>
      <c r="F166" s="1" t="s">
        <v>39</v>
      </c>
      <c r="G166" s="1" t="str">
        <f aca="false">IF(F166="Closed","Closed","Pending")</f>
        <v>Closed</v>
      </c>
      <c r="H166" s="1" t="s">
        <v>120</v>
      </c>
      <c r="I166" s="1" t="s">
        <v>210</v>
      </c>
      <c r="J166" s="1" t="s">
        <v>74</v>
      </c>
      <c r="K166" s="51" t="s">
        <v>59</v>
      </c>
      <c r="L166" s="1" t="s">
        <v>646</v>
      </c>
      <c r="M166" s="35" t="s">
        <v>647</v>
      </c>
      <c r="N166" s="1" t="s">
        <v>62</v>
      </c>
      <c r="O166" s="1" t="s">
        <v>77</v>
      </c>
      <c r="Q166" s="1" t="s">
        <v>86</v>
      </c>
      <c r="R166" s="1" t="s">
        <v>87</v>
      </c>
      <c r="U166" s="12" t="n">
        <v>0.0833333333333333</v>
      </c>
      <c r="V166" s="11" t="n">
        <v>46076</v>
      </c>
      <c r="W166" s="12" t="n">
        <v>0.920833333333333</v>
      </c>
      <c r="X166" s="11" t="n">
        <v>46077</v>
      </c>
      <c r="Y166" s="12" t="n">
        <v>0.0131944444444444</v>
      </c>
      <c r="Z166" s="1" t="s">
        <v>108</v>
      </c>
      <c r="AA166" s="1" t="s">
        <v>68</v>
      </c>
      <c r="AB166" s="2" t="e">
        <f aca="false">U166-#REF!</f>
        <v>#REF!</v>
      </c>
      <c r="AC166" s="14" t="n">
        <f aca="false">(V166+W166)-(B166+C166)</f>
        <v>10.86875</v>
      </c>
      <c r="AD166" s="4" t="str">
        <f aca="false">INT((V166+W166)-(B166+C166)) &amp; ":" &amp;
TEXT(HOUR((V166+W166)-(B166+C166)), "00") &amp; ":" &amp;
TEXT(MINUTE((V166+W166)-(B166+C166)), "00")</f>
        <v>10:20:51</v>
      </c>
      <c r="AE166" s="1" t="n">
        <f aca="false">IFERROR(
LEFT(AD166,FIND(":",AD166)-1)
+ MID(AD166,FIND(":",AD166)+1,2)/24
+ RIGHT(AD166,2)/1440,
"")</f>
        <v>10.86875</v>
      </c>
      <c r="AF166" s="4" t="str">
        <f aca="false">INT((X166+Y166)-(B166+C166)) &amp; ":" &amp;
TEXT(HOUR((X166+Y166)-(B166+C166)), "00") &amp; ":" &amp;
TEXT(MINUTE((X166+Y166)-(B166+C166)), "00")</f>
        <v>10:23:04</v>
      </c>
      <c r="AG166" s="4" t="str">
        <f aca="false" t="array" ref="AG166:AG166">INT(_xlfn.XLOOKUP(J166,{"Low","Medium","High","Urgent"},{48,24,12,8})/24) &amp; ":" &amp;
TEXT(MOD(_xlfn.XLOOKUP(J166,{"Low","Medium","High","Urgent"},{48,24,12,8}),24)/24,"hh:mm")</f>
        <v>2:00:00</v>
      </c>
      <c r="AH166" s="4" t="str">
        <f aca="false">IF(AD166&gt;AG166,"Not Met","Met")</f>
        <v>Met</v>
      </c>
      <c r="AI166" s="4" t="e">
        <f aca="false">IF(AB166&lt;TIME(0,30,0),"Met","Not Met")</f>
        <v>#REF!</v>
      </c>
      <c r="AN166" s="1" t="str">
        <f aca="false">TEXT(B166,"dd")</f>
        <v>13</v>
      </c>
      <c r="AO166" s="1" t="str">
        <f aca="false">TEXT(X166,"dd")</f>
        <v>24</v>
      </c>
      <c r="AP166" s="16" t="str">
        <f aca="false">INT(
  NETWORKDAYS(B166,V166)-1
  + IF(WEEKDAY(V166,2)&lt;6,MOD(V166+W166,1),0)
  - IF(WEEKDAY(B166,2)&lt;6,MOD(B166+C166,1),0)
)
&amp; ":" &amp;
TEXT(HOUR(
  NETWORKDAYS(B166,V166)-1
  + IF(WEEKDAY(V166,2)&lt;6,MOD(V166+W166,1),0)
  - IF(WEEKDAY(B166,2)&lt;6,MOD(B166+C166,1),0)
),"00")
&amp; ":" &amp;
TEXT(MINUTE(
  NETWORKDAYS(B166,V166)-1
  + IF(WEEKDAY(V166,2)&lt;6,MOD(V166+W166,1),0)
  - IF(WEEKDAY(B166,2)&lt;6,MOD(B166+C166,1),0)
),"00")</f>
        <v>6:20:50</v>
      </c>
      <c r="AQ166" s="0" t="n">
        <f aca="false">IFERROR(
LEFT(AP166,FIND(":",AP166)-1)
+ MID(AP166,FIND(":",AP166)+1,2)/24
+ RIGHT(AP166,2)/1440,
"")</f>
        <v>6.86805555555556</v>
      </c>
      <c r="AR166" s="0" t="n">
        <f aca="false">WEEKNUM(B166,1)</f>
        <v>7</v>
      </c>
      <c r="AS166" s="17" t="n">
        <f aca="false">IF(B166&gt;0, (B166+C166)-TIME(13,30,0), "")</f>
        <v>46065.4895833333</v>
      </c>
      <c r="AT166" s="18" t="n">
        <f aca="false">IF(B166&gt;0, (B166+C166)-TIME(13,30,0), "")</f>
        <v>46065.4895833333</v>
      </c>
      <c r="AU166" s="17" t="n">
        <f aca="false">IF(V166&gt;0, (V166+W166)-TIME(13,30,0), "")</f>
        <v>46076.3583333333</v>
      </c>
      <c r="AV166" s="18" t="n">
        <f aca="false">IF(V166&gt;0, (V166+W166)-TIME(13,30,0), "")</f>
        <v>46076.3583333333</v>
      </c>
      <c r="AW166" s="19" t="n">
        <f aca="false">24*(
MAX(0,
IF(NETWORKDAYS(AS166,AU166)=1,
MIN(MOD(AV166,1),TIME(17,30,0)) - MAX(MOD(AT166,1),TIME(8,30,0)),
(TIME(17,30,0)-MAX(MOD(AT166,1),TIME(8,30,0)))
+ (MIN(MOD(AV166,1),TIME(17,30,0))-TIME(8,30,0))
+ (NETWORKDAYS(AS166,AU166)-2)*9/24
)
)
)</f>
        <v>59.85</v>
      </c>
      <c r="AX166" s="19" t="n">
        <f aca="false">24*(
MAX(0,
IF(NETWORKDAYS(AS166,AU166)=1,
MIN(MOD(AV166,1),TIME(17,30,0)) - MAX(MOD(AT166,1),TIME(8,30,0)),
(TIME(17,30,0)-MAX(MOD(AT166,1),TIME(8,30,0)))
+ (MIN(MOD(AV166,1),TIME(17,30,0))-TIME(8,30,0))
+ (NETWORKDAYS(AS166,AU166)-2)* (TIME(17,30,0)-TIME(8,30,0))
)
)
)</f>
        <v>59.85</v>
      </c>
      <c r="AY166" s="20" t="n">
        <f aca="false">ROUND(
IF(AS166=AU166,
MAX(0,
(MIN(MOD(AV166,1),TIME(17,30,0))-
MAX(MOD(AT166,1),TIME(8,30,0)))*24
),
(
(MAX(0,TIME(17,30,0)-MAX(MOD(AT166,1),TIME(8,30,0)))*24)
+
(MAX(0,MIN(MOD(AV166,1),TIME(17,30,0))-TIME(8,30,0))*24)
+
(MAX(0,NETWORKDAYS(AS166+1,AU166-1))*9)
)
),
2)</f>
        <v>59.85</v>
      </c>
      <c r="AZ166" s="0" t="n">
        <f aca="false" t="array" ref="AZ166:AZ166">_xlfn.XLOOKUP(J166,{"Low","Medium","High"},{270,72,24})</f>
        <v>270</v>
      </c>
      <c r="BA166" s="0" t="str">
        <f aca="false">IF(AW166&gt;AZ166,"Not Met","Met")</f>
        <v>Met</v>
      </c>
      <c r="BB166" s="21" t="str">
        <f aca="false">IF(AS166="","",TEXT(AS166,"MMM")&amp;"'"&amp;TEXT(AS166,"yy"))</f>
        <v>Feb'26</v>
      </c>
      <c r="BC166" s="0" t="str">
        <f aca="false">IF(AU166="","",TEXT(AU166,"MMM")&amp;"'"&amp;TEXT(AU166,"yy"))</f>
        <v>Feb'26</v>
      </c>
    </row>
    <row r="167" customFormat="false" ht="15" hidden="false" customHeight="false" outlineLevel="0" collapsed="false">
      <c r="A167" s="1" t="s">
        <v>648</v>
      </c>
      <c r="B167" s="11" t="n">
        <v>46066</v>
      </c>
      <c r="C167" s="12" t="n">
        <v>0.908333333333333</v>
      </c>
      <c r="D167" s="13" t="str">
        <f aca="false">IF(B167="","",TEXT(B167,"MMM")&amp;"'"&amp;TEXT(B167,"yy"))</f>
        <v>Feb'26</v>
      </c>
      <c r="E167" s="27" t="s">
        <v>55</v>
      </c>
      <c r="F167" s="1" t="s">
        <v>39</v>
      </c>
      <c r="G167" s="1" t="str">
        <f aca="false">IF(F167="Closed","Closed","Pending")</f>
        <v>Closed</v>
      </c>
      <c r="H167" s="1" t="s">
        <v>56</v>
      </c>
      <c r="I167" s="1" t="s">
        <v>386</v>
      </c>
      <c r="J167" s="1" t="s">
        <v>74</v>
      </c>
      <c r="K167" s="51" t="s">
        <v>59</v>
      </c>
      <c r="L167" s="29" t="s">
        <v>649</v>
      </c>
      <c r="M167" s="1" t="s">
        <v>650</v>
      </c>
      <c r="N167" s="1" t="s">
        <v>65</v>
      </c>
      <c r="O167" s="1" t="s">
        <v>106</v>
      </c>
      <c r="Q167" s="1" t="s">
        <v>65</v>
      </c>
      <c r="R167" s="1" t="s">
        <v>87</v>
      </c>
      <c r="U167" s="12" t="n">
        <v>0.972222222222222</v>
      </c>
      <c r="V167" s="11" t="n">
        <v>46071</v>
      </c>
      <c r="W167" s="12" t="n">
        <v>0.0958333333333333</v>
      </c>
      <c r="X167" s="11" t="n">
        <v>46071</v>
      </c>
      <c r="Y167" s="12" t="n">
        <v>0.118055555555556</v>
      </c>
      <c r="Z167" s="1" t="s">
        <v>108</v>
      </c>
      <c r="AA167" s="1" t="s">
        <v>89</v>
      </c>
      <c r="AB167" s="2" t="e">
        <f aca="false">U167-#REF!</f>
        <v>#REF!</v>
      </c>
      <c r="AC167" s="14" t="n">
        <f aca="false">(V167+W167)-(B167+C167)</f>
        <v>4.1875</v>
      </c>
      <c r="AD167" s="4" t="str">
        <f aca="false">INT((V167+W167)-(B167+C167)) &amp; ":" &amp;
TEXT(HOUR((V167+W167)-(B167+C167)), "00") &amp; ":" &amp;
TEXT(MINUTE((V167+W167)-(B167+C167)), "00")</f>
        <v>4:04:30</v>
      </c>
      <c r="AE167" s="1" t="n">
        <f aca="false">IFERROR(
LEFT(AD167,FIND(":",AD167)-1)
+ MID(AD167,FIND(":",AD167)+1,2)/24
+ RIGHT(AD167,2)/1440,
"")</f>
        <v>4.1875</v>
      </c>
      <c r="AF167" s="4" t="str">
        <f aca="false">INT((X167+Y167)-(B167+C167)) &amp; ":" &amp;
TEXT(HOUR((X167+Y167)-(B167+C167)), "00") &amp; ":" &amp;
TEXT(MINUTE((X167+Y167)-(B167+C167)), "00")</f>
        <v>4:05:02</v>
      </c>
      <c r="AG167" s="4" t="str">
        <f aca="false" t="array" ref="AG167:AG167">INT(_xlfn.XLOOKUP(J167,{"Low","Medium","High","Urgent"},{48,24,12,8})/24) &amp; ":" &amp;
TEXT(MOD(_xlfn.XLOOKUP(J167,{"Low","Medium","High","Urgent"},{48,24,12,8}),24)/24,"hh:mm")</f>
        <v>2:00:00</v>
      </c>
      <c r="AH167" s="4" t="str">
        <f aca="false">IF(AD167&gt;AG167,"Not Met","Met")</f>
        <v>Not Met</v>
      </c>
      <c r="AI167" s="4" t="e">
        <f aca="false">IF(AB167&lt;TIME(0,30,0),"Met","Not Met")</f>
        <v>#REF!</v>
      </c>
      <c r="AN167" s="1" t="str">
        <f aca="false">TEXT(B167,"dd")</f>
        <v>13</v>
      </c>
      <c r="AO167" s="1" t="str">
        <f aca="false">TEXT(X167,"dd")</f>
        <v>18</v>
      </c>
      <c r="AP167" s="16" t="str">
        <f aca="false">INT(
  NETWORKDAYS(B167,V167)-1
  + IF(WEEKDAY(V167,2)&lt;6,MOD(V167+W167,1),0)
  - IF(WEEKDAY(B167,2)&lt;6,MOD(B167+C167,1),0)
)
&amp; ":" &amp;
TEXT(HOUR(
  NETWORKDAYS(B167,V167)-1
  + IF(WEEKDAY(V167,2)&lt;6,MOD(V167+W167,1),0)
  - IF(WEEKDAY(B167,2)&lt;6,MOD(B167+C167,1),0)
),"00")
&amp; ":" &amp;
TEXT(MINUTE(
  NETWORKDAYS(B167,V167)-1
  + IF(WEEKDAY(V167,2)&lt;6,MOD(V167+W167,1),0)
  - IF(WEEKDAY(B167,2)&lt;6,MOD(B167+C167,1),0)
),"00")</f>
        <v>2:04:30</v>
      </c>
      <c r="AQ167" s="0" t="n">
        <f aca="false">IFERROR(
LEFT(AP167,FIND(":",AP167)-1)
+ MID(AP167,FIND(":",AP167)+1,2)/24
+ RIGHT(AP167,2)/1440,
"")</f>
        <v>2.1875</v>
      </c>
      <c r="AR167" s="0" t="n">
        <f aca="false">WEEKNUM(B167,1)</f>
        <v>7</v>
      </c>
      <c r="AS167" s="17" t="n">
        <f aca="false">IF(B167&gt;0, (B167+C167)-TIME(13,30,0), "")</f>
        <v>46066.3458333333</v>
      </c>
      <c r="AT167" s="18" t="n">
        <f aca="false">IF(B167&gt;0, (B167+C167)-TIME(13,30,0), "")</f>
        <v>46066.3458333333</v>
      </c>
      <c r="AU167" s="17" t="n">
        <f aca="false">IF(V167&gt;0, (V167+W167)-TIME(13,30,0), "")</f>
        <v>46070.5333333333</v>
      </c>
      <c r="AV167" s="18" t="n">
        <f aca="false">IF(V167&gt;0, (V167+W167)-TIME(13,30,0), "")</f>
        <v>46070.5333333333</v>
      </c>
      <c r="AW167" s="19" t="n">
        <f aca="false">24*(
MAX(0,
IF(NETWORKDAYS(AS167,AU167)=1,
MIN(MOD(AV167,1),TIME(17,30,0)) - MAX(MOD(AT167,1),TIME(8,30,0)),
(TIME(17,30,0)-MAX(MOD(AT167,1),TIME(8,30,0)))
+ (MIN(MOD(AV167,1),TIME(17,30,0))-TIME(8,30,0))
+ (NETWORKDAYS(AS167,AU167)-2)*9/24
)
)
)</f>
        <v>22.3</v>
      </c>
      <c r="AX167" s="19" t="n">
        <f aca="false">24*(
MAX(0,
IF(NETWORKDAYS(AS167,AU167)=1,
MIN(MOD(AV167,1),TIME(17,30,0)) - MAX(MOD(AT167,1),TIME(8,30,0)),
(TIME(17,30,0)-MAX(MOD(AT167,1),TIME(8,30,0)))
+ (MIN(MOD(AV167,1),TIME(17,30,0))-TIME(8,30,0))
+ (NETWORKDAYS(AS167,AU167)-2)* (TIME(17,30,0)-TIME(8,30,0))
)
)
)</f>
        <v>22.3</v>
      </c>
      <c r="AY167" s="20" t="n">
        <f aca="false">ROUND(
IF(AS167=AU167,
MAX(0,
(MIN(MOD(AV167,1),TIME(17,30,0))-
MAX(MOD(AT167,1),TIME(8,30,0)))*24
),
(
(MAX(0,TIME(17,30,0)-MAX(MOD(AT167,1),TIME(8,30,0)))*24)
+
(MAX(0,MIN(MOD(AV167,1),TIME(17,30,0))-TIME(8,30,0))*24)
+
(MAX(0,NETWORKDAYS(AS167+1,AU167-1))*9)
)
),
2)</f>
        <v>22.3</v>
      </c>
      <c r="AZ167" s="0" t="n">
        <f aca="false" t="array" ref="AZ167:AZ167">_xlfn.XLOOKUP(J167,{"Low","Medium","High"},{270,72,24})</f>
        <v>270</v>
      </c>
      <c r="BA167" s="0" t="str">
        <f aca="false">IF(AW167&gt;AZ167,"Not Met","Met")</f>
        <v>Met</v>
      </c>
      <c r="BB167" s="21" t="str">
        <f aca="false">IF(AS167="","",TEXT(AS167,"MMM")&amp;"'"&amp;TEXT(AS167,"yy"))</f>
        <v>Feb'26</v>
      </c>
      <c r="BC167" s="0" t="str">
        <f aca="false">IF(AU167="","",TEXT(AU167,"MMM")&amp;"'"&amp;TEXT(AU167,"yy"))</f>
        <v>Feb'26</v>
      </c>
    </row>
    <row r="168" customFormat="false" ht="15" hidden="false" customHeight="false" outlineLevel="0" collapsed="false">
      <c r="A168" s="1" t="s">
        <v>651</v>
      </c>
      <c r="B168" s="11" t="n">
        <v>46066</v>
      </c>
      <c r="C168" s="12" t="n">
        <v>0.947916666666667</v>
      </c>
      <c r="D168" s="13" t="str">
        <f aca="false">IF(B168="","",TEXT(B168,"MMM")&amp;"'"&amp;TEXT(B168,"yy"))</f>
        <v>Feb'26</v>
      </c>
      <c r="E168" s="27" t="s">
        <v>55</v>
      </c>
      <c r="F168" s="1" t="s">
        <v>39</v>
      </c>
      <c r="G168" s="1" t="str">
        <f aca="false">IF(F168="Closed","Closed","Pending")</f>
        <v>Closed</v>
      </c>
      <c r="H168" s="1" t="s">
        <v>56</v>
      </c>
      <c r="I168" s="1" t="s">
        <v>436</v>
      </c>
      <c r="J168" s="1" t="s">
        <v>74</v>
      </c>
      <c r="K168" s="51" t="s">
        <v>59</v>
      </c>
      <c r="L168" s="1" t="s">
        <v>652</v>
      </c>
      <c r="M168" s="1" t="s">
        <v>653</v>
      </c>
      <c r="N168" s="1" t="s">
        <v>65</v>
      </c>
      <c r="O168" s="1" t="s">
        <v>106</v>
      </c>
      <c r="Q168" s="1" t="s">
        <v>86</v>
      </c>
      <c r="R168" s="1" t="s">
        <v>87</v>
      </c>
      <c r="U168" s="12" t="n">
        <v>0.977083333333333</v>
      </c>
      <c r="V168" s="11" t="n">
        <v>46076</v>
      </c>
      <c r="W168" s="12" t="n">
        <v>0.923611111111111</v>
      </c>
      <c r="X168" s="11" t="n">
        <v>46080</v>
      </c>
      <c r="Y168" s="12" t="n">
        <v>0</v>
      </c>
      <c r="Z168" s="1" t="s">
        <v>67</v>
      </c>
      <c r="AA168" s="1" t="s">
        <v>68</v>
      </c>
      <c r="AB168" s="2" t="e">
        <f aca="false">U168-#REF!</f>
        <v>#REF!</v>
      </c>
      <c r="AC168" s="14" t="n">
        <f aca="false">(V168+W168)-(B168+C168)</f>
        <v>9.97569444444445</v>
      </c>
      <c r="AD168" s="4" t="str">
        <f aca="false">INT((V168+W168)-(B168+C168)) &amp; ":" &amp;
TEXT(HOUR((V168+W168)-(B168+C168)), "00") &amp; ":" &amp;
TEXT(MINUTE((V168+W168)-(B168+C168)), "00")</f>
        <v>9:23:25</v>
      </c>
      <c r="AE168" s="1" t="n">
        <f aca="false">IFERROR(
LEFT(AD168,FIND(":",AD168)-1)
+ MID(AD168,FIND(":",AD168)+1,2)/24
+ RIGHT(AD168,2)/1440,
"")</f>
        <v>9.97569444444445</v>
      </c>
      <c r="AF168" s="4" t="str">
        <f aca="false">INT((X168+Y168)-(B168+C168)) &amp; ":" &amp;
TEXT(HOUR((X168+Y168)-(B168+C168)), "00") &amp; ":" &amp;
TEXT(MINUTE((X168+Y168)-(B168+C168)), "00")</f>
        <v>13:01:15</v>
      </c>
      <c r="AG168" s="4" t="str">
        <f aca="false" t="array" ref="AG168:AG168">INT(_xlfn.XLOOKUP(J168,{"Low","Medium","High","Urgent"},{48,24,12,8})/24) &amp; ":" &amp;
TEXT(MOD(_xlfn.XLOOKUP(J168,{"Low","Medium","High","Urgent"},{48,24,12,8}),24)/24,"hh:mm")</f>
        <v>2:00:00</v>
      </c>
      <c r="AH168" s="4" t="str">
        <f aca="false">IF(AD168&gt;AG168,"Not Met","Met")</f>
        <v>Not Met</v>
      </c>
      <c r="AI168" s="4" t="e">
        <f aca="false">IF(AB168&lt;TIME(0,30,0),"Met","Not Met")</f>
        <v>#REF!</v>
      </c>
      <c r="AN168" s="1" t="str">
        <f aca="false">TEXT(B168,"dd")</f>
        <v>13</v>
      </c>
      <c r="AO168" s="1" t="str">
        <f aca="false">TEXT(X168,"dd")</f>
        <v>27</v>
      </c>
      <c r="AP168" s="16" t="str">
        <f aca="false">INT(
  NETWORKDAYS(B168,V168)-1
  + IF(WEEKDAY(V168,2)&lt;6,MOD(V168+W168,1),0)
  - IF(WEEKDAY(B168,2)&lt;6,MOD(B168+C168,1),0)
)
&amp; ":" &amp;
TEXT(HOUR(
  NETWORKDAYS(B168,V168)-1
  + IF(WEEKDAY(V168,2)&lt;6,MOD(V168+W168,1),0)
  - IF(WEEKDAY(B168,2)&lt;6,MOD(B168+C168,1),0)
),"00")
&amp; ":" &amp;
TEXT(MINUTE(
  NETWORKDAYS(B168,V168)-1
  + IF(WEEKDAY(V168,2)&lt;6,MOD(V168+W168,1),0)
  - IF(WEEKDAY(B168,2)&lt;6,MOD(B168+C168,1),0)
),"00")</f>
        <v>5:23:25</v>
      </c>
      <c r="AQ168" s="0" t="n">
        <f aca="false">IFERROR(
LEFT(AP168,FIND(":",AP168)-1)
+ MID(AP168,FIND(":",AP168)+1,2)/24
+ RIGHT(AP168,2)/1440,
"")</f>
        <v>5.97569444444444</v>
      </c>
      <c r="AR168" s="0" t="n">
        <f aca="false">WEEKNUM(B168,1)</f>
        <v>7</v>
      </c>
      <c r="AS168" s="17" t="n">
        <f aca="false">IF(B168&gt;0, (B168+C168)-TIME(13,30,0), "")</f>
        <v>46066.3854166667</v>
      </c>
      <c r="AT168" s="18" t="n">
        <f aca="false">IF(B168&gt;0, (B168+C168)-TIME(13,30,0), "")</f>
        <v>46066.3854166667</v>
      </c>
      <c r="AU168" s="17" t="n">
        <f aca="false">IF(V168&gt;0, (V168+W168)-TIME(13,30,0), "")</f>
        <v>46076.3611111111</v>
      </c>
      <c r="AV168" s="18" t="n">
        <f aca="false">IF(V168&gt;0, (V168+W168)-TIME(13,30,0), "")</f>
        <v>46076.3611111111</v>
      </c>
      <c r="AW168" s="19" t="n">
        <f aca="false">24*(
MAX(0,
IF(NETWORKDAYS(AS168,AU168)=1,
MIN(MOD(AV168,1),TIME(17,30,0)) - MAX(MOD(AT168,1),TIME(8,30,0)),
(TIME(17,30,0)-MAX(MOD(AT168,1),TIME(8,30,0)))
+ (MIN(MOD(AV168,1),TIME(17,30,0))-TIME(8,30,0))
+ (NETWORKDAYS(AS168,AU168)-2)*9/24
)
)
)</f>
        <v>53.4166666666667</v>
      </c>
      <c r="AX168" s="19" t="n">
        <f aca="false">24*(
MAX(0,
IF(NETWORKDAYS(AS168,AU168)=1,
MIN(MOD(AV168,1),TIME(17,30,0)) - MAX(MOD(AT168,1),TIME(8,30,0)),
(TIME(17,30,0)-MAX(MOD(AT168,1),TIME(8,30,0)))
+ (MIN(MOD(AV168,1),TIME(17,30,0))-TIME(8,30,0))
+ (NETWORKDAYS(AS168,AU168)-2)* (TIME(17,30,0)-TIME(8,30,0))
)
)
)</f>
        <v>53.4166666666667</v>
      </c>
      <c r="AY168" s="20" t="n">
        <f aca="false">ROUND(
IF(AS168=AU168,
MAX(0,
(MIN(MOD(AV168,1),TIME(17,30,0))-
MAX(MOD(AT168,1),TIME(8,30,0)))*24
),
(
(MAX(0,TIME(17,30,0)-MAX(MOD(AT168,1),TIME(8,30,0)))*24)
+
(MAX(0,MIN(MOD(AV168,1),TIME(17,30,0))-TIME(8,30,0))*24)
+
(MAX(0,NETWORKDAYS(AS168+1,AU168-1))*9)
)
),
2)</f>
        <v>53.42</v>
      </c>
      <c r="AZ168" s="0" t="n">
        <f aca="false" t="array" ref="AZ168:AZ168">_xlfn.XLOOKUP(J168,{"Low","Medium","High"},{270,72,24})</f>
        <v>270</v>
      </c>
      <c r="BA168" s="0" t="str">
        <f aca="false">IF(AW168&gt;AZ168,"Not Met","Met")</f>
        <v>Met</v>
      </c>
      <c r="BB168" s="21" t="str">
        <f aca="false">IF(AS168="","",TEXT(AS168,"MMM")&amp;"'"&amp;TEXT(AS168,"yy"))</f>
        <v>Feb'26</v>
      </c>
      <c r="BC168" s="0" t="str">
        <f aca="false">IF(AU168="","",TEXT(AU168,"MMM")&amp;"'"&amp;TEXT(AU168,"yy"))</f>
        <v>Feb'26</v>
      </c>
    </row>
    <row r="169" customFormat="false" ht="15" hidden="false" customHeight="false" outlineLevel="0" collapsed="false">
      <c r="A169" s="1" t="s">
        <v>654</v>
      </c>
      <c r="B169" s="11" t="n">
        <v>46067</v>
      </c>
      <c r="C169" s="12" t="n">
        <v>0</v>
      </c>
      <c r="D169" s="13" t="str">
        <f aca="false">IF(B169="","",TEXT(B169,"MMM")&amp;"'"&amp;TEXT(B169,"yy"))</f>
        <v>Feb'26</v>
      </c>
      <c r="E169" s="27" t="s">
        <v>55</v>
      </c>
      <c r="F169" s="1" t="s">
        <v>39</v>
      </c>
      <c r="G169" s="1" t="str">
        <f aca="false">IF(F169="Closed","Closed","Pending")</f>
        <v>Closed</v>
      </c>
      <c r="H169" s="26" t="s">
        <v>72</v>
      </c>
      <c r="I169" s="26" t="s">
        <v>565</v>
      </c>
      <c r="J169" s="26" t="s">
        <v>74</v>
      </c>
      <c r="K169" s="51" t="s">
        <v>59</v>
      </c>
      <c r="L169" s="1" t="s">
        <v>655</v>
      </c>
      <c r="M169" s="1" t="s">
        <v>656</v>
      </c>
      <c r="N169" s="1" t="s">
        <v>65</v>
      </c>
      <c r="O169" s="1" t="s">
        <v>106</v>
      </c>
      <c r="Q169" s="1" t="s">
        <v>86</v>
      </c>
      <c r="R169" s="1" t="s">
        <v>87</v>
      </c>
      <c r="U169" s="12" t="n">
        <v>0.0243055555555556</v>
      </c>
      <c r="V169" s="11" t="n">
        <v>46071</v>
      </c>
      <c r="W169" s="12" t="n">
        <v>0.123611111111111</v>
      </c>
      <c r="X169" s="11" t="n">
        <v>46071</v>
      </c>
      <c r="Y169" s="12" t="n">
        <v>0.954166666666667</v>
      </c>
      <c r="Z169" s="1" t="s">
        <v>108</v>
      </c>
      <c r="AA169" s="1" t="s">
        <v>68</v>
      </c>
      <c r="AB169" s="2" t="e">
        <f aca="false">U169-#REF!</f>
        <v>#REF!</v>
      </c>
      <c r="AC169" s="14" t="n">
        <f aca="false">(V169+W169)-(B169+C169)</f>
        <v>4.12361111111111</v>
      </c>
      <c r="AD169" s="4" t="str">
        <f aca="false">INT((V169+W169)-(B169+C169)) &amp; ":" &amp;
TEXT(HOUR((V169+W169)-(B169+C169)), "00") &amp; ":" &amp;
TEXT(MINUTE((V169+W169)-(B169+C169)), "00")</f>
        <v>4:02:58</v>
      </c>
      <c r="AE169" s="1" t="n">
        <f aca="false">IFERROR(
LEFT(AD169,FIND(":",AD169)-1)
+ MID(AD169,FIND(":",AD169)+1,2)/24
+ RIGHT(AD169,2)/1440,
"")</f>
        <v>4.12361111111111</v>
      </c>
      <c r="AF169" s="4" t="str">
        <f aca="false">INT((X169+Y169)-(B169+C169)) &amp; ":" &amp;
TEXT(HOUR((X169+Y169)-(B169+C169)), "00") &amp; ":" &amp;
TEXT(MINUTE((X169+Y169)-(B169+C169)), "00")</f>
        <v>4:22:54</v>
      </c>
      <c r="AG169" s="4" t="str">
        <f aca="false" t="array" ref="AG169:AG169">INT(_xlfn.XLOOKUP(J169,{"Low","Medium","High","Urgent"},{48,24,12,8})/24) &amp; ":" &amp;
TEXT(MOD(_xlfn.XLOOKUP(J169,{"Low","Medium","High","Urgent"},{48,24,12,8}),24)/24,"hh:mm")</f>
        <v>2:00:00</v>
      </c>
      <c r="AH169" s="4" t="str">
        <f aca="false">IF(AD169&gt;AG169,"Not Met","Met")</f>
        <v>Not Met</v>
      </c>
      <c r="AI169" s="4" t="e">
        <f aca="false">IF(AB169&lt;TIME(0,30,0),"Met","Not Met")</f>
        <v>#REF!</v>
      </c>
      <c r="AN169" s="1" t="str">
        <f aca="false">TEXT(B169,"dd")</f>
        <v>14</v>
      </c>
      <c r="AO169" s="1" t="str">
        <f aca="false">TEXT(X169,"dd")</f>
        <v>18</v>
      </c>
      <c r="AP169" s="16" t="str">
        <f aca="false">INT(
  NETWORKDAYS(B169,V169)-1
  + IF(WEEKDAY(V169,2)&lt;6,MOD(V169+W169,1),0)
  - IF(WEEKDAY(B169,2)&lt;6,MOD(B169+C169,1),0)
)
&amp; ":" &amp;
TEXT(HOUR(
  NETWORKDAYS(B169,V169)-1
  + IF(WEEKDAY(V169,2)&lt;6,MOD(V169+W169,1),0)
  - IF(WEEKDAY(B169,2)&lt;6,MOD(B169+C169,1),0)
),"00")
&amp; ":" &amp;
TEXT(MINUTE(
  NETWORKDAYS(B169,V169)-1
  + IF(WEEKDAY(V169,2)&lt;6,MOD(V169+W169,1),0)
  - IF(WEEKDAY(B169,2)&lt;6,MOD(B169+C169,1),0)
),"00")</f>
        <v>2:02:58</v>
      </c>
      <c r="AQ169" s="0" t="n">
        <f aca="false">IFERROR(
LEFT(AP169,FIND(":",AP169)-1)
+ MID(AP169,FIND(":",AP169)+1,2)/24
+ RIGHT(AP169,2)/1440,
"")</f>
        <v>2.12361111111111</v>
      </c>
      <c r="AR169" s="0" t="n">
        <f aca="false">WEEKNUM(B169,1)</f>
        <v>7</v>
      </c>
      <c r="AS169" s="17" t="n">
        <f aca="false">IF(B169&gt;0, (B169+C169)-TIME(13,30,0), "")</f>
        <v>46066.4375</v>
      </c>
      <c r="AT169" s="18" t="n">
        <f aca="false">IF(B169&gt;0, (B169+C169)-TIME(13,30,0), "")</f>
        <v>46066.4375</v>
      </c>
      <c r="AU169" s="17" t="n">
        <f aca="false">IF(V169&gt;0, (V169+W169)-TIME(13,30,0), "")</f>
        <v>46070.5611111111</v>
      </c>
      <c r="AV169" s="18" t="n">
        <f aca="false">IF(V169&gt;0, (V169+W169)-TIME(13,30,0), "")</f>
        <v>46070.5611111111</v>
      </c>
      <c r="AW169" s="19" t="n">
        <f aca="false">24*(
MAX(0,
IF(NETWORKDAYS(AS169,AU169)=1,
MIN(MOD(AV169,1),TIME(17,30,0)) - MAX(MOD(AT169,1),TIME(8,30,0)),
(TIME(17,30,0)-MAX(MOD(AT169,1),TIME(8,30,0)))
+ (MIN(MOD(AV169,1),TIME(17,30,0))-TIME(8,30,0))
+ (NETWORKDAYS(AS169,AU169)-2)*9/24
)
)
)</f>
        <v>20.9666666666667</v>
      </c>
      <c r="AX169" s="19" t="n">
        <f aca="false">24*(
MAX(0,
IF(NETWORKDAYS(AS169,AU169)=1,
MIN(MOD(AV169,1),TIME(17,30,0)) - MAX(MOD(AT169,1),TIME(8,30,0)),
(TIME(17,30,0)-MAX(MOD(AT169,1),TIME(8,30,0)))
+ (MIN(MOD(AV169,1),TIME(17,30,0))-TIME(8,30,0))
+ (NETWORKDAYS(AS169,AU169)-2)* (TIME(17,30,0)-TIME(8,30,0))
)
)
)</f>
        <v>20.9666666666667</v>
      </c>
      <c r="AY169" s="20" t="n">
        <f aca="false">ROUND(
IF(AS169=AU169,
MAX(0,
(MIN(MOD(AV169,1),TIME(17,30,0))-
MAX(MOD(AT169,1),TIME(8,30,0)))*24
),
(
(MAX(0,TIME(17,30,0)-MAX(MOD(AT169,1),TIME(8,30,0)))*24)
+
(MAX(0,MIN(MOD(AV169,1),TIME(17,30,0))-TIME(8,30,0))*24)
+
(MAX(0,NETWORKDAYS(AS169+1,AU169-1))*9)
)
),
2)</f>
        <v>20.97</v>
      </c>
      <c r="AZ169" s="0" t="n">
        <f aca="false" t="array" ref="AZ169:AZ169">_xlfn.XLOOKUP(J169,{"Low","Medium","High"},{270,72,24})</f>
        <v>270</v>
      </c>
      <c r="BA169" s="0" t="str">
        <f aca="false">IF(AW169&gt;AZ169,"Not Met","Met")</f>
        <v>Met</v>
      </c>
      <c r="BB169" s="21" t="str">
        <f aca="false">IF(AS169="","",TEXT(AS169,"MMM")&amp;"'"&amp;TEXT(AS169,"yy"))</f>
        <v>Feb'26</v>
      </c>
      <c r="BC169" s="0" t="str">
        <f aca="false">IF(AU169="","",TEXT(AU169,"MMM")&amp;"'"&amp;TEXT(AU169,"yy"))</f>
        <v>Feb'26</v>
      </c>
    </row>
    <row r="170" customFormat="false" ht="15" hidden="false" customHeight="false" outlineLevel="0" collapsed="false">
      <c r="A170" s="1" t="s">
        <v>657</v>
      </c>
      <c r="B170" s="11" t="n">
        <v>46067</v>
      </c>
      <c r="C170" s="12" t="n">
        <v>0.185416666666667</v>
      </c>
      <c r="D170" s="13" t="str">
        <f aca="false">IF(B170="","",TEXT(B170,"MMM")&amp;"'"&amp;TEXT(B170,"yy"))</f>
        <v>Feb'26</v>
      </c>
      <c r="E170" s="27" t="s">
        <v>55</v>
      </c>
      <c r="F170" s="1" t="s">
        <v>39</v>
      </c>
      <c r="G170" s="1" t="str">
        <f aca="false">IF(F170="Closed","Closed","Pending")</f>
        <v>Closed</v>
      </c>
      <c r="H170" s="1" t="s">
        <v>56</v>
      </c>
      <c r="I170" s="1" t="s">
        <v>158</v>
      </c>
      <c r="J170" s="1" t="s">
        <v>58</v>
      </c>
      <c r="K170" s="51" t="s">
        <v>59</v>
      </c>
      <c r="L170" s="1" t="s">
        <v>658</v>
      </c>
      <c r="M170" s="1" t="s">
        <v>659</v>
      </c>
      <c r="N170" s="1" t="s">
        <v>65</v>
      </c>
      <c r="O170" s="1" t="s">
        <v>106</v>
      </c>
      <c r="Q170" s="1" t="s">
        <v>86</v>
      </c>
      <c r="R170" s="1" t="s">
        <v>87</v>
      </c>
      <c r="U170" s="12" t="n">
        <v>0.274305555555556</v>
      </c>
      <c r="V170" s="11" t="n">
        <v>46071</v>
      </c>
      <c r="W170" s="12" t="n">
        <v>0.132638888888889</v>
      </c>
      <c r="X170" s="11" t="n">
        <v>46072</v>
      </c>
      <c r="Y170" s="12" t="n">
        <v>0.111805555555556</v>
      </c>
      <c r="Z170" s="1" t="s">
        <v>108</v>
      </c>
      <c r="AA170" s="1" t="s">
        <v>68</v>
      </c>
      <c r="AB170" s="2" t="e">
        <f aca="false">U170-#REF!</f>
        <v>#REF!</v>
      </c>
      <c r="AC170" s="14" t="n">
        <f aca="false">(V170+W170)-(B170+C170)</f>
        <v>3.94722222222222</v>
      </c>
      <c r="AD170" s="4" t="str">
        <f aca="false">INT((V170+W170)-(B170+C170)) &amp; ":" &amp;
TEXT(HOUR((V170+W170)-(B170+C170)), "00") &amp; ":" &amp;
TEXT(MINUTE((V170+W170)-(B170+C170)), "00")</f>
        <v>3:22:44</v>
      </c>
      <c r="AE170" s="1" t="n">
        <f aca="false">IFERROR(
LEFT(AD170,FIND(":",AD170)-1)
+ MID(AD170,FIND(":",AD170)+1,2)/24
+ RIGHT(AD170,2)/1440,
"")</f>
        <v>3.94722222222222</v>
      </c>
      <c r="AF170" s="4" t="str">
        <f aca="false">INT((X170+Y170)-(B170+C170)) &amp; ":" &amp;
TEXT(HOUR((X170+Y170)-(B170+C170)), "00") &amp; ":" &amp;
TEXT(MINUTE((X170+Y170)-(B170+C170)), "00")</f>
        <v>4:22:14</v>
      </c>
      <c r="AG170" s="4" t="str">
        <f aca="false" t="array" ref="AG170:AG170">INT(_xlfn.XLOOKUP(J170,{"Low","Medium","High","Urgent"},{48,24,12,8})/24) &amp; ":" &amp;
TEXT(MOD(_xlfn.XLOOKUP(J170,{"Low","Medium","High","Urgent"},{48,24,12,8}),24)/24,"hh:mm")</f>
        <v>1:00:00</v>
      </c>
      <c r="AH170" s="4" t="str">
        <f aca="false">IF(AD170&gt;AG170,"Not Met","Met")</f>
        <v>Not Met</v>
      </c>
      <c r="AI170" s="4" t="e">
        <f aca="false">IF(AB170&lt;TIME(0,30,0),"Met","Not Met")</f>
        <v>#REF!</v>
      </c>
      <c r="AN170" s="1" t="str">
        <f aca="false">TEXT(B170,"dd")</f>
        <v>14</v>
      </c>
      <c r="AO170" s="1" t="str">
        <f aca="false">TEXT(X170,"dd")</f>
        <v>19</v>
      </c>
      <c r="AP170" s="16" t="str">
        <f aca="false">INT(
  NETWORKDAYS(B170,V170)-1
  + IF(WEEKDAY(V170,2)&lt;6,MOD(V170+W170,1),0)
  - IF(WEEKDAY(B170,2)&lt;6,MOD(B170+C170,1),0)
)
&amp; ":" &amp;
TEXT(HOUR(
  NETWORKDAYS(B170,V170)-1
  + IF(WEEKDAY(V170,2)&lt;6,MOD(V170+W170,1),0)
  - IF(WEEKDAY(B170,2)&lt;6,MOD(B170+C170,1),0)
),"00")
&amp; ":" &amp;
TEXT(MINUTE(
  NETWORKDAYS(B170,V170)-1
  + IF(WEEKDAY(V170,2)&lt;6,MOD(V170+W170,1),0)
  - IF(WEEKDAY(B170,2)&lt;6,MOD(B170+C170,1),0)
),"00")</f>
        <v>2:03:11</v>
      </c>
      <c r="AQ170" s="0" t="n">
        <f aca="false">IFERROR(
LEFT(AP170,FIND(":",AP170)-1)
+ MID(AP170,FIND(":",AP170)+1,2)/24
+ RIGHT(AP170,2)/1440,
"")</f>
        <v>2.13263888888889</v>
      </c>
      <c r="AR170" s="0" t="n">
        <f aca="false">WEEKNUM(B170,1)</f>
        <v>7</v>
      </c>
      <c r="AS170" s="17" t="n">
        <f aca="false">IF(B170&gt;0, (B170+C170)-TIME(13,30,0), "")</f>
        <v>46066.6229166667</v>
      </c>
      <c r="AT170" s="18" t="n">
        <f aca="false">IF(B170&gt;0, (B170+C170)-TIME(13,30,0), "")</f>
        <v>46066.6229166667</v>
      </c>
      <c r="AU170" s="17" t="n">
        <f aca="false">IF(V170&gt;0, (V170+W170)-TIME(13,30,0), "")</f>
        <v>46070.5701388889</v>
      </c>
      <c r="AV170" s="18" t="n">
        <f aca="false">IF(V170&gt;0, (V170+W170)-TIME(13,30,0), "")</f>
        <v>46070.5701388889</v>
      </c>
      <c r="AW170" s="19" t="n">
        <f aca="false">24*(
MAX(0,
IF(NETWORKDAYS(AS170,AU170)=1,
MIN(MOD(AV170,1),TIME(17,30,0)) - MAX(MOD(AT170,1),TIME(8,30,0)),
(TIME(17,30,0)-MAX(MOD(AT170,1),TIME(8,30,0)))
+ (MIN(MOD(AV170,1),TIME(17,30,0))-TIME(8,30,0))
+ (NETWORKDAYS(AS170,AU170)-2)*9/24
)
)
)</f>
        <v>16.7333333333333</v>
      </c>
      <c r="AX170" s="19" t="n">
        <f aca="false">24*(
MAX(0,
IF(NETWORKDAYS(AS170,AU170)=1,
MIN(MOD(AV170,1),TIME(17,30,0)) - MAX(MOD(AT170,1),TIME(8,30,0)),
(TIME(17,30,0)-MAX(MOD(AT170,1),TIME(8,30,0)))
+ (MIN(MOD(AV170,1),TIME(17,30,0))-TIME(8,30,0))
+ (NETWORKDAYS(AS170,AU170)-2)* (TIME(17,30,0)-TIME(8,30,0))
)
)
)</f>
        <v>16.7333333333333</v>
      </c>
      <c r="AY170" s="20" t="n">
        <f aca="false">ROUND(
IF(AS170=AU170,
MAX(0,
(MIN(MOD(AV170,1),TIME(17,30,0))-
MAX(MOD(AT170,1),TIME(8,30,0)))*24
),
(
(MAX(0,TIME(17,30,0)-MAX(MOD(AT170,1),TIME(8,30,0)))*24)
+
(MAX(0,MIN(MOD(AV170,1),TIME(17,30,0))-TIME(8,30,0))*24)
+
(MAX(0,NETWORKDAYS(AS170+1,AU170-1))*9)
)
),
2)</f>
        <v>16.73</v>
      </c>
      <c r="AZ170" s="0" t="n">
        <f aca="false" t="array" ref="AZ170:AZ170">_xlfn.XLOOKUP(J170,{"Low","Medium","High"},{270,72,24})</f>
        <v>72</v>
      </c>
      <c r="BA170" s="0" t="str">
        <f aca="false">IF(AW170&gt;AZ170,"Not Met","Met")</f>
        <v>Met</v>
      </c>
      <c r="BB170" s="21" t="str">
        <f aca="false">IF(AS170="","",TEXT(AS170,"MMM")&amp;"'"&amp;TEXT(AS170,"yy"))</f>
        <v>Feb'26</v>
      </c>
      <c r="BC170" s="0" t="str">
        <f aca="false">IF(AU170="","",TEXT(AU170,"MMM")&amp;"'"&amp;TEXT(AU170,"yy"))</f>
        <v>Feb'26</v>
      </c>
    </row>
    <row r="171" customFormat="false" ht="15" hidden="false" customHeight="false" outlineLevel="0" collapsed="false">
      <c r="A171" s="1" t="s">
        <v>660</v>
      </c>
      <c r="B171" s="11" t="n">
        <v>46071</v>
      </c>
      <c r="C171" s="12" t="n">
        <v>0.0986111111111111</v>
      </c>
      <c r="D171" s="13" t="str">
        <f aca="false">IF(B171="","",TEXT(B171,"MMM")&amp;"'"&amp;TEXT(B171,"yy"))</f>
        <v>Feb'26</v>
      </c>
      <c r="E171" s="27" t="s">
        <v>55</v>
      </c>
      <c r="F171" s="1" t="s">
        <v>39</v>
      </c>
      <c r="G171" s="1" t="str">
        <f aca="false">IF(F171="Closed","Closed","Pending")</f>
        <v>Closed</v>
      </c>
      <c r="H171" s="1" t="s">
        <v>157</v>
      </c>
      <c r="I171" s="1" t="s">
        <v>103</v>
      </c>
      <c r="J171" s="1" t="s">
        <v>74</v>
      </c>
      <c r="K171" s="35" t="s">
        <v>59</v>
      </c>
      <c r="L171" s="1" t="s">
        <v>115</v>
      </c>
      <c r="M171" s="1" t="s">
        <v>661</v>
      </c>
      <c r="N171" s="1" t="s">
        <v>65</v>
      </c>
      <c r="O171" s="1" t="s">
        <v>106</v>
      </c>
      <c r="Q171" s="1" t="s">
        <v>65</v>
      </c>
      <c r="R171" s="1" t="s">
        <v>87</v>
      </c>
      <c r="U171" s="12" t="n">
        <v>0.102083333333333</v>
      </c>
      <c r="V171" s="11" t="n">
        <v>46073</v>
      </c>
      <c r="W171" s="12" t="n">
        <v>0.827777777777778</v>
      </c>
      <c r="X171" s="11" t="n">
        <v>46074</v>
      </c>
      <c r="Y171" s="12" t="n">
        <v>0.0618055555555556</v>
      </c>
      <c r="Z171" s="1" t="s">
        <v>67</v>
      </c>
      <c r="AA171" s="1" t="s">
        <v>68</v>
      </c>
      <c r="AB171" s="2" t="e">
        <f aca="false">U171-#REF!</f>
        <v>#REF!</v>
      </c>
      <c r="AC171" s="14" t="n">
        <f aca="false">(V171+W171)-(B171+C171)</f>
        <v>2.72916666666667</v>
      </c>
      <c r="AD171" s="4" t="str">
        <f aca="false">INT((V171+W171)-(B171+C171)) &amp; ":" &amp;
TEXT(HOUR((V171+W171)-(B171+C171)), "00") &amp; ":" &amp;
TEXT(MINUTE((V171+W171)-(B171+C171)), "00")</f>
        <v>2:17:30</v>
      </c>
      <c r="AE171" s="1" t="n">
        <f aca="false">IFERROR(
LEFT(AD171,FIND(":",AD171)-1)
+ MID(AD171,FIND(":",AD171)+1,2)/24
+ RIGHT(AD171,2)/1440,
"")</f>
        <v>2.72916666666667</v>
      </c>
      <c r="AF171" s="4" t="str">
        <f aca="false">INT((X171+Y171)-(B171+C171)) &amp; ":" &amp;
TEXT(HOUR((X171+Y171)-(B171+C171)), "00") &amp; ":" &amp;
TEXT(MINUTE((X171+Y171)-(B171+C171)), "00")</f>
        <v>2:23:07</v>
      </c>
      <c r="AG171" s="4" t="str">
        <f aca="false" t="array" ref="AG171:AG171">INT(_xlfn.XLOOKUP(J171,{"Low","Medium","High","Urgent"},{48,24,12,8})/24) &amp; ":" &amp;
TEXT(MOD(_xlfn.XLOOKUP(J171,{"Low","Medium","High","Urgent"},{48,24,12,8}),24)/24,"hh:mm")</f>
        <v>2:00:00</v>
      </c>
      <c r="AH171" s="4" t="str">
        <f aca="false">IF(AD171&gt;AG171,"Not Met","Met")</f>
        <v>Not Met</v>
      </c>
      <c r="AI171" s="4" t="e">
        <f aca="false">IF(AB171&lt;TIME(0,30,0),"Met","Not Met")</f>
        <v>#REF!</v>
      </c>
      <c r="AN171" s="1" t="str">
        <f aca="false">TEXT(B171,"dd")</f>
        <v>18</v>
      </c>
      <c r="AO171" s="1" t="str">
        <f aca="false">TEXT(X171,"dd")</f>
        <v>21</v>
      </c>
      <c r="AP171" s="16" t="str">
        <f aca="false">INT(
  NETWORKDAYS(B171,V171)-1
  + IF(WEEKDAY(V171,2)&lt;6,MOD(V171+W171,1),0)
  - IF(WEEKDAY(B171,2)&lt;6,MOD(B171+C171,1),0)
)
&amp; ":" &amp;
TEXT(HOUR(
  NETWORKDAYS(B171,V171)-1
  + IF(WEEKDAY(V171,2)&lt;6,MOD(V171+W171,1),0)
  - IF(WEEKDAY(B171,2)&lt;6,MOD(B171+C171,1),0)
),"00")
&amp; ":" &amp;
TEXT(MINUTE(
  NETWORKDAYS(B171,V171)-1
  + IF(WEEKDAY(V171,2)&lt;6,MOD(V171+W171,1),0)
  - IF(WEEKDAY(B171,2)&lt;6,MOD(B171+C171,1),0)
),"00")</f>
        <v>2:17:29</v>
      </c>
      <c r="AQ171" s="0" t="n">
        <f aca="false">IFERROR(
LEFT(AP171,FIND(":",AP171)-1)
+ MID(AP171,FIND(":",AP171)+1,2)/24
+ RIGHT(AP171,2)/1440,
"")</f>
        <v>2.72847222222222</v>
      </c>
      <c r="AR171" s="0" t="n">
        <f aca="false">WEEKNUM(B171,1)</f>
        <v>8</v>
      </c>
      <c r="AS171" s="17" t="n">
        <f aca="false">IF(B171&gt;0, (B171+C171)-TIME(13,30,0), "")</f>
        <v>46070.5361111111</v>
      </c>
      <c r="AT171" s="18" t="n">
        <f aca="false">IF(B171&gt;0, (B171+C171)-TIME(13,30,0), "")</f>
        <v>46070.5361111111</v>
      </c>
      <c r="AU171" s="17" t="n">
        <f aca="false">IF(V171&gt;0, (V171+W171)-TIME(13,30,0), "")</f>
        <v>46073.2652777778</v>
      </c>
      <c r="AV171" s="18" t="n">
        <f aca="false">IF(V171&gt;0, (V171+W171)-TIME(13,30,0), "")</f>
        <v>46073.2652777778</v>
      </c>
      <c r="AW171" s="19" t="n">
        <f aca="false">24*(
MAX(0,
IF(NETWORKDAYS(AS171,AU171)=1,
MIN(MOD(AV171,1),TIME(17,30,0)) - MAX(MOD(AT171,1),TIME(8,30,0)),
(TIME(17,30,0)-MAX(MOD(AT171,1),TIME(8,30,0)))
+ (MIN(MOD(AV171,1),TIME(17,30,0))-TIME(8,30,0))
+ (NETWORKDAYS(AS171,AU171)-2)*9/24
)
)
)</f>
        <v>20.5</v>
      </c>
      <c r="AX171" s="19" t="n">
        <f aca="false">24*(
MAX(0,
IF(NETWORKDAYS(AS171,AU171)=1,
MIN(MOD(AV171,1),TIME(17,30,0)) - MAX(MOD(AT171,1),TIME(8,30,0)),
(TIME(17,30,0)-MAX(MOD(AT171,1),TIME(8,30,0)))
+ (MIN(MOD(AV171,1),TIME(17,30,0))-TIME(8,30,0))
+ (NETWORKDAYS(AS171,AU171)-2)* (TIME(17,30,0)-TIME(8,30,0))
)
)
)</f>
        <v>20.5</v>
      </c>
      <c r="AY171" s="20" t="n">
        <f aca="false">ROUND(
IF(AS171=AU171,
MAX(0,
(MIN(MOD(AV171,1),TIME(17,30,0))-
MAX(MOD(AT171,1),TIME(8,30,0)))*24
),
(
(MAX(0,TIME(17,30,0)-MAX(MOD(AT171,1),TIME(8,30,0)))*24)
+
(MAX(0,MIN(MOD(AV171,1),TIME(17,30,0))-TIME(8,30,0))*24)
+
(MAX(0,NETWORKDAYS(AS171+1,AU171-1))*9)
)
),
2)</f>
        <v>22.63</v>
      </c>
      <c r="AZ171" s="0" t="n">
        <f aca="false" t="array" ref="AZ171:AZ171">_xlfn.XLOOKUP(J171,{"Low","Medium","High"},{270,72,24})</f>
        <v>270</v>
      </c>
      <c r="BA171" s="0" t="str">
        <f aca="false">IF(AW171&gt;AZ171,"Not Met","Met")</f>
        <v>Met</v>
      </c>
      <c r="BB171" s="21" t="str">
        <f aca="false">IF(AS171="","",TEXT(AS171,"MMM")&amp;"'"&amp;TEXT(AS171,"yy"))</f>
        <v>Feb'26</v>
      </c>
      <c r="BC171" s="0" t="str">
        <f aca="false">IF(AU171="","",TEXT(AU171,"MMM")&amp;"'"&amp;TEXT(AU171,"yy"))</f>
        <v>Feb'26</v>
      </c>
    </row>
    <row r="172" customFormat="false" ht="15" hidden="false" customHeight="false" outlineLevel="0" collapsed="false">
      <c r="A172" s="1" t="s">
        <v>662</v>
      </c>
      <c r="B172" s="11" t="n">
        <v>46071</v>
      </c>
      <c r="C172" s="12" t="n">
        <v>0.139583333333333</v>
      </c>
      <c r="D172" s="13" t="str">
        <f aca="false">IF(B172="","",TEXT(B172,"MMM")&amp;"'"&amp;TEXT(B172,"yy"))</f>
        <v>Feb'26</v>
      </c>
      <c r="E172" s="27" t="s">
        <v>55</v>
      </c>
      <c r="F172" s="1" t="s">
        <v>39</v>
      </c>
      <c r="G172" s="1" t="str">
        <f aca="false">IF(F172="Closed","Closed","Pending")</f>
        <v>Closed</v>
      </c>
      <c r="H172" s="1" t="s">
        <v>157</v>
      </c>
      <c r="I172" s="26" t="s">
        <v>663</v>
      </c>
      <c r="J172" s="1" t="s">
        <v>74</v>
      </c>
      <c r="K172" s="35" t="s">
        <v>59</v>
      </c>
      <c r="L172" s="1" t="s">
        <v>664</v>
      </c>
      <c r="M172" s="1" t="s">
        <v>665</v>
      </c>
      <c r="N172" s="1" t="s">
        <v>65</v>
      </c>
      <c r="O172" s="1" t="s">
        <v>106</v>
      </c>
      <c r="Q172" s="1" t="s">
        <v>65</v>
      </c>
      <c r="R172" s="1" t="s">
        <v>87</v>
      </c>
      <c r="U172" s="12" t="n">
        <v>0.149305555555556</v>
      </c>
      <c r="V172" s="11" t="n">
        <v>46071</v>
      </c>
      <c r="W172" s="12" t="n">
        <v>0.951388888888889</v>
      </c>
      <c r="X172" s="11" t="n">
        <v>46072</v>
      </c>
      <c r="Y172" s="12" t="n">
        <v>0.1125</v>
      </c>
      <c r="Z172" s="1" t="s">
        <v>108</v>
      </c>
      <c r="AA172" s="1" t="s">
        <v>68</v>
      </c>
      <c r="AB172" s="2" t="e">
        <f aca="false">U172-#REF!</f>
        <v>#REF!</v>
      </c>
      <c r="AC172" s="14" t="n">
        <f aca="false">(V172+W172)-(B172+C172)</f>
        <v>0.811805555555556</v>
      </c>
      <c r="AD172" s="4" t="str">
        <f aca="false">INT((V172+W172)-(B172+C172)) &amp; ":" &amp;
TEXT(HOUR((V172+W172)-(B172+C172)), "00") &amp; ":" &amp;
TEXT(MINUTE((V172+W172)-(B172+C172)), "00")</f>
        <v>0:19:29</v>
      </c>
      <c r="AE172" s="1" t="n">
        <f aca="false">IFERROR(
LEFT(AD172,FIND(":",AD172)-1)
+ MID(AD172,FIND(":",AD172)+1,2)/24
+ RIGHT(AD172,2)/1440,
"")</f>
        <v>0.811805555555556</v>
      </c>
      <c r="AF172" s="4" t="str">
        <f aca="false">INT((X172+Y172)-(B172+C172)) &amp; ":" &amp;
TEXT(HOUR((X172+Y172)-(B172+C172)), "00") &amp; ":" &amp;
TEXT(MINUTE((X172+Y172)-(B172+C172)), "00")</f>
        <v>0:23:21</v>
      </c>
      <c r="AG172" s="4" t="str">
        <f aca="false" t="array" ref="AG172:AG172">INT(_xlfn.XLOOKUP(J172,{"Low","Medium","High","Urgent"},{48,24,12,8})/24) &amp; ":" &amp;
TEXT(MOD(_xlfn.XLOOKUP(J172,{"Low","Medium","High","Urgent"},{48,24,12,8}),24)/24,"hh:mm")</f>
        <v>2:00:00</v>
      </c>
      <c r="AH172" s="4" t="str">
        <f aca="false">IF(AD172&gt;AG172,"Not Met","Met")</f>
        <v>Met</v>
      </c>
      <c r="AI172" s="4" t="e">
        <f aca="false">IF(AB172&lt;TIME(0,30,0),"Met","Not Met")</f>
        <v>#REF!</v>
      </c>
      <c r="AN172" s="1" t="str">
        <f aca="false">TEXT(B172,"dd")</f>
        <v>18</v>
      </c>
      <c r="AO172" s="1" t="str">
        <f aca="false">TEXT(X172,"dd")</f>
        <v>19</v>
      </c>
      <c r="AP172" s="16" t="str">
        <f aca="false">INT(
  NETWORKDAYS(B172,V172)-1
  + IF(WEEKDAY(V172,2)&lt;6,MOD(V172+W172,1),0)
  - IF(WEEKDAY(B172,2)&lt;6,MOD(B172+C172,1),0)
)
&amp; ":" &amp;
TEXT(HOUR(
  NETWORKDAYS(B172,V172)-1
  + IF(WEEKDAY(V172,2)&lt;6,MOD(V172+W172,1),0)
  - IF(WEEKDAY(B172,2)&lt;6,MOD(B172+C172,1),0)
),"00")
&amp; ":" &amp;
TEXT(MINUTE(
  NETWORKDAYS(B172,V172)-1
  + IF(WEEKDAY(V172,2)&lt;6,MOD(V172+W172,1),0)
  - IF(WEEKDAY(B172,2)&lt;6,MOD(B172+C172,1),0)
),"00")</f>
        <v>0:19:29</v>
      </c>
      <c r="AQ172" s="0" t="n">
        <f aca="false">IFERROR(
LEFT(AP172,FIND(":",AP172)-1)
+ MID(AP172,FIND(":",AP172)+1,2)/24
+ RIGHT(AP172,2)/1440,
"")</f>
        <v>0.811805555555556</v>
      </c>
      <c r="AR172" s="0" t="n">
        <f aca="false">WEEKNUM(B172,1)</f>
        <v>8</v>
      </c>
      <c r="AS172" s="17" t="n">
        <f aca="false">IF(B172&gt;0, (B172+C172)-TIME(13,30,0), "")</f>
        <v>46070.5770833333</v>
      </c>
      <c r="AT172" s="18" t="n">
        <f aca="false">IF(B172&gt;0, (B172+C172)-TIME(13,30,0), "")</f>
        <v>46070.5770833333</v>
      </c>
      <c r="AU172" s="17" t="n">
        <f aca="false">IF(V172&gt;0, (V172+W172)-TIME(13,30,0), "")</f>
        <v>46071.3888888889</v>
      </c>
      <c r="AV172" s="18" t="n">
        <f aca="false">IF(V172&gt;0, (V172+W172)-TIME(13,30,0), "")</f>
        <v>46071.3888888889</v>
      </c>
      <c r="AW172" s="19" t="n">
        <f aca="false">24*(
MAX(0,
IF(NETWORKDAYS(AS172,AU172)=1,
MIN(MOD(AV172,1),TIME(17,30,0)) - MAX(MOD(AT172,1),TIME(8,30,0)),
(TIME(17,30,0)-MAX(MOD(AT172,1),TIME(8,30,0)))
+ (MIN(MOD(AV172,1),TIME(17,30,0))-TIME(8,30,0))
+ (NETWORKDAYS(AS172,AU172)-2)*9/24
)
)
)</f>
        <v>4.48333333333333</v>
      </c>
      <c r="AX172" s="19" t="n">
        <f aca="false">24*(
MAX(0,
IF(NETWORKDAYS(AS172,AU172)=1,
MIN(MOD(AV172,1),TIME(17,30,0)) - MAX(MOD(AT172,1),TIME(8,30,0)),
(TIME(17,30,0)-MAX(MOD(AT172,1),TIME(8,30,0)))
+ (MIN(MOD(AV172,1),TIME(17,30,0))-TIME(8,30,0))
+ (NETWORKDAYS(AS172,AU172)-2)* (TIME(17,30,0)-TIME(8,30,0))
)
)
)</f>
        <v>4.48333333333333</v>
      </c>
      <c r="AY172" s="20" t="n">
        <f aca="false">ROUND(
IF(AS172=AU172,
MAX(0,
(MIN(MOD(AV172,1),TIME(17,30,0))-
MAX(MOD(AT172,1),TIME(8,30,0)))*24
),
(
(MAX(0,TIME(17,30,0)-MAX(MOD(AT172,1),TIME(8,30,0)))*24)
+
(MAX(0,MIN(MOD(AV172,1),TIME(17,30,0))-TIME(8,30,0))*24)
+
(MAX(0,NETWORKDAYS(AS172+1,AU172-1))*9)
)
),
2)</f>
        <v>4.48</v>
      </c>
      <c r="AZ172" s="0" t="n">
        <f aca="false" t="array" ref="AZ172:AZ172">_xlfn.XLOOKUP(J172,{"Low","Medium","High"},{270,72,24})</f>
        <v>270</v>
      </c>
      <c r="BA172" s="0" t="str">
        <f aca="false">IF(AW172&gt;AZ172,"Not Met","Met")</f>
        <v>Met</v>
      </c>
      <c r="BB172" s="21" t="str">
        <f aca="false">IF(AS172="","",TEXT(AS172,"MMM")&amp;"'"&amp;TEXT(AS172,"yy"))</f>
        <v>Feb'26</v>
      </c>
      <c r="BC172" s="0" t="str">
        <f aca="false">IF(AU172="","",TEXT(AU172,"MMM")&amp;"'"&amp;TEXT(AU172,"yy"))</f>
        <v>Feb'26</v>
      </c>
    </row>
    <row r="173" customFormat="false" ht="15" hidden="false" customHeight="false" outlineLevel="0" collapsed="false">
      <c r="A173" s="1" t="s">
        <v>666</v>
      </c>
      <c r="B173" s="11" t="n">
        <v>46071</v>
      </c>
      <c r="C173" s="12" t="n">
        <v>0.236805555555556</v>
      </c>
      <c r="D173" s="13" t="str">
        <f aca="false">IF(B173="","",TEXT(B173,"MMM")&amp;"'"&amp;TEXT(B173,"yy"))</f>
        <v>Feb'26</v>
      </c>
      <c r="E173" s="27" t="s">
        <v>55</v>
      </c>
      <c r="F173" s="1" t="s">
        <v>39</v>
      </c>
      <c r="G173" s="1" t="str">
        <f aca="false">IF(F173="Closed","Closed","Pending")</f>
        <v>Closed</v>
      </c>
      <c r="H173" s="27" t="s">
        <v>56</v>
      </c>
      <c r="I173" s="1" t="s">
        <v>663</v>
      </c>
      <c r="J173" s="35" t="s">
        <v>58</v>
      </c>
      <c r="K173" s="35" t="s">
        <v>59</v>
      </c>
      <c r="L173" s="1" t="s">
        <v>667</v>
      </c>
      <c r="M173" s="1" t="s">
        <v>282</v>
      </c>
      <c r="N173" s="1" t="s">
        <v>65</v>
      </c>
      <c r="O173" s="1" t="s">
        <v>106</v>
      </c>
      <c r="Q173" s="1" t="s">
        <v>65</v>
      </c>
      <c r="R173" s="1" t="s">
        <v>87</v>
      </c>
      <c r="U173" s="12" t="n">
        <v>0.945138888888889</v>
      </c>
      <c r="V173" s="11" t="n">
        <v>46071</v>
      </c>
      <c r="W173" s="12" t="n">
        <v>0.945138888888889</v>
      </c>
      <c r="X173" s="11" t="n">
        <v>46072</v>
      </c>
      <c r="Y173" s="12" t="n">
        <v>0.111111111111111</v>
      </c>
      <c r="Z173" s="1" t="s">
        <v>108</v>
      </c>
      <c r="AA173" s="1" t="s">
        <v>68</v>
      </c>
      <c r="AB173" s="2" t="e">
        <f aca="false">U173-#REF!</f>
        <v>#REF!</v>
      </c>
      <c r="AC173" s="14" t="n">
        <f aca="false">(V173+W173)-(B173+C173)</f>
        <v>0.708333333333333</v>
      </c>
      <c r="AD173" s="4" t="str">
        <f aca="false">INT((V173+W173)-(B173+C173)) &amp; ":" &amp;
TEXT(HOUR((V173+W173)-(B173+C173)), "00") &amp; ":" &amp;
TEXT(MINUTE((V173+W173)-(B173+C173)), "00")</f>
        <v>0:17:00</v>
      </c>
      <c r="AE173" s="1" t="n">
        <f aca="false">IFERROR(
LEFT(AD173,FIND(":",AD173)-1)
+ MID(AD173,FIND(":",AD173)+1,2)/24
+ RIGHT(AD173,2)/1440,
"")</f>
        <v>0.708333333333333</v>
      </c>
      <c r="AF173" s="4" t="str">
        <f aca="false">INT((X173+Y173)-(B173+C173)) &amp; ":" &amp;
TEXT(HOUR((X173+Y173)-(B173+C173)), "00") &amp; ":" &amp;
TEXT(MINUTE((X173+Y173)-(B173+C173)), "00")</f>
        <v>0:20:59</v>
      </c>
      <c r="AG173" s="4" t="str">
        <f aca="false" t="array" ref="AG173:AG173">INT(_xlfn.XLOOKUP(J173,{"Low","Medium","High","Urgent"},{48,24,12,8})/24) &amp; ":" &amp;
TEXT(MOD(_xlfn.XLOOKUP(J173,{"Low","Medium","High","Urgent"},{48,24,12,8}),24)/24,"hh:mm")</f>
        <v>1:00:00</v>
      </c>
      <c r="AH173" s="4" t="str">
        <f aca="false">IF(AD173&gt;AG173,"Not Met","Met")</f>
        <v>Met</v>
      </c>
      <c r="AI173" s="4" t="e">
        <f aca="false">IF(AB173&lt;TIME(0,30,0),"Met","Not Met")</f>
        <v>#REF!</v>
      </c>
      <c r="AN173" s="1" t="str">
        <f aca="false">TEXT(B173,"dd")</f>
        <v>18</v>
      </c>
      <c r="AO173" s="1" t="str">
        <f aca="false">TEXT(X173,"dd")</f>
        <v>19</v>
      </c>
      <c r="AP173" s="16" t="str">
        <f aca="false">INT(
  NETWORKDAYS(B173,V173)-1
  + IF(WEEKDAY(V173,2)&lt;6,MOD(V173+W173,1),0)
  - IF(WEEKDAY(B173,2)&lt;6,MOD(B173+C173,1),0)
)
&amp; ":" &amp;
TEXT(HOUR(
  NETWORKDAYS(B173,V173)-1
  + IF(WEEKDAY(V173,2)&lt;6,MOD(V173+W173,1),0)
  - IF(WEEKDAY(B173,2)&lt;6,MOD(B173+C173,1),0)
),"00")
&amp; ":" &amp;
TEXT(MINUTE(
  NETWORKDAYS(B173,V173)-1
  + IF(WEEKDAY(V173,2)&lt;6,MOD(V173+W173,1),0)
  - IF(WEEKDAY(B173,2)&lt;6,MOD(B173+C173,1),0)
),"00")</f>
        <v>0:17:00</v>
      </c>
      <c r="AQ173" s="0" t="n">
        <f aca="false">IFERROR(
LEFT(AP173,FIND(":",AP173)-1)
+ MID(AP173,FIND(":",AP173)+1,2)/24
+ RIGHT(AP173,2)/1440,
"")</f>
        <v>0.708333333333333</v>
      </c>
      <c r="AR173" s="0" t="n">
        <f aca="false">WEEKNUM(B173,1)</f>
        <v>8</v>
      </c>
      <c r="AS173" s="17" t="n">
        <f aca="false">IF(B173&gt;0, (B173+C173)-TIME(13,30,0), "")</f>
        <v>46070.6743055556</v>
      </c>
      <c r="AT173" s="18" t="n">
        <f aca="false">IF(B173&gt;0, (B173+C173)-TIME(13,30,0), "")</f>
        <v>46070.6743055556</v>
      </c>
      <c r="AU173" s="17" t="n">
        <f aca="false">IF(V173&gt;0, (V173+W173)-TIME(13,30,0), "")</f>
        <v>46071.3826388889</v>
      </c>
      <c r="AV173" s="18" t="n">
        <f aca="false">IF(V173&gt;0, (V173+W173)-TIME(13,30,0), "")</f>
        <v>46071.3826388889</v>
      </c>
      <c r="AW173" s="19" t="n">
        <f aca="false">24*(
MAX(0,
IF(NETWORKDAYS(AS173,AU173)=1,
MIN(MOD(AV173,1),TIME(17,30,0)) - MAX(MOD(AT173,1),TIME(8,30,0)),
(TIME(17,30,0)-MAX(MOD(AT173,1),TIME(8,30,0)))
+ (MIN(MOD(AV173,1),TIME(17,30,0))-TIME(8,30,0))
+ (NETWORKDAYS(AS173,AU173)-2)*9/24
)
)
)</f>
        <v>2</v>
      </c>
      <c r="AX173" s="19" t="n">
        <f aca="false">24*(
MAX(0,
IF(NETWORKDAYS(AS173,AU173)=1,
MIN(MOD(AV173,1),TIME(17,30,0)) - MAX(MOD(AT173,1),TIME(8,30,0)),
(TIME(17,30,0)-MAX(MOD(AT173,1),TIME(8,30,0)))
+ (MIN(MOD(AV173,1),TIME(17,30,0))-TIME(8,30,0))
+ (NETWORKDAYS(AS173,AU173)-2)* (TIME(17,30,0)-TIME(8,30,0))
)
)
)</f>
        <v>2</v>
      </c>
      <c r="AY173" s="20" t="n">
        <f aca="false">ROUND(
IF(AS173=AU173,
MAX(0,
(MIN(MOD(AV173,1),TIME(17,30,0))-
MAX(MOD(AT173,1),TIME(8,30,0)))*24
),
(
(MAX(0,TIME(17,30,0)-MAX(MOD(AT173,1),TIME(8,30,0)))*24)
+
(MAX(0,MIN(MOD(AV173,1),TIME(17,30,0))-TIME(8,30,0))*24)
+
(MAX(0,NETWORKDAYS(AS173+1,AU173-1))*9)
)
),
2)</f>
        <v>2</v>
      </c>
      <c r="AZ173" s="0" t="n">
        <f aca="false" t="array" ref="AZ173:AZ173">_xlfn.XLOOKUP(J173,{"Low","Medium","High"},{270,72,24})</f>
        <v>72</v>
      </c>
      <c r="BA173" s="0" t="str">
        <f aca="false">IF(AW173&gt;AZ173,"Not Met","Met")</f>
        <v>Met</v>
      </c>
      <c r="BB173" s="21" t="str">
        <f aca="false">IF(AS173="","",TEXT(AS173,"MMM")&amp;"'"&amp;TEXT(AS173,"yy"))</f>
        <v>Feb'26</v>
      </c>
      <c r="BC173" s="0" t="str">
        <f aca="false">IF(AU173="","",TEXT(AU173,"MMM")&amp;"'"&amp;TEXT(AU173,"yy"))</f>
        <v>Feb'26</v>
      </c>
    </row>
    <row r="174" customFormat="false" ht="15" hidden="false" customHeight="false" outlineLevel="0" collapsed="false">
      <c r="A174" s="1" t="s">
        <v>668</v>
      </c>
      <c r="B174" s="11" t="n">
        <v>46071</v>
      </c>
      <c r="C174" s="12" t="n">
        <v>0.934722222222222</v>
      </c>
      <c r="D174" s="13" t="str">
        <f aca="false">IF(B174="","",TEXT(B174,"MMM")&amp;"'"&amp;TEXT(B174,"yy"))</f>
        <v>Feb'26</v>
      </c>
      <c r="E174" s="27" t="s">
        <v>55</v>
      </c>
      <c r="F174" s="1" t="s">
        <v>39</v>
      </c>
      <c r="G174" s="1" t="str">
        <f aca="false">IF(F174="Closed","Closed","Pending")</f>
        <v>Closed</v>
      </c>
      <c r="H174" s="55" t="s">
        <v>56</v>
      </c>
      <c r="I174" s="26" t="s">
        <v>386</v>
      </c>
      <c r="J174" s="50" t="s">
        <v>74</v>
      </c>
      <c r="K174" s="1" t="s">
        <v>59</v>
      </c>
      <c r="L174" s="1" t="s">
        <v>669</v>
      </c>
      <c r="M174" s="1" t="s">
        <v>670</v>
      </c>
      <c r="N174" s="1" t="s">
        <v>65</v>
      </c>
      <c r="O174" s="1" t="s">
        <v>106</v>
      </c>
      <c r="Q174" s="1" t="s">
        <v>65</v>
      </c>
      <c r="R174" s="1" t="s">
        <v>87</v>
      </c>
      <c r="U174" s="12" t="n">
        <v>0.958333333333333</v>
      </c>
      <c r="V174" s="11" t="n">
        <v>46073</v>
      </c>
      <c r="W174" s="12" t="n">
        <v>0.83125</v>
      </c>
      <c r="X174" s="11" t="n">
        <v>46079</v>
      </c>
      <c r="Y174" s="12" t="n">
        <v>0.0305555555555556</v>
      </c>
      <c r="Z174" s="1" t="s">
        <v>67</v>
      </c>
      <c r="AA174" s="1" t="s">
        <v>68</v>
      </c>
      <c r="AB174" s="2" t="e">
        <f aca="false">U174-#REF!</f>
        <v>#REF!</v>
      </c>
      <c r="AC174" s="14" t="n">
        <f aca="false">(V174+W174)-(B174+C174)</f>
        <v>1.89652777777778</v>
      </c>
      <c r="AD174" s="4" t="str">
        <f aca="false">INT((V174+W174)-(B174+C174)) &amp; ":" &amp;
TEXT(HOUR((V174+W174)-(B174+C174)), "00") &amp; ":" &amp;
TEXT(MINUTE((V174+W174)-(B174+C174)), "00")</f>
        <v>1:21:31</v>
      </c>
      <c r="AE174" s="1" t="n">
        <f aca="false">IFERROR(
LEFT(AD174,FIND(":",AD174)-1)
+ MID(AD174,FIND(":",AD174)+1,2)/24
+ RIGHT(AD174,2)/1440,
"")</f>
        <v>1.89652777777778</v>
      </c>
      <c r="AF174" s="4" t="str">
        <f aca="false">INT((X174+Y174)-(B174+C174)) &amp; ":" &amp;
TEXT(HOUR((X174+Y174)-(B174+C174)), "00") &amp; ":" &amp;
TEXT(MINUTE((X174+Y174)-(B174+C174)), "00")</f>
        <v>7:02:18</v>
      </c>
      <c r="AG174" s="4" t="str">
        <f aca="false" t="array" ref="AG174:AG174">INT(_xlfn.XLOOKUP(J174,{"Low","Medium","High","Urgent"},{48,24,12,8})/24) &amp; ":" &amp;
TEXT(MOD(_xlfn.XLOOKUP(J174,{"Low","Medium","High","Urgent"},{48,24,12,8}),24)/24,"hh:mm")</f>
        <v>2:00:00</v>
      </c>
      <c r="AH174" s="4" t="str">
        <f aca="false">IF(AD174&gt;AG174,"Not Met","Met")</f>
        <v>Met</v>
      </c>
      <c r="AI174" s="4" t="e">
        <f aca="false">IF(AB174&lt;TIME(0,30,0),"Met","Not Met")</f>
        <v>#REF!</v>
      </c>
      <c r="AN174" s="1" t="str">
        <f aca="false">TEXT(B174,"dd")</f>
        <v>18</v>
      </c>
      <c r="AO174" s="1" t="str">
        <f aca="false">TEXT(X174,"dd")</f>
        <v>26</v>
      </c>
      <c r="AP174" s="16" t="str">
        <f aca="false">INT(
  NETWORKDAYS(B174,V174)-1
  + IF(WEEKDAY(V174,2)&lt;6,MOD(V174+W174,1),0)
  - IF(WEEKDAY(B174,2)&lt;6,MOD(B174+C174,1),0)
)
&amp; ":" &amp;
TEXT(HOUR(
  NETWORKDAYS(B174,V174)-1
  + IF(WEEKDAY(V174,2)&lt;6,MOD(V174+W174,1),0)
  - IF(WEEKDAY(B174,2)&lt;6,MOD(B174+C174,1),0)
),"00")
&amp; ":" &amp;
TEXT(MINUTE(
  NETWORKDAYS(B174,V174)-1
  + IF(WEEKDAY(V174,2)&lt;6,MOD(V174+W174,1),0)
  - IF(WEEKDAY(B174,2)&lt;6,MOD(B174+C174,1),0)
),"00")</f>
        <v>1:21:31</v>
      </c>
      <c r="AQ174" s="0" t="n">
        <f aca="false">IFERROR(
LEFT(AP174,FIND(":",AP174)-1)
+ MID(AP174,FIND(":",AP174)+1,2)/24
+ RIGHT(AP174,2)/1440,
"")</f>
        <v>1.89652777777778</v>
      </c>
      <c r="AR174" s="0" t="n">
        <f aca="false">WEEKNUM(B174,1)</f>
        <v>8</v>
      </c>
      <c r="AS174" s="17" t="n">
        <f aca="false">IF(B174&gt;0, (B174+C174)-TIME(13,30,0), "")</f>
        <v>46071.3722222222</v>
      </c>
      <c r="AT174" s="18" t="n">
        <f aca="false">IF(B174&gt;0, (B174+C174)-TIME(13,30,0), "")</f>
        <v>46071.3722222222</v>
      </c>
      <c r="AU174" s="17" t="n">
        <f aca="false">IF(V174&gt;0, (V174+W174)-TIME(13,30,0), "")</f>
        <v>46073.26875</v>
      </c>
      <c r="AV174" s="18" t="n">
        <f aca="false">IF(V174&gt;0, (V174+W174)-TIME(13,30,0), "")</f>
        <v>46073.26875</v>
      </c>
      <c r="AW174" s="19" t="n">
        <f aca="false">24*(
MAX(0,
IF(NETWORKDAYS(AS174,AU174)=1,
MIN(MOD(AV174,1),TIME(17,30,0)) - MAX(MOD(AT174,1),TIME(8,30,0)),
(TIME(17,30,0)-MAX(MOD(AT174,1),TIME(8,30,0)))
+ (MIN(MOD(AV174,1),TIME(17,30,0))-TIME(8,30,0))
+ (NETWORKDAYS(AS174,AU174)-2)*9/24
)
)
)</f>
        <v>15.5166666666667</v>
      </c>
      <c r="AX174" s="19" t="n">
        <f aca="false">24*(
MAX(0,
IF(NETWORKDAYS(AS174,AU174)=1,
MIN(MOD(AV174,1),TIME(17,30,0)) - MAX(MOD(AT174,1),TIME(8,30,0)),
(TIME(17,30,0)-MAX(MOD(AT174,1),TIME(8,30,0)))
+ (MIN(MOD(AV174,1),TIME(17,30,0))-TIME(8,30,0))
+ (NETWORKDAYS(AS174,AU174)-2)* (TIME(17,30,0)-TIME(8,30,0))
)
)
)</f>
        <v>15.5166666666667</v>
      </c>
      <c r="AY174" s="20" t="n">
        <f aca="false">ROUND(
IF(AS174=AU174,
MAX(0,
(MIN(MOD(AV174,1),TIME(17,30,0))-
MAX(MOD(AT174,1),TIME(8,30,0)))*24
),
(
(MAX(0,TIME(17,30,0)-MAX(MOD(AT174,1),TIME(8,30,0)))*24)
+
(MAX(0,MIN(MOD(AV174,1),TIME(17,30,0))-TIME(8,30,0))*24)
+
(MAX(0,NETWORKDAYS(AS174+1,AU174-1))*9)
)
),
2)</f>
        <v>17.57</v>
      </c>
      <c r="AZ174" s="0" t="n">
        <f aca="false" t="array" ref="AZ174:AZ174">_xlfn.XLOOKUP(J174,{"Low","Medium","High"},{270,72,24})</f>
        <v>270</v>
      </c>
      <c r="BA174" s="0" t="str">
        <f aca="false">IF(AW174&gt;AZ174,"Not Met","Met")</f>
        <v>Met</v>
      </c>
      <c r="BB174" s="21" t="str">
        <f aca="false">IF(AS174="","",TEXT(AS174,"MMM")&amp;"'"&amp;TEXT(AS174,"yy"))</f>
        <v>Feb'26</v>
      </c>
      <c r="BC174" s="0" t="str">
        <f aca="false">IF(AU174="","",TEXT(AU174,"MMM")&amp;"'"&amp;TEXT(AU174,"yy"))</f>
        <v>Feb'26</v>
      </c>
    </row>
    <row r="175" customFormat="false" ht="15" hidden="false" customHeight="false" outlineLevel="0" collapsed="false">
      <c r="A175" s="1" t="s">
        <v>671</v>
      </c>
      <c r="B175" s="11" t="n">
        <v>46071</v>
      </c>
      <c r="C175" s="12" t="n">
        <v>0.98125</v>
      </c>
      <c r="D175" s="13" t="str">
        <f aca="false">IF(B175="","",TEXT(B175,"MMM")&amp;"'"&amp;TEXT(B175,"yy"))</f>
        <v>Feb'26</v>
      </c>
      <c r="E175" s="27" t="s">
        <v>55</v>
      </c>
      <c r="F175" s="1" t="s">
        <v>39</v>
      </c>
      <c r="G175" s="1" t="str">
        <f aca="false">IF(F175="Closed","Closed","Pending")</f>
        <v>Closed</v>
      </c>
      <c r="H175" s="27" t="s">
        <v>157</v>
      </c>
      <c r="I175" s="1" t="s">
        <v>158</v>
      </c>
      <c r="J175" s="35" t="s">
        <v>74</v>
      </c>
      <c r="K175" s="1" t="s">
        <v>59</v>
      </c>
      <c r="L175" s="1" t="s">
        <v>672</v>
      </c>
      <c r="M175" s="1" t="s">
        <v>282</v>
      </c>
      <c r="N175" s="1" t="s">
        <v>65</v>
      </c>
      <c r="O175" s="1" t="s">
        <v>106</v>
      </c>
      <c r="Q175" s="1" t="s">
        <v>65</v>
      </c>
      <c r="R175" s="1" t="s">
        <v>589</v>
      </c>
      <c r="U175" s="25" t="n">
        <v>46072.1138888889</v>
      </c>
      <c r="V175" s="11" t="n">
        <v>46076</v>
      </c>
      <c r="W175" s="12" t="n">
        <v>0.927083333333333</v>
      </c>
      <c r="X175" s="11" t="n">
        <v>46077</v>
      </c>
      <c r="Y175" s="12" t="n">
        <v>0.1</v>
      </c>
      <c r="Z175" s="1" t="s">
        <v>67</v>
      </c>
      <c r="AA175" s="1" t="s">
        <v>68</v>
      </c>
      <c r="AB175" s="2" t="n">
        <v>0.132638888888889</v>
      </c>
      <c r="AC175" s="14" t="n">
        <f aca="false">(V175+W175)-(B175+C175)</f>
        <v>4.94583333333333</v>
      </c>
      <c r="AD175" s="4" t="str">
        <f aca="false">INT((V175+W175)-(B175+C175)) &amp; ":" &amp;
TEXT(HOUR((V175+W175)-(B175+C175)), "00") &amp; ":" &amp;
TEXT(MINUTE((V175+W175)-(B175+C175)), "00")</f>
        <v>4:22:42</v>
      </c>
      <c r="AE175" s="1" t="n">
        <f aca="false">IFERROR(
LEFT(AD175,FIND(":",AD175)-1)
+ MID(AD175,FIND(":",AD175)+1,2)/24
+ RIGHT(AD175,2)/1440,
"")</f>
        <v>4.94583333333333</v>
      </c>
      <c r="AF175" s="4" t="str">
        <f aca="false">INT((X175+Y175)-(B175+C175)) &amp; ":" &amp;
TEXT(HOUR((X175+Y175)-(B175+C175)), "00") &amp; ":" &amp;
TEXT(MINUTE((X175+Y175)-(B175+C175)), "00")</f>
        <v>5:02:51</v>
      </c>
      <c r="AG175" s="4" t="str">
        <f aca="false" t="array" ref="AG175:AG175">INT(_xlfn.XLOOKUP(J175,{"Low","Medium","High","Urgent"},{48,24,12,8})/24) &amp; ":" &amp;
TEXT(MOD(_xlfn.XLOOKUP(J175,{"Low","Medium","High","Urgent"},{48,24,12,8}),24)/24,"hh:mm")</f>
        <v>2:00:00</v>
      </c>
      <c r="AH175" s="4" t="str">
        <f aca="false">IF(AD175&gt;AG175,"Not Met","Met")</f>
        <v>Not Met</v>
      </c>
      <c r="AI175" s="4" t="str">
        <f aca="false">IF(AB175&lt;TIME(0,30,0),"Met","Not Met")</f>
        <v>Not Met</v>
      </c>
      <c r="AN175" s="1" t="str">
        <f aca="false">TEXT(B175,"dd")</f>
        <v>18</v>
      </c>
      <c r="AO175" s="1" t="str">
        <f aca="false">TEXT(X175,"dd")</f>
        <v>24</v>
      </c>
      <c r="AP175" s="16" t="str">
        <f aca="false">INT(
  NETWORKDAYS(B175,V175)-1
  + IF(WEEKDAY(V175,2)&lt;6,MOD(V175+W175,1),0)
  - IF(WEEKDAY(B175,2)&lt;6,MOD(B175+C175,1),0)
)
&amp; ":" &amp;
TEXT(HOUR(
  NETWORKDAYS(B175,V175)-1
  + IF(WEEKDAY(V175,2)&lt;6,MOD(V175+W175,1),0)
  - IF(WEEKDAY(B175,2)&lt;6,MOD(B175+C175,1),0)
),"00")
&amp; ":" &amp;
TEXT(MINUTE(
  NETWORKDAYS(B175,V175)-1
  + IF(WEEKDAY(V175,2)&lt;6,MOD(V175+W175,1),0)
  - IF(WEEKDAY(B175,2)&lt;6,MOD(B175+C175,1),0)
),"00")</f>
        <v>2:22:42</v>
      </c>
      <c r="AQ175" s="0" t="n">
        <f aca="false">IFERROR(
LEFT(AP175,FIND(":",AP175)-1)
+ MID(AP175,FIND(":",AP175)+1,2)/24
+ RIGHT(AP175,2)/1440,
"")</f>
        <v>2.94583333333333</v>
      </c>
      <c r="AR175" s="0" t="n">
        <f aca="false">WEEKNUM(B175,1)</f>
        <v>8</v>
      </c>
      <c r="AS175" s="17" t="n">
        <f aca="false">IF(B175&gt;0, (B175+C175)-TIME(13,30,0), "")</f>
        <v>46071.41875</v>
      </c>
      <c r="AT175" s="18" t="n">
        <f aca="false">IF(B175&gt;0, (B175+C175)-TIME(13,30,0), "")</f>
        <v>46071.41875</v>
      </c>
      <c r="AU175" s="17" t="n">
        <f aca="false">IF(V175&gt;0, (V175+W175)-TIME(13,30,0), "")</f>
        <v>46076.3645833333</v>
      </c>
      <c r="AV175" s="18" t="n">
        <f aca="false">IF(V175&gt;0, (V175+W175)-TIME(13,30,0), "")</f>
        <v>46076.3645833333</v>
      </c>
      <c r="AW175" s="19" t="n">
        <f aca="false">24*(
MAX(0,
IF(NETWORKDAYS(AS175,AU175)=1,
MIN(MOD(AV175,1),TIME(17,30,0)) - MAX(MOD(AT175,1),TIME(8,30,0)),
(TIME(17,30,0)-MAX(MOD(AT175,1),TIME(8,30,0)))
+ (MIN(MOD(AV175,1),TIME(17,30,0))-TIME(8,30,0))
+ (NETWORKDAYS(AS175,AU175)-2)*9/24
)
)
)</f>
        <v>25.7</v>
      </c>
      <c r="AX175" s="19" t="n">
        <f aca="false">24*(
MAX(0,
IF(NETWORKDAYS(AS175,AU175)=1,
MIN(MOD(AV175,1),TIME(17,30,0)) - MAX(MOD(AT175,1),TIME(8,30,0)),
(TIME(17,30,0)-MAX(MOD(AT175,1),TIME(8,30,0)))
+ (MIN(MOD(AV175,1),TIME(17,30,0))-TIME(8,30,0))
+ (NETWORKDAYS(AS175,AU175)-2)* (TIME(17,30,0)-TIME(8,30,0))
)
)
)</f>
        <v>25.7</v>
      </c>
      <c r="AY175" s="20" t="n">
        <f aca="false">ROUND(
IF(AS175=AU175,
MAX(0,
(MIN(MOD(AV175,1),TIME(17,30,0))-
MAX(MOD(AT175,1),TIME(8,30,0)))*24
),
(
(MAX(0,TIME(17,30,0)-MAX(MOD(AT175,1),TIME(8,30,0)))*24)
+
(MAX(0,MIN(MOD(AV175,1),TIME(17,30,0))-TIME(8,30,0))*24)
+
(MAX(0,NETWORKDAYS(AS175+1,AU175-1))*9)
)
),
2)</f>
        <v>25.7</v>
      </c>
      <c r="AZ175" s="0" t="n">
        <f aca="false" t="array" ref="AZ175:AZ175">_xlfn.XLOOKUP(J175,{"Low","Medium","High"},{270,72,24})</f>
        <v>270</v>
      </c>
      <c r="BA175" s="0" t="str">
        <f aca="false">IF(AW175&gt;AZ175,"Not Met","Met")</f>
        <v>Met</v>
      </c>
      <c r="BB175" s="21" t="str">
        <f aca="false">IF(AS175="","",TEXT(AS175,"MMM")&amp;"'"&amp;TEXT(AS175,"yy"))</f>
        <v>Feb'26</v>
      </c>
      <c r="BC175" s="0" t="str">
        <f aca="false">IF(AU175="","",TEXT(AU175,"MMM")&amp;"'"&amp;TEXT(AU175,"yy"))</f>
        <v>Feb'26</v>
      </c>
    </row>
    <row r="176" customFormat="false" ht="15" hidden="false" customHeight="false" outlineLevel="0" collapsed="false">
      <c r="A176" s="1" t="s">
        <v>673</v>
      </c>
      <c r="B176" s="11" t="n">
        <v>46072</v>
      </c>
      <c r="C176" s="12" t="n">
        <v>0.834722222222222</v>
      </c>
      <c r="D176" s="13" t="str">
        <f aca="false">IF(B176="","",TEXT(B176,"MMM")&amp;"'"&amp;TEXT(B176,"yy"))</f>
        <v>Feb'26</v>
      </c>
      <c r="E176" s="27" t="s">
        <v>55</v>
      </c>
      <c r="F176" s="1" t="s">
        <v>39</v>
      </c>
      <c r="G176" s="1" t="str">
        <f aca="false">IF(F176="Closed","Closed","Pending")</f>
        <v>Closed</v>
      </c>
      <c r="H176" s="27" t="s">
        <v>185</v>
      </c>
      <c r="I176" s="1" t="s">
        <v>302</v>
      </c>
      <c r="J176" s="35" t="s">
        <v>74</v>
      </c>
      <c r="K176" s="1" t="s">
        <v>59</v>
      </c>
      <c r="L176" s="1" t="s">
        <v>674</v>
      </c>
      <c r="M176" s="1" t="s">
        <v>675</v>
      </c>
      <c r="N176" s="1" t="s">
        <v>62</v>
      </c>
      <c r="O176" s="1" t="s">
        <v>143</v>
      </c>
      <c r="Q176" s="1" t="s">
        <v>143</v>
      </c>
      <c r="R176" s="1" t="s">
        <v>490</v>
      </c>
      <c r="U176" s="12" t="n">
        <v>0.904861111111111</v>
      </c>
      <c r="V176" s="11" t="n">
        <v>46140</v>
      </c>
      <c r="W176" s="12" t="n">
        <v>0.900694444444445</v>
      </c>
      <c r="X176" s="11" t="n">
        <v>46141</v>
      </c>
      <c r="Y176" s="12" t="n">
        <v>0.304861111111111</v>
      </c>
      <c r="Z176" s="1" t="s">
        <v>108</v>
      </c>
      <c r="AA176" s="1" t="s">
        <v>68</v>
      </c>
      <c r="AB176" s="2" t="e">
        <f aca="false">U176-#REF!</f>
        <v>#REF!</v>
      </c>
      <c r="AC176" s="14" t="n">
        <f aca="false">(V176+W176)-(B176+C176)</f>
        <v>68.0659722222222</v>
      </c>
      <c r="AD176" s="4" t="str">
        <f aca="false">INT((V176+W176)-(B176+C176)) &amp; ":" &amp;
TEXT(HOUR((V176+W176)-(B176+C176)), "00") &amp; ":" &amp;
TEXT(MINUTE((V176+W176)-(B176+C176)), "00")</f>
        <v>68:01:35</v>
      </c>
      <c r="AE176" s="1" t="n">
        <f aca="false">IFERROR(
LEFT(AD176,FIND(":",AD176)-1)
+ MID(AD176,FIND(":",AD176)+1,2)/24
+ RIGHT(AD176,2)/1440,
"")</f>
        <v>68.0659722222222</v>
      </c>
      <c r="AF176" s="4" t="str">
        <f aca="false">INT((X176+Y176)-(B176+C176)) &amp; ":" &amp;
TEXT(HOUR((X176+Y176)-(B176+C176)), "00") &amp; ":" &amp;
TEXT(MINUTE((X176+Y176)-(B176+C176)), "00")</f>
        <v>68:11:17</v>
      </c>
      <c r="AG176" s="4" t="str">
        <f aca="false" t="array" ref="AG176:AG176">INT(_xlfn.XLOOKUP(J176,{"Low","Medium","High","Urgent"},{48,24,12,8})/24) &amp; ":" &amp;
TEXT(MOD(_xlfn.XLOOKUP(J176,{"Low","Medium","High","Urgent"},{48,24,12,8}),24)/24,"hh:mm")</f>
        <v>2:00:00</v>
      </c>
      <c r="AH176" s="4" t="str">
        <f aca="false">IF(AD176&gt;AG176,"Not Met","Met")</f>
        <v>Not Met</v>
      </c>
      <c r="AI176" s="4" t="e">
        <f aca="false">IF(AB176&lt;TIME(0,30,0),"Met","Not Met")</f>
        <v>#REF!</v>
      </c>
      <c r="AN176" s="1" t="str">
        <f aca="false">TEXT(B176,"dd")</f>
        <v>19</v>
      </c>
      <c r="AO176" s="1" t="str">
        <f aca="false">TEXT(X176,"dd")</f>
        <v>29</v>
      </c>
      <c r="AP176" s="16" t="str">
        <f aca="false">INT(
  NETWORKDAYS(B176,V176)-1
  + IF(WEEKDAY(V176,2)&lt;6,MOD(V176+W176,1),0)
  - IF(WEEKDAY(B176,2)&lt;6,MOD(B176+C176,1),0)
)
&amp; ":" &amp;
TEXT(HOUR(
  NETWORKDAYS(B176,V176)-1
  + IF(WEEKDAY(V176,2)&lt;6,MOD(V176+W176,1),0)
  - IF(WEEKDAY(B176,2)&lt;6,MOD(B176+C176,1),0)
),"00")
&amp; ":" &amp;
TEXT(MINUTE(
  NETWORKDAYS(B176,V176)-1
  + IF(WEEKDAY(V176,2)&lt;6,MOD(V176+W176,1),0)
  - IF(WEEKDAY(B176,2)&lt;6,MOD(B176+C176,1),0)
),"00")</f>
        <v>48:01:34</v>
      </c>
      <c r="AQ176" s="0" t="n">
        <f aca="false">IFERROR(
LEFT(AP176,FIND(":",AP176)-1)
+ MID(AP176,FIND(":",AP176)+1,2)/24
+ RIGHT(AP176,2)/1440,
"")</f>
        <v>48.0652777777778</v>
      </c>
      <c r="AR176" s="0" t="n">
        <f aca="false">WEEKNUM(B176,1)</f>
        <v>8</v>
      </c>
      <c r="AS176" s="17" t="n">
        <f aca="false">IF(B176&gt;0, (B176+C176)-TIME(13,30,0), "")</f>
        <v>46072.2722222222</v>
      </c>
      <c r="AT176" s="18" t="n">
        <f aca="false">IF(B176&gt;0, (B176+C176)-TIME(13,30,0), "")</f>
        <v>46072.2722222222</v>
      </c>
      <c r="AU176" s="17" t="n">
        <f aca="false">IF(V176&gt;0, (V176+W176)-TIME(13,30,0), "")</f>
        <v>46140.3381944444</v>
      </c>
      <c r="AV176" s="18" t="n">
        <f aca="false">IF(V176&gt;0, (V176+W176)-TIME(13,30,0), "")</f>
        <v>46140.3381944444</v>
      </c>
      <c r="AW176" s="19" t="n">
        <f aca="false">24*(
MAX(0,
IF(NETWORKDAYS(AS176,AU176)=1,
MIN(MOD(AV176,1),TIME(17,30,0)) - MAX(MOD(AT176,1),TIME(8,30,0)),
(TIME(17,30,0)-MAX(MOD(AT176,1),TIME(8,30,0)))
+ (MIN(MOD(AV176,1),TIME(17,30,0))-TIME(8,30,0))
+ (NETWORKDAYS(AS176,AU176)-2)*9/24
)
)
)</f>
        <v>431.616666666667</v>
      </c>
      <c r="AX176" s="19" t="n">
        <f aca="false">24*(
MAX(0,
IF(NETWORKDAYS(AS176,AU176)=1,
MIN(MOD(AV176,1),TIME(17,30,0)) - MAX(MOD(AT176,1),TIME(8,30,0)),
(TIME(17,30,0)-MAX(MOD(AT176,1),TIME(8,30,0)))
+ (MIN(MOD(AV176,1),TIME(17,30,0))-TIME(8,30,0))
+ (NETWORKDAYS(AS176,AU176)-2)* (TIME(17,30,0)-TIME(8,30,0))
)
)
)</f>
        <v>431.616666666667</v>
      </c>
      <c r="AY176" s="20" t="n">
        <f aca="false">ROUND(
IF(AS176=AU176,
MAX(0,
(MIN(MOD(AV176,1),TIME(17,30,0))-
MAX(MOD(AT176,1),TIME(8,30,0)))*24
),
(
(MAX(0,TIME(17,30,0)-MAX(MOD(AT176,1),TIME(8,30,0)))*24)
+
(MAX(0,MIN(MOD(AV176,1),TIME(17,30,0))-TIME(8,30,0))*24)
+
(MAX(0,NETWORKDAYS(AS176+1,AU176-1))*9)
)
),
2)</f>
        <v>432</v>
      </c>
      <c r="AZ176" s="0" t="n">
        <f aca="false" t="array" ref="AZ176:AZ176">_xlfn.XLOOKUP(J176,{"Low","Medium","High"},{270,72,24})</f>
        <v>270</v>
      </c>
      <c r="BA176" s="0" t="str">
        <f aca="false">IF(AW176&gt;AZ176,"Not Met","Met")</f>
        <v>Not Met</v>
      </c>
      <c r="BB176" s="21" t="str">
        <f aca="false">IF(AS176="","",TEXT(AS176,"MMM")&amp;"'"&amp;TEXT(AS176,"yy"))</f>
        <v>Feb'26</v>
      </c>
      <c r="BC176" s="0" t="str">
        <f aca="false">IF(AU176="","",TEXT(AU176,"MMM")&amp;"'"&amp;TEXT(AU176,"yy"))</f>
        <v>Apr'26</v>
      </c>
    </row>
    <row r="177" customFormat="false" ht="15" hidden="false" customHeight="false" outlineLevel="0" collapsed="false">
      <c r="A177" s="1" t="s">
        <v>676</v>
      </c>
      <c r="B177" s="11" t="n">
        <v>46072</v>
      </c>
      <c r="C177" s="12" t="n">
        <v>0.857638888888889</v>
      </c>
      <c r="D177" s="13" t="str">
        <f aca="false">IF(B177="","",TEXT(B177,"MMM")&amp;"'"&amp;TEXT(B177,"yy"))</f>
        <v>Feb'26</v>
      </c>
      <c r="E177" s="27" t="s">
        <v>55</v>
      </c>
      <c r="F177" s="1" t="s">
        <v>39</v>
      </c>
      <c r="G177" s="1" t="str">
        <f aca="false">IF(F177="Closed","Closed","Pending")</f>
        <v>Closed</v>
      </c>
      <c r="H177" s="27" t="s">
        <v>120</v>
      </c>
      <c r="I177" s="1" t="s">
        <v>677</v>
      </c>
      <c r="J177" s="35" t="s">
        <v>74</v>
      </c>
      <c r="K177" s="1" t="s">
        <v>59</v>
      </c>
      <c r="L177" s="1" t="s">
        <v>678</v>
      </c>
      <c r="M177" s="1" t="s">
        <v>679</v>
      </c>
      <c r="N177" s="1" t="s">
        <v>65</v>
      </c>
      <c r="O177" s="1" t="s">
        <v>106</v>
      </c>
      <c r="Q177" s="1" t="s">
        <v>65</v>
      </c>
      <c r="R177" s="1" t="s">
        <v>87</v>
      </c>
      <c r="U177" s="12" t="n">
        <v>0.906944444444444</v>
      </c>
      <c r="V177" s="11" t="n">
        <v>46076</v>
      </c>
      <c r="W177" s="12" t="n">
        <v>0.930555555555556</v>
      </c>
      <c r="X177" s="11" t="n">
        <v>46076</v>
      </c>
      <c r="Y177" s="12" t="n">
        <v>0.952777777777778</v>
      </c>
      <c r="Z177" s="1" t="s">
        <v>108</v>
      </c>
      <c r="AA177" s="1" t="s">
        <v>68</v>
      </c>
      <c r="AB177" s="2" t="e">
        <f aca="false">U177-#REF!</f>
        <v>#REF!</v>
      </c>
      <c r="AC177" s="14" t="n">
        <f aca="false">(V177+W177)-(B177+C177)</f>
        <v>4.07291666666667</v>
      </c>
      <c r="AD177" s="4" t="str">
        <f aca="false">INT((V177+W177)-(B177+C177)) &amp; ":" &amp;
TEXT(HOUR((V177+W177)-(B177+C177)), "00") &amp; ":" &amp;
TEXT(MINUTE((V177+W177)-(B177+C177)), "00")</f>
        <v>4:01:45</v>
      </c>
      <c r="AE177" s="1" t="n">
        <f aca="false">IFERROR(
LEFT(AD177,FIND(":",AD177)-1)
+ MID(AD177,FIND(":",AD177)+1,2)/24
+ RIGHT(AD177,2)/1440,
"")</f>
        <v>4.07291666666667</v>
      </c>
      <c r="AF177" s="4" t="str">
        <f aca="false">INT((X177+Y177)-(B177+C177)) &amp; ":" &amp;
TEXT(HOUR((X177+Y177)-(B177+C177)), "00") &amp; ":" &amp;
TEXT(MINUTE((X177+Y177)-(B177+C177)), "00")</f>
        <v>4:02:17</v>
      </c>
      <c r="AG177" s="4" t="str">
        <f aca="false" t="array" ref="AG177:AG177">INT(_xlfn.XLOOKUP(J177,{"Low","Medium","High","Urgent"},{48,24,12,8})/24) &amp; ":" &amp;
TEXT(MOD(_xlfn.XLOOKUP(J177,{"Low","Medium","High","Urgent"},{48,24,12,8}),24)/24,"hh:mm")</f>
        <v>2:00:00</v>
      </c>
      <c r="AH177" s="4" t="str">
        <f aca="false">IF(AD177&gt;AG177,"Not Met","Met")</f>
        <v>Not Met</v>
      </c>
      <c r="AI177" s="4" t="e">
        <f aca="false">IF(AB177&lt;TIME(0,30,0),"Met","Not Met")</f>
        <v>#REF!</v>
      </c>
      <c r="AN177" s="1" t="str">
        <f aca="false">TEXT(B177,"dd")</f>
        <v>19</v>
      </c>
      <c r="AO177" s="1" t="str">
        <f aca="false">TEXT(X177,"dd")</f>
        <v>23</v>
      </c>
      <c r="AP177" s="16" t="str">
        <f aca="false">INT(
  NETWORKDAYS(B177,V177)-1
  + IF(WEEKDAY(V177,2)&lt;6,MOD(V177+W177,1),0)
  - IF(WEEKDAY(B177,2)&lt;6,MOD(B177+C177,1),0)
)
&amp; ":" &amp;
TEXT(HOUR(
  NETWORKDAYS(B177,V177)-1
  + IF(WEEKDAY(V177,2)&lt;6,MOD(V177+W177,1),0)
  - IF(WEEKDAY(B177,2)&lt;6,MOD(B177+C177,1),0)
),"00")
&amp; ":" &amp;
TEXT(MINUTE(
  NETWORKDAYS(B177,V177)-1
  + IF(WEEKDAY(V177,2)&lt;6,MOD(V177+W177,1),0)
  - IF(WEEKDAY(B177,2)&lt;6,MOD(B177+C177,1),0)
),"00")</f>
        <v>2:01:44</v>
      </c>
      <c r="AQ177" s="0" t="n">
        <f aca="false">IFERROR(
LEFT(AP177,FIND(":",AP177)-1)
+ MID(AP177,FIND(":",AP177)+1,2)/24
+ RIGHT(AP177,2)/1440,
"")</f>
        <v>2.07222222222222</v>
      </c>
      <c r="AR177" s="0" t="n">
        <f aca="false">WEEKNUM(B177,1)</f>
        <v>8</v>
      </c>
      <c r="AS177" s="17" t="n">
        <f aca="false">IF(B177&gt;0, (B177+C177)-TIME(13,30,0), "")</f>
        <v>46072.2951388889</v>
      </c>
      <c r="AT177" s="18" t="n">
        <f aca="false">IF(B177&gt;0, (B177+C177)-TIME(13,30,0), "")</f>
        <v>46072.2951388889</v>
      </c>
      <c r="AU177" s="17" t="n">
        <f aca="false">IF(V177&gt;0, (V177+W177)-TIME(13,30,0), "")</f>
        <v>46076.3680555556</v>
      </c>
      <c r="AV177" s="18" t="n">
        <f aca="false">IF(V177&gt;0, (V177+W177)-TIME(13,30,0), "")</f>
        <v>46076.3680555556</v>
      </c>
      <c r="AW177" s="19" t="n">
        <f aca="false">24*(
MAX(0,
IF(NETWORKDAYS(AS177,AU177)=1,
MIN(MOD(AV177,1),TIME(17,30,0)) - MAX(MOD(AT177,1),TIME(8,30,0)),
(TIME(17,30,0)-MAX(MOD(AT177,1),TIME(8,30,0)))
+ (MIN(MOD(AV177,1),TIME(17,30,0))-TIME(8,30,0))
+ (NETWORKDAYS(AS177,AU177)-2)*9/24
)
)
)</f>
        <v>18.3333333333333</v>
      </c>
      <c r="AX177" s="19" t="n">
        <f aca="false">24*(
MAX(0,
IF(NETWORKDAYS(AS177,AU177)=1,
MIN(MOD(AV177,1),TIME(17,30,0)) - MAX(MOD(AT177,1),TIME(8,30,0)),
(TIME(17,30,0)-MAX(MOD(AT177,1),TIME(8,30,0)))
+ (MIN(MOD(AV177,1),TIME(17,30,0))-TIME(8,30,0))
+ (NETWORKDAYS(AS177,AU177)-2)* (TIME(17,30,0)-TIME(8,30,0))
)
)
)</f>
        <v>18.3333333333333</v>
      </c>
      <c r="AY177" s="20" t="n">
        <f aca="false">ROUND(
IF(AS177=AU177,
MAX(0,
(MIN(MOD(AV177,1),TIME(17,30,0))-
MAX(MOD(AT177,1),TIME(8,30,0)))*24
),
(
(MAX(0,TIME(17,30,0)-MAX(MOD(AT177,1),TIME(8,30,0)))*24)
+
(MAX(0,MIN(MOD(AV177,1),TIME(17,30,0))-TIME(8,30,0))*24)
+
(MAX(0,NETWORKDAYS(AS177+1,AU177-1))*9)
)
),
2)</f>
        <v>18.33</v>
      </c>
      <c r="AZ177" s="0" t="n">
        <f aca="false" t="array" ref="AZ177:AZ177">_xlfn.XLOOKUP(J177,{"Low","Medium","High"},{270,72,24})</f>
        <v>270</v>
      </c>
      <c r="BA177" s="0" t="str">
        <f aca="false">IF(AW177&gt;AZ177,"Not Met","Met")</f>
        <v>Met</v>
      </c>
      <c r="BB177" s="21" t="str">
        <f aca="false">IF(AS177="","",TEXT(AS177,"MMM")&amp;"'"&amp;TEXT(AS177,"yy"))</f>
        <v>Feb'26</v>
      </c>
      <c r="BC177" s="0" t="str">
        <f aca="false">IF(AU177="","",TEXT(AU177,"MMM")&amp;"'"&amp;TEXT(AU177,"yy"))</f>
        <v>Feb'26</v>
      </c>
    </row>
    <row r="178" customFormat="false" ht="15" hidden="false" customHeight="false" outlineLevel="0" collapsed="false">
      <c r="A178" s="1" t="s">
        <v>680</v>
      </c>
      <c r="B178" s="11" t="n">
        <v>46072</v>
      </c>
      <c r="C178" s="12" t="n">
        <v>0.918055555555556</v>
      </c>
      <c r="D178" s="13" t="str">
        <f aca="false">IF(B178="","",TEXT(B178,"MMM")&amp;"'"&amp;TEXT(B178,"yy"))</f>
        <v>Feb'26</v>
      </c>
      <c r="E178" s="27" t="s">
        <v>55</v>
      </c>
      <c r="F178" s="1" t="s">
        <v>39</v>
      </c>
      <c r="G178" s="1" t="str">
        <f aca="false">IF(F178="Closed","Closed","Pending")</f>
        <v>Closed</v>
      </c>
      <c r="H178" s="27" t="s">
        <v>157</v>
      </c>
      <c r="I178" s="1" t="s">
        <v>103</v>
      </c>
      <c r="J178" s="35" t="s">
        <v>74</v>
      </c>
      <c r="K178" s="1" t="s">
        <v>59</v>
      </c>
      <c r="L178" s="1" t="s">
        <v>115</v>
      </c>
      <c r="M178" s="1" t="s">
        <v>282</v>
      </c>
      <c r="N178" s="1" t="s">
        <v>65</v>
      </c>
      <c r="O178" s="1" t="s">
        <v>106</v>
      </c>
      <c r="Q178" s="1" t="s">
        <v>65</v>
      </c>
      <c r="R178" s="1" t="s">
        <v>87</v>
      </c>
      <c r="U178" s="25" t="n">
        <v>46073.0034722222</v>
      </c>
      <c r="V178" s="11" t="n">
        <v>46076</v>
      </c>
      <c r="W178" s="12" t="n">
        <v>0.930555555555556</v>
      </c>
      <c r="X178" s="11" t="n">
        <v>46076</v>
      </c>
      <c r="Y178" s="12" t="n">
        <v>0.951388888888889</v>
      </c>
      <c r="Z178" s="1" t="s">
        <v>67</v>
      </c>
      <c r="AA178" s="1" t="s">
        <v>68</v>
      </c>
      <c r="AB178" s="2" t="n">
        <v>0.0854166666666667</v>
      </c>
      <c r="AC178" s="14" t="n">
        <f aca="false">(V178+W178)-(B178+C178)</f>
        <v>4.0125</v>
      </c>
      <c r="AD178" s="4" t="str">
        <f aca="false">INT((V178+W178)-(B178+C178)) &amp; ":" &amp;
TEXT(HOUR((V178+W178)-(B178+C178)), "00") &amp; ":" &amp;
TEXT(MINUTE((V178+W178)-(B178+C178)), "00")</f>
        <v>4:00:18</v>
      </c>
      <c r="AE178" s="1" t="n">
        <f aca="false">IFERROR(
LEFT(AD178,FIND(":",AD178)-1)
+ MID(AD178,FIND(":",AD178)+1,2)/24
+ RIGHT(AD178,2)/1440,
"")</f>
        <v>4.0125</v>
      </c>
      <c r="AF178" s="4" t="str">
        <f aca="false">INT((X178+Y178)-(B178+C178)) &amp; ":" &amp;
TEXT(HOUR((X178+Y178)-(B178+C178)), "00") &amp; ":" &amp;
TEXT(MINUTE((X178+Y178)-(B178+C178)), "00")</f>
        <v>4:00:48</v>
      </c>
      <c r="AG178" s="4" t="str">
        <f aca="false" t="array" ref="AG178:AG178">INT(_xlfn.XLOOKUP(J178,{"Low","Medium","High","Urgent"},{48,24,12,8})/24) &amp; ":" &amp;
TEXT(MOD(_xlfn.XLOOKUP(J178,{"Low","Medium","High","Urgent"},{48,24,12,8}),24)/24,"hh:mm")</f>
        <v>2:00:00</v>
      </c>
      <c r="AH178" s="4" t="str">
        <f aca="false">IF(AD178&gt;AG178,"Not Met","Met")</f>
        <v>Not Met</v>
      </c>
      <c r="AI178" s="4" t="str">
        <f aca="false">IF(AB178&lt;TIME(0,30,0),"Met","Not Met")</f>
        <v>Not Met</v>
      </c>
      <c r="AN178" s="1" t="str">
        <f aca="false">TEXT(B178,"dd")</f>
        <v>19</v>
      </c>
      <c r="AO178" s="1" t="str">
        <f aca="false">TEXT(X178,"dd")</f>
        <v>23</v>
      </c>
      <c r="AP178" s="16" t="str">
        <f aca="false">INT(
  NETWORKDAYS(B178,V178)-1
  + IF(WEEKDAY(V178,2)&lt;6,MOD(V178+W178,1),0)
  - IF(WEEKDAY(B178,2)&lt;6,MOD(B178+C178,1),0)
)
&amp; ":" &amp;
TEXT(HOUR(
  NETWORKDAYS(B178,V178)-1
  + IF(WEEKDAY(V178,2)&lt;6,MOD(V178+W178,1),0)
  - IF(WEEKDAY(B178,2)&lt;6,MOD(B178+C178,1),0)
),"00")
&amp; ":" &amp;
TEXT(MINUTE(
  NETWORKDAYS(B178,V178)-1
  + IF(WEEKDAY(V178,2)&lt;6,MOD(V178+W178,1),0)
  - IF(WEEKDAY(B178,2)&lt;6,MOD(B178+C178,1),0)
),"00")</f>
        <v>2:00:17</v>
      </c>
      <c r="AQ178" s="0" t="n">
        <f aca="false">IFERROR(
LEFT(AP178,FIND(":",AP178)-1)
+ MID(AP178,FIND(":",AP178)+1,2)/24
+ RIGHT(AP178,2)/1440,
"")</f>
        <v>2.01180555555556</v>
      </c>
      <c r="AR178" s="0" t="n">
        <f aca="false">WEEKNUM(B178,1)</f>
        <v>8</v>
      </c>
      <c r="AS178" s="17" t="n">
        <f aca="false">IF(B178&gt;0, (B178+C178)-TIME(13,30,0), "")</f>
        <v>46072.3555555556</v>
      </c>
      <c r="AT178" s="18" t="n">
        <f aca="false">IF(B178&gt;0, (B178+C178)-TIME(13,30,0), "")</f>
        <v>46072.3555555556</v>
      </c>
      <c r="AU178" s="17" t="n">
        <f aca="false">IF(V178&gt;0, (V178+W178)-TIME(13,30,0), "")</f>
        <v>46076.3680555556</v>
      </c>
      <c r="AV178" s="18" t="n">
        <f aca="false">IF(V178&gt;0, (V178+W178)-TIME(13,30,0), "")</f>
        <v>46076.3680555556</v>
      </c>
      <c r="AW178" s="19" t="n">
        <f aca="false">24*(
MAX(0,
IF(NETWORKDAYS(AS178,AU178)=1,
MIN(MOD(AV178,1),TIME(17,30,0)) - MAX(MOD(AT178,1),TIME(8,30,0)),
(TIME(17,30,0)-MAX(MOD(AT178,1),TIME(8,30,0)))
+ (MIN(MOD(AV178,1),TIME(17,30,0))-TIME(8,30,0))
+ (NETWORKDAYS(AS178,AU178)-2)*9/24
)
)
)</f>
        <v>18.3</v>
      </c>
      <c r="AX178" s="19" t="n">
        <f aca="false">24*(
MAX(0,
IF(NETWORKDAYS(AS178,AU178)=1,
MIN(MOD(AV178,1),TIME(17,30,0)) - MAX(MOD(AT178,1),TIME(8,30,0)),
(TIME(17,30,0)-MAX(MOD(AT178,1),TIME(8,30,0)))
+ (MIN(MOD(AV178,1),TIME(17,30,0))-TIME(8,30,0))
+ (NETWORKDAYS(AS178,AU178)-2)* (TIME(17,30,0)-TIME(8,30,0))
)
)
)</f>
        <v>18.3</v>
      </c>
      <c r="AY178" s="20" t="n">
        <f aca="false">ROUND(
IF(AS178=AU178,
MAX(0,
(MIN(MOD(AV178,1),TIME(17,30,0))-
MAX(MOD(AT178,1),TIME(8,30,0)))*24
),
(
(MAX(0,TIME(17,30,0)-MAX(MOD(AT178,1),TIME(8,30,0)))*24)
+
(MAX(0,MIN(MOD(AV178,1),TIME(17,30,0))-TIME(8,30,0))*24)
+
(MAX(0,NETWORKDAYS(AS178+1,AU178-1))*9)
)
),
2)</f>
        <v>18.3</v>
      </c>
      <c r="AZ178" s="0" t="n">
        <f aca="false" t="array" ref="AZ178:AZ178">_xlfn.XLOOKUP(J178,{"Low","Medium","High"},{270,72,24})</f>
        <v>270</v>
      </c>
      <c r="BA178" s="0" t="str">
        <f aca="false">IF(AW178&gt;AZ178,"Not Met","Met")</f>
        <v>Met</v>
      </c>
      <c r="BB178" s="21" t="str">
        <f aca="false">IF(AS178="","",TEXT(AS178,"MMM")&amp;"'"&amp;TEXT(AS178,"yy"))</f>
        <v>Feb'26</v>
      </c>
      <c r="BC178" s="0" t="str">
        <f aca="false">IF(AU178="","",TEXT(AU178,"MMM")&amp;"'"&amp;TEXT(AU178,"yy"))</f>
        <v>Feb'26</v>
      </c>
    </row>
    <row r="179" customFormat="false" ht="15" hidden="false" customHeight="false" outlineLevel="0" collapsed="false">
      <c r="A179" s="26" t="s">
        <v>681</v>
      </c>
      <c r="B179" s="56" t="n">
        <v>46073</v>
      </c>
      <c r="C179" s="32" t="n">
        <v>0.0569444444444444</v>
      </c>
      <c r="D179" s="13" t="str">
        <f aca="false">IF(B179="","",TEXT(B179,"MMM")&amp;"'"&amp;TEXT(B179,"yy"))</f>
        <v>Feb'26</v>
      </c>
      <c r="E179" s="27" t="s">
        <v>55</v>
      </c>
      <c r="F179" s="1" t="s">
        <v>39</v>
      </c>
      <c r="G179" s="1" t="str">
        <f aca="false">IF(F179="Closed","Closed","Pending")</f>
        <v>Closed</v>
      </c>
      <c r="H179" s="1" t="s">
        <v>157</v>
      </c>
      <c r="I179" s="42" t="s">
        <v>82</v>
      </c>
      <c r="J179" s="35" t="s">
        <v>74</v>
      </c>
      <c r="K179" s="1" t="s">
        <v>59</v>
      </c>
      <c r="L179" s="1" t="s">
        <v>682</v>
      </c>
      <c r="M179" s="1" t="s">
        <v>683</v>
      </c>
      <c r="N179" s="1" t="s">
        <v>65</v>
      </c>
      <c r="O179" s="1" t="s">
        <v>77</v>
      </c>
      <c r="Q179" s="1" t="s">
        <v>65</v>
      </c>
      <c r="R179" s="1" t="s">
        <v>66</v>
      </c>
      <c r="U179" s="12" t="n">
        <v>0.123611111111111</v>
      </c>
      <c r="V179" s="11" t="n">
        <v>46097</v>
      </c>
      <c r="W179" s="12" t="n">
        <v>0.9625</v>
      </c>
      <c r="X179" s="11" t="n">
        <v>46104</v>
      </c>
      <c r="Y179" s="12" t="n">
        <v>0.884027777777778</v>
      </c>
      <c r="Z179" s="1" t="s">
        <v>108</v>
      </c>
      <c r="AA179" s="1" t="s">
        <v>68</v>
      </c>
      <c r="AB179" s="2" t="e">
        <f aca="false">U179-#REF!</f>
        <v>#REF!</v>
      </c>
      <c r="AC179" s="14" t="n">
        <f aca="false">(V179+W179)-(B179+C179)</f>
        <v>24.9055555555556</v>
      </c>
      <c r="AD179" s="4" t="str">
        <f aca="false">INT((V179+W179)-(B179+C179)) &amp; ":" &amp;
TEXT(HOUR((V179+W179)-(B179+C179)), "00") &amp; ":" &amp;
TEXT(MINUTE((V179+W179)-(B179+C179)), "00")</f>
        <v>24:21:44</v>
      </c>
      <c r="AE179" s="1" t="n">
        <f aca="false">IFERROR(
LEFT(AD179,FIND(":",AD179)-1)
+ MID(AD179,FIND(":",AD179)+1,2)/24
+ RIGHT(AD179,2)/1440,
"")</f>
        <v>24.9055555555556</v>
      </c>
      <c r="AF179" s="4" t="str">
        <f aca="false">INT((X179+Y179)-(B179+C179)) &amp; ":" &amp;
TEXT(HOUR((X179+Y179)-(B179+C179)), "00") &amp; ":" &amp;
TEXT(MINUTE((X179+Y179)-(B179+C179)), "00")</f>
        <v>31:19:51</v>
      </c>
      <c r="AG179" s="4" t="str">
        <f aca="false" t="array" ref="AG179:AG179">INT(_xlfn.XLOOKUP(J179,{"Low","Medium","High","Urgent"},{48,24,12,8})/24) &amp; ":" &amp;
TEXT(MOD(_xlfn.XLOOKUP(J179,{"Low","Medium","High","Urgent"},{48,24,12,8}),24)/24,"hh:mm")</f>
        <v>2:00:00</v>
      </c>
      <c r="AH179" s="4" t="str">
        <f aca="false">IF(AD179&gt;AG179,"Not Met","Met")</f>
        <v>Not Met</v>
      </c>
      <c r="AI179" s="4" t="e">
        <f aca="false">IF(AB179&lt;TIME(0,30,0),"Met","Not Met")</f>
        <v>#REF!</v>
      </c>
      <c r="AN179" s="1" t="str">
        <f aca="false">TEXT(B179,"dd")</f>
        <v>20</v>
      </c>
      <c r="AO179" s="1" t="str">
        <f aca="false">TEXT(X179,"dd")</f>
        <v>23</v>
      </c>
      <c r="AP179" s="16" t="str">
        <f aca="false">INT(
  NETWORKDAYS(B179,V179)-1
  + IF(WEEKDAY(V179,2)&lt;6,MOD(V179+W179,1),0)
  - IF(WEEKDAY(B179,2)&lt;6,MOD(B179+C179,1),0)
)
&amp; ":" &amp;
TEXT(HOUR(
  NETWORKDAYS(B179,V179)-1
  + IF(WEEKDAY(V179,2)&lt;6,MOD(V179+W179,1),0)
  - IF(WEEKDAY(B179,2)&lt;6,MOD(B179+C179,1),0)
),"00")
&amp; ":" &amp;
TEXT(MINUTE(
  NETWORKDAYS(B179,V179)-1
  + IF(WEEKDAY(V179,2)&lt;6,MOD(V179+W179,1),0)
  - IF(WEEKDAY(B179,2)&lt;6,MOD(B179+C179,1),0)
),"00")</f>
        <v>16:21:44</v>
      </c>
      <c r="AQ179" s="0" t="n">
        <f aca="false">IFERROR(
LEFT(AP179,FIND(":",AP179)-1)
+ MID(AP179,FIND(":",AP179)+1,2)/24
+ RIGHT(AP179,2)/1440,
"")</f>
        <v>16.9055555555556</v>
      </c>
      <c r="AR179" s="0" t="n">
        <f aca="false">WEEKNUM(B179,1)</f>
        <v>8</v>
      </c>
      <c r="AS179" s="17" t="n">
        <f aca="false">IF(B179&gt;0, (B179+C179)-TIME(13,30,0), "")</f>
        <v>46072.4944444444</v>
      </c>
      <c r="AT179" s="18" t="n">
        <f aca="false">IF(B179&gt;0, (B179+C179)-TIME(13,30,0), "")</f>
        <v>46072.4944444444</v>
      </c>
      <c r="AU179" s="17" t="n">
        <f aca="false">IF(V179&gt;0, (V179+W179)-TIME(13,30,0), "")</f>
        <v>46097.4</v>
      </c>
      <c r="AV179" s="18" t="n">
        <f aca="false">IF(V179&gt;0, (V179+W179)-TIME(13,30,0), "")</f>
        <v>46097.4</v>
      </c>
      <c r="AW179" s="19" t="n">
        <f aca="false">24*(
MAX(0,
IF(NETWORKDAYS(AS179,AU179)=1,
MIN(MOD(AV179,1),TIME(17,30,0)) - MAX(MOD(AT179,1),TIME(8,30,0)),
(TIME(17,30,0)-MAX(MOD(AT179,1),TIME(8,30,0)))
+ (MIN(MOD(AV179,1),TIME(17,30,0))-TIME(8,30,0))
+ (NETWORKDAYS(AS179,AU179)-2)*9/24
)
)
)</f>
        <v>150.733333333333</v>
      </c>
      <c r="AX179" s="19" t="n">
        <f aca="false">24*(
MAX(0,
IF(NETWORKDAYS(AS179,AU179)=1,
MIN(MOD(AV179,1),TIME(17,30,0)) - MAX(MOD(AT179,1),TIME(8,30,0)),
(TIME(17,30,0)-MAX(MOD(AT179,1),TIME(8,30,0)))
+ (MIN(MOD(AV179,1),TIME(17,30,0))-TIME(8,30,0))
+ (NETWORKDAYS(AS179,AU179)-2)* (TIME(17,30,0)-TIME(8,30,0))
)
)
)</f>
        <v>150.733333333333</v>
      </c>
      <c r="AY179" s="20" t="n">
        <f aca="false">ROUND(
IF(AS179=AU179,
MAX(0,
(MIN(MOD(AV179,1),TIME(17,30,0))-
MAX(MOD(AT179,1),TIME(8,30,0)))*24
),
(
(MAX(0,TIME(17,30,0)-MAX(MOD(AT179,1),TIME(8,30,0)))*24)
+
(MAX(0,MIN(MOD(AV179,1),TIME(17,30,0))-TIME(8,30,0))*24)
+
(MAX(0,NETWORKDAYS(AS179+1,AU179-1))*9)
)
),
2)</f>
        <v>150.73</v>
      </c>
      <c r="AZ179" s="0" t="n">
        <f aca="false" t="array" ref="AZ179:AZ179">_xlfn.XLOOKUP(J179,{"Low","Medium","High"},{270,72,24})</f>
        <v>270</v>
      </c>
      <c r="BA179" s="0" t="str">
        <f aca="false">IF(AW179&gt;AZ179,"Not Met","Met")</f>
        <v>Met</v>
      </c>
      <c r="BB179" s="21" t="str">
        <f aca="false">IF(AS179="","",TEXT(AS179,"MMM")&amp;"'"&amp;TEXT(AS179,"yy"))</f>
        <v>Feb'26</v>
      </c>
      <c r="BC179" s="0" t="str">
        <f aca="false">IF(AU179="","",TEXT(AU179,"MMM")&amp;"'"&amp;TEXT(AU179,"yy"))</f>
        <v>Mar'26</v>
      </c>
    </row>
    <row r="180" customFormat="false" ht="15" hidden="false" customHeight="false" outlineLevel="0" collapsed="false">
      <c r="A180" s="26" t="s">
        <v>684</v>
      </c>
      <c r="B180" s="56" t="n">
        <v>46073</v>
      </c>
      <c r="C180" s="32" t="n">
        <v>0.115277777777778</v>
      </c>
      <c r="D180" s="57" t="str">
        <f aca="false">IF(B180="","",TEXT(B180,"MMM")&amp;"'"&amp;TEXT(B180,"yy"))</f>
        <v>Feb'26</v>
      </c>
      <c r="E180" s="58" t="s">
        <v>55</v>
      </c>
      <c r="F180" s="26" t="s">
        <v>39</v>
      </c>
      <c r="G180" s="33" t="str">
        <f aca="false">IF(F180="Closed","Closed","Pending")</f>
        <v>Closed</v>
      </c>
      <c r="H180" s="26" t="s">
        <v>72</v>
      </c>
      <c r="I180" s="26" t="s">
        <v>298</v>
      </c>
      <c r="J180" s="40" t="s">
        <v>74</v>
      </c>
      <c r="K180" s="26" t="s">
        <v>59</v>
      </c>
      <c r="L180" s="26" t="s">
        <v>685</v>
      </c>
      <c r="M180" s="26" t="s">
        <v>686</v>
      </c>
      <c r="N180" s="26" t="s">
        <v>65</v>
      </c>
      <c r="O180" s="1" t="s">
        <v>106</v>
      </c>
      <c r="P180" s="26"/>
      <c r="Q180" s="26" t="s">
        <v>65</v>
      </c>
      <c r="R180" s="26" t="s">
        <v>87</v>
      </c>
      <c r="S180" s="26"/>
      <c r="T180" s="26"/>
      <c r="U180" s="32" t="n">
        <v>0.123611111111111</v>
      </c>
      <c r="V180" s="56" t="n">
        <v>46073</v>
      </c>
      <c r="W180" s="32" t="n">
        <v>0.838888888888889</v>
      </c>
      <c r="X180" s="56" t="n">
        <v>46074</v>
      </c>
      <c r="Y180" s="12" t="n">
        <v>0.0625</v>
      </c>
      <c r="Z180" s="1" t="s">
        <v>67</v>
      </c>
      <c r="AA180" s="1" t="s">
        <v>68</v>
      </c>
      <c r="AB180" s="2" t="e">
        <f aca="false">U180-#REF!</f>
        <v>#REF!</v>
      </c>
      <c r="AC180" s="14" t="n">
        <f aca="false">(V180+W180)-(B180+C180)</f>
        <v>0.723611111111111</v>
      </c>
      <c r="AD180" s="4" t="str">
        <f aca="false">INT((V180+W180)-(B180+C180)) &amp; ":" &amp;
TEXT(HOUR((V180+W180)-(B180+C180)), "00") &amp; ":" &amp;
TEXT(MINUTE((V180+W180)-(B180+C180)), "00")</f>
        <v>0:17:22</v>
      </c>
      <c r="AE180" s="1" t="n">
        <f aca="false">IFERROR(
LEFT(AD180,FIND(":",AD180)-1)
+ MID(AD180,FIND(":",AD180)+1,2)/24
+ RIGHT(AD180,2)/1440,
"")</f>
        <v>0.723611111111111</v>
      </c>
      <c r="AF180" s="4" t="str">
        <f aca="false">INT((X180+Y180)-(B180+C180)) &amp; ":" &amp;
TEXT(HOUR((X180+Y180)-(B180+C180)), "00") &amp; ":" &amp;
TEXT(MINUTE((X180+Y180)-(B180+C180)), "00")</f>
        <v>0:22:44</v>
      </c>
      <c r="AG180" s="4" t="str">
        <f aca="false" t="array" ref="AG180:AG180">INT(_xlfn.XLOOKUP(J180,{"Low","Medium","High","Urgent"},{48,24,12,8})/24) &amp; ":" &amp;
TEXT(MOD(_xlfn.XLOOKUP(J180,{"Low","Medium","High","Urgent"},{48,24,12,8}),24)/24,"hh:mm")</f>
        <v>2:00:00</v>
      </c>
      <c r="AH180" s="4" t="str">
        <f aca="false">IF(AD180&gt;AG180,"Not Met","Met")</f>
        <v>Met</v>
      </c>
      <c r="AI180" s="4" t="e">
        <f aca="false">IF(AB180&lt;TIME(0,30,0),"Met","Not Met")</f>
        <v>#REF!</v>
      </c>
      <c r="AN180" s="1" t="str">
        <f aca="false">TEXT(B180,"dd")</f>
        <v>20</v>
      </c>
      <c r="AO180" s="1" t="str">
        <f aca="false">TEXT(X180,"dd")</f>
        <v>21</v>
      </c>
      <c r="AP180" s="16" t="str">
        <f aca="false">INT(
  NETWORKDAYS(B180,V180)-1
  + IF(WEEKDAY(V180,2)&lt;6,MOD(V180+W180,1),0)
  - IF(WEEKDAY(B180,2)&lt;6,MOD(B180+C180,1),0)
)
&amp; ":" &amp;
TEXT(HOUR(
  NETWORKDAYS(B180,V180)-1
  + IF(WEEKDAY(V180,2)&lt;6,MOD(V180+W180,1),0)
  - IF(WEEKDAY(B180,2)&lt;6,MOD(B180+C180,1),0)
),"00")
&amp; ":" &amp;
TEXT(MINUTE(
  NETWORKDAYS(B180,V180)-1
  + IF(WEEKDAY(V180,2)&lt;6,MOD(V180+W180,1),0)
  - IF(WEEKDAY(B180,2)&lt;6,MOD(B180+C180,1),0)
),"00")</f>
        <v>0:17:22</v>
      </c>
      <c r="AQ180" s="0" t="n">
        <f aca="false">IFERROR(
LEFT(AP180,FIND(":",AP180)-1)
+ MID(AP180,FIND(":",AP180)+1,2)/24
+ RIGHT(AP180,2)/1440,
"")</f>
        <v>0.723611111111111</v>
      </c>
      <c r="AR180" s="0" t="n">
        <f aca="false">WEEKNUM(B180,1)</f>
        <v>8</v>
      </c>
      <c r="AS180" s="17" t="n">
        <f aca="false">IF(B180&gt;0, (B180+C180)-TIME(13,30,0), "")</f>
        <v>46072.5527777778</v>
      </c>
      <c r="AT180" s="18" t="n">
        <f aca="false">IF(B180&gt;0, (B180+C180)-TIME(13,30,0), "")</f>
        <v>46072.5527777778</v>
      </c>
      <c r="AU180" s="17" t="n">
        <f aca="false">IF(V180&gt;0, (V180+W180)-TIME(13,30,0), "")</f>
        <v>46073.2763888889</v>
      </c>
      <c r="AV180" s="18" t="n">
        <f aca="false">IF(V180&gt;0, (V180+W180)-TIME(13,30,0), "")</f>
        <v>46073.2763888889</v>
      </c>
      <c r="AW180" s="19" t="n">
        <f aca="false">24*(
MAX(0,
IF(NETWORKDAYS(AS180,AU180)=1,
MIN(MOD(AV180,1),TIME(17,30,0)) - MAX(MOD(AT180,1),TIME(8,30,0)),
(TIME(17,30,0)-MAX(MOD(AT180,1),TIME(8,30,0)))
+ (MIN(MOD(AV180,1),TIME(17,30,0))-TIME(8,30,0))
+ (NETWORKDAYS(AS180,AU180)-2)*9/24
)
)
)</f>
        <v>2.36666666666667</v>
      </c>
      <c r="AX180" s="19" t="n">
        <f aca="false">24*(
MAX(0,
IF(NETWORKDAYS(AS180,AU180)=1,
MIN(MOD(AV180,1),TIME(17,30,0)) - MAX(MOD(AT180,1),TIME(8,30,0)),
(TIME(17,30,0)-MAX(MOD(AT180,1),TIME(8,30,0)))
+ (MIN(MOD(AV180,1),TIME(17,30,0))-TIME(8,30,0))
+ (NETWORKDAYS(AS180,AU180)-2)* (TIME(17,30,0)-TIME(8,30,0))
)
)
)</f>
        <v>2.36666666666667</v>
      </c>
      <c r="AY180" s="20" t="n">
        <f aca="false">ROUND(
IF(AS180=AU180,
MAX(0,
(MIN(MOD(AV180,1),TIME(17,30,0))-
MAX(MOD(AT180,1),TIME(8,30,0)))*24
),
(
(MAX(0,TIME(17,30,0)-MAX(MOD(AT180,1),TIME(8,30,0)))*24)
+
(MAX(0,MIN(MOD(AV180,1),TIME(17,30,0))-TIME(8,30,0))*24)
+
(MAX(0,NETWORKDAYS(AS180+1,AU180-1))*9)
)
),
2)</f>
        <v>4.23</v>
      </c>
      <c r="AZ180" s="0" t="n">
        <f aca="false" t="array" ref="AZ180:AZ180">_xlfn.XLOOKUP(J180,{"Low","Medium","High"},{270,72,24})</f>
        <v>270</v>
      </c>
      <c r="BA180" s="0" t="str">
        <f aca="false">IF(AW180&gt;AZ180,"Not Met","Met")</f>
        <v>Met</v>
      </c>
      <c r="BB180" s="21" t="str">
        <f aca="false">IF(AS180="","",TEXT(AS180,"MMM")&amp;"'"&amp;TEXT(AS180,"yy"))</f>
        <v>Feb'26</v>
      </c>
      <c r="BC180" s="0" t="str">
        <f aca="false">IF(AU180="","",TEXT(AU180,"MMM")&amp;"'"&amp;TEXT(AU180,"yy"))</f>
        <v>Feb'26</v>
      </c>
    </row>
    <row r="181" customFormat="false" ht="15" hidden="false" customHeight="false" outlineLevel="0" collapsed="false">
      <c r="A181" s="23" t="s">
        <v>687</v>
      </c>
      <c r="B181" s="11" t="n">
        <v>46074</v>
      </c>
      <c r="C181" s="12" t="n">
        <v>0.0625</v>
      </c>
      <c r="D181" s="13" t="str">
        <f aca="false">IF(B181="","",TEXT(B181,"MMM")&amp;"'"&amp;TEXT(B181,"yy"))</f>
        <v>Feb'26</v>
      </c>
      <c r="E181" s="1" t="s">
        <v>55</v>
      </c>
      <c r="F181" s="1" t="s">
        <v>39</v>
      </c>
      <c r="G181" s="1" t="str">
        <f aca="false">IF(F181="Closed","Closed","Pending")</f>
        <v>Closed</v>
      </c>
      <c r="H181" s="1" t="s">
        <v>72</v>
      </c>
      <c r="I181" s="1" t="s">
        <v>327</v>
      </c>
      <c r="J181" s="1" t="s">
        <v>74</v>
      </c>
      <c r="K181" s="1" t="s">
        <v>59</v>
      </c>
      <c r="L181" s="1" t="s">
        <v>688</v>
      </c>
      <c r="M181" s="1" t="s">
        <v>689</v>
      </c>
      <c r="N181" s="1" t="s">
        <v>62</v>
      </c>
      <c r="O181" s="1" t="s">
        <v>63</v>
      </c>
      <c r="P181" s="1" t="s">
        <v>77</v>
      </c>
      <c r="Q181" s="1" t="s">
        <v>65</v>
      </c>
      <c r="R181" s="1" t="s">
        <v>87</v>
      </c>
      <c r="U181" s="12" t="n">
        <v>0.0652777777777778</v>
      </c>
      <c r="V181" s="11" t="n">
        <v>46093</v>
      </c>
      <c r="W181" s="12" t="n">
        <v>0.0534722222222222</v>
      </c>
      <c r="X181" s="11" t="n">
        <v>46102</v>
      </c>
      <c r="Y181" s="59" t="n">
        <v>0.188888888888889</v>
      </c>
      <c r="Z181" s="1" t="s">
        <v>108</v>
      </c>
      <c r="AA181" s="1" t="s">
        <v>68</v>
      </c>
      <c r="AB181" s="2" t="e">
        <f aca="false">U181-#REF!</f>
        <v>#REF!</v>
      </c>
      <c r="AC181" s="14" t="n">
        <f aca="false">(V181+W181)-(B181+C181)</f>
        <v>18.9909722222222</v>
      </c>
      <c r="AD181" s="4" t="str">
        <f aca="false">INT((V181+W181)-(B181+C181)) &amp; ":" &amp;
TEXT(HOUR((V181+W181)-(B181+C181)), "00") &amp; ":" &amp;
TEXT(MINUTE((V181+W181)-(B181+C181)), "00")</f>
        <v>18:23:47</v>
      </c>
      <c r="AE181" s="1" t="n">
        <f aca="false">IFERROR(
LEFT(AD181,FIND(":",AD181)-1)
+ MID(AD181,FIND(":",AD181)+1,2)/24
+ RIGHT(AD181,2)/1440,
"")</f>
        <v>18.9909722222222</v>
      </c>
      <c r="AF181" s="4" t="str">
        <f aca="false">INT((X181+Y181)-(B181+C181)) &amp; ":" &amp;
TEXT(HOUR((X181+Y181)-(B181+C181)), "00") &amp; ":" &amp;
TEXT(MINUTE((X181+Y181)-(B181+C181)), "00")</f>
        <v>28:03:02</v>
      </c>
      <c r="AG181" s="4" t="str">
        <f aca="false" t="array" ref="AG181:AG181">INT(_xlfn.XLOOKUP(J181,{"Low","Medium","High","Urgent"},{48,24,12,8})/24) &amp; ":" &amp;
TEXT(MOD(_xlfn.XLOOKUP(J181,{"Low","Medium","High","Urgent"},{48,24,12,8}),24)/24,"hh:mm")</f>
        <v>2:00:00</v>
      </c>
      <c r="AH181" s="4" t="str">
        <f aca="false">IF(AD181&gt;AG181,"Not Met","Met")</f>
        <v>Met</v>
      </c>
      <c r="AI181" s="4" t="e">
        <f aca="false">IF(AB181&lt;TIME(0,30,0),"Met","Not Met")</f>
        <v>#REF!</v>
      </c>
      <c r="AN181" s="1" t="str">
        <f aca="false">TEXT(B181,"dd")</f>
        <v>21</v>
      </c>
      <c r="AO181" s="1" t="str">
        <f aca="false">TEXT(X181,"dd")</f>
        <v>21</v>
      </c>
      <c r="AP181" s="16" t="str">
        <f aca="false">INT(
  NETWORKDAYS(B181,V181)-1
  + IF(WEEKDAY(V181,2)&lt;6,MOD(V181+W181,1),0)
  - IF(WEEKDAY(B181,2)&lt;6,MOD(B181+C181,1),0)
)
&amp; ":" &amp;
TEXT(HOUR(
  NETWORKDAYS(B181,V181)-1
  + IF(WEEKDAY(V181,2)&lt;6,MOD(V181+W181,1),0)
  - IF(WEEKDAY(B181,2)&lt;6,MOD(B181+C181,1),0)
),"00")
&amp; ":" &amp;
TEXT(MINUTE(
  NETWORKDAYS(B181,V181)-1
  + IF(WEEKDAY(V181,2)&lt;6,MOD(V181+W181,1),0)
  - IF(WEEKDAY(B181,2)&lt;6,MOD(B181+C181,1),0)
),"00")</f>
        <v>13:01:16</v>
      </c>
      <c r="AQ181" s="0" t="n">
        <f aca="false">IFERROR(
LEFT(AP181,FIND(":",AP181)-1)
+ MID(AP181,FIND(":",AP181)+1,2)/24
+ RIGHT(AP181,2)/1440,
"")</f>
        <v>13.0527777777778</v>
      </c>
      <c r="AR181" s="0" t="n">
        <f aca="false">WEEKNUM(B181,1)</f>
        <v>8</v>
      </c>
      <c r="AS181" s="17" t="n">
        <f aca="false">IF(B181&gt;0, (B181+C181)-TIME(13,30,0), "")</f>
        <v>46073.5</v>
      </c>
      <c r="AT181" s="18" t="n">
        <f aca="false">IF(B181&gt;0, (B181+C181)-TIME(13,30,0), "")</f>
        <v>46073.5</v>
      </c>
      <c r="AU181" s="17" t="n">
        <f aca="false">IF(V181&gt;0, (V181+W181)-TIME(13,30,0), "")</f>
        <v>46092.4909722222</v>
      </c>
      <c r="AV181" s="18" t="n">
        <f aca="false">IF(V181&gt;0, (V181+W181)-TIME(13,30,0), "")</f>
        <v>46092.4909722222</v>
      </c>
      <c r="AW181" s="19" t="n">
        <f aca="false">24*(
MAX(0,
IF(NETWORKDAYS(AS181,AU181)=1,
MIN(MOD(AV181,1),TIME(17,30,0)) - MAX(MOD(AT181,1),TIME(8,30,0)),
(TIME(17,30,0)-MAX(MOD(AT181,1),TIME(8,30,0)))
+ (MIN(MOD(AV181,1),TIME(17,30,0))-TIME(8,30,0))
+ (NETWORKDAYS(AS181,AU181)-2)*9/24
)
)
)</f>
        <v>116.783333333333</v>
      </c>
      <c r="AX181" s="19" t="n">
        <f aca="false">24*(
MAX(0,
IF(NETWORKDAYS(AS181,AU181)=1,
MIN(MOD(AV181,1),TIME(17,30,0)) - MAX(MOD(AT181,1),TIME(8,30,0)),
(TIME(17,30,0)-MAX(MOD(AT181,1),TIME(8,30,0)))
+ (MIN(MOD(AV181,1),TIME(17,30,0))-TIME(8,30,0))
+ (NETWORKDAYS(AS181,AU181)-2)* (TIME(17,30,0)-TIME(8,30,0))
)
)
)</f>
        <v>116.783333333333</v>
      </c>
      <c r="AY181" s="20" t="n">
        <f aca="false">ROUND(
IF(AS181=AU181,
MAX(0,
(MIN(MOD(AV181,1),TIME(17,30,0))-
MAX(MOD(AT181,1),TIME(8,30,0)))*24
),
(
(MAX(0,TIME(17,30,0)-MAX(MOD(AT181,1),TIME(8,30,0)))*24)
+
(MAX(0,MIN(MOD(AV181,1),TIME(17,30,0))-TIME(8,30,0))*24)
+
(MAX(0,NETWORKDAYS(AS181+1,AU181-1))*9)
)
),
2)</f>
        <v>116.78</v>
      </c>
      <c r="AZ181" s="0" t="n">
        <f aca="false" t="array" ref="AZ181:AZ181">_xlfn.XLOOKUP(J181,{"Low","Medium","High"},{270,72,24})</f>
        <v>270</v>
      </c>
      <c r="BA181" s="0" t="str">
        <f aca="false">IF(AW181&gt;AZ181,"Not Met","Met")</f>
        <v>Met</v>
      </c>
      <c r="BB181" s="21" t="str">
        <f aca="false">IF(AS181="","",TEXT(AS181,"MMM")&amp;"'"&amp;TEXT(AS181,"yy"))</f>
        <v>Feb'26</v>
      </c>
      <c r="BC181" s="0" t="str">
        <f aca="false">IF(AU181="","",TEXT(AU181,"MMM")&amp;"'"&amp;TEXT(AU181,"yy"))</f>
        <v>Mar'26</v>
      </c>
    </row>
    <row r="182" customFormat="false" ht="15" hidden="false" customHeight="false" outlineLevel="0" collapsed="false">
      <c r="A182" s="23" t="s">
        <v>690</v>
      </c>
      <c r="B182" s="11" t="n">
        <v>46074</v>
      </c>
      <c r="C182" s="12" t="n">
        <v>0.130555555555556</v>
      </c>
      <c r="D182" s="13" t="str">
        <f aca="false">IF(B182="","",TEXT(B182,"MMM")&amp;"'"&amp;TEXT(B182,"yy"))</f>
        <v>Feb'26</v>
      </c>
      <c r="E182" s="1" t="s">
        <v>55</v>
      </c>
      <c r="F182" s="1" t="s">
        <v>39</v>
      </c>
      <c r="G182" s="1" t="str">
        <f aca="false">IF(F182="Closed","Closed","Pending")</f>
        <v>Closed</v>
      </c>
      <c r="H182" s="26" t="s">
        <v>691</v>
      </c>
      <c r="I182" s="26" t="s">
        <v>663</v>
      </c>
      <c r="J182" s="26" t="s">
        <v>74</v>
      </c>
      <c r="K182" s="26" t="s">
        <v>59</v>
      </c>
      <c r="L182" s="1" t="s">
        <v>692</v>
      </c>
      <c r="M182" s="1" t="s">
        <v>693</v>
      </c>
      <c r="N182" s="1" t="s">
        <v>65</v>
      </c>
      <c r="O182" s="1" t="s">
        <v>106</v>
      </c>
      <c r="Q182" s="1" t="s">
        <v>65</v>
      </c>
      <c r="R182" s="1" t="s">
        <v>87</v>
      </c>
      <c r="U182" s="25" t="n">
        <v>46076.9340277778</v>
      </c>
      <c r="V182" s="11" t="n">
        <v>46084</v>
      </c>
      <c r="W182" s="12" t="n">
        <v>0.920138888888889</v>
      </c>
      <c r="X182" s="11" t="n">
        <v>46085</v>
      </c>
      <c r="Y182" s="59" t="n">
        <v>0.05625</v>
      </c>
      <c r="Z182" s="1" t="s">
        <v>67</v>
      </c>
      <c r="AA182" s="1" t="s">
        <v>68</v>
      </c>
      <c r="AB182" s="2" t="n">
        <v>0.934027777777778</v>
      </c>
      <c r="AC182" s="14" t="n">
        <f aca="false">(V182+W182)-(B182+C182)</f>
        <v>10.7895833333333</v>
      </c>
      <c r="AD182" s="4" t="str">
        <f aca="false">INT((V182+W182)-(B182+C182)) &amp; ":" &amp;
TEXT(HOUR((V182+W182)-(B182+C182)), "00") &amp; ":" &amp;
TEXT(MINUTE((V182+W182)-(B182+C182)), "00")</f>
        <v>10:18:57</v>
      </c>
      <c r="AE182" s="1" t="n">
        <f aca="false">IFERROR(
LEFT(AD182,FIND(":",AD182)-1)
+ MID(AD182,FIND(":",AD182)+1,2)/24
+ RIGHT(AD182,2)/1440,
"")</f>
        <v>10.7895833333333</v>
      </c>
      <c r="AF182" s="4" t="str">
        <f aca="false">INT((X182+Y182)-(B182+C182)) &amp; ":" &amp;
TEXT(HOUR((X182+Y182)-(B182+C182)), "00") &amp; ":" &amp;
TEXT(MINUTE((X182+Y182)-(B182+C182)), "00")</f>
        <v>10:22:13</v>
      </c>
      <c r="AG182" s="4" t="str">
        <f aca="false" t="array" ref="AG182:AG182">INT(_xlfn.XLOOKUP(J182,{"Low","Medium","High","Urgent"},{48,24,12,8})/24) &amp; ":" &amp;
TEXT(MOD(_xlfn.XLOOKUP(J182,{"Low","Medium","High","Urgent"},{48,24,12,8}),24)/24,"hh:mm")</f>
        <v>2:00:00</v>
      </c>
      <c r="AH182" s="4" t="str">
        <f aca="false">IF(AD182&gt;AG182,"Not Met","Met")</f>
        <v>Met</v>
      </c>
      <c r="AI182" s="4" t="str">
        <f aca="false">IF(AB182&lt;TIME(0,30,0),"Met","Not Met")</f>
        <v>Not Met</v>
      </c>
      <c r="AN182" s="1" t="str">
        <f aca="false">TEXT(B182,"dd")</f>
        <v>21</v>
      </c>
      <c r="AO182" s="1" t="str">
        <f aca="false">TEXT(X182,"dd")</f>
        <v>04</v>
      </c>
      <c r="AP182" s="16" t="str">
        <f aca="false">INT(
  NETWORKDAYS(B182,V182)-1
  + IF(WEEKDAY(V182,2)&lt;6,MOD(V182+W182,1),0)
  - IF(WEEKDAY(B182,2)&lt;6,MOD(B182+C182,1),0)
)
&amp; ":" &amp;
TEXT(HOUR(
  NETWORKDAYS(B182,V182)-1
  + IF(WEEKDAY(V182,2)&lt;6,MOD(V182+W182,1),0)
  - IF(WEEKDAY(B182,2)&lt;6,MOD(B182+C182,1),0)
),"00")
&amp; ":" &amp;
TEXT(MINUTE(
  NETWORKDAYS(B182,V182)-1
  + IF(WEEKDAY(V182,2)&lt;6,MOD(V182+W182,1),0)
  - IF(WEEKDAY(B182,2)&lt;6,MOD(B182+C182,1),0)
),"00")</f>
        <v>6:22:05</v>
      </c>
      <c r="AQ182" s="0" t="n">
        <f aca="false">IFERROR(
LEFT(AP182,FIND(":",AP182)-1)
+ MID(AP182,FIND(":",AP182)+1,2)/24
+ RIGHT(AP182,2)/1440,
"")</f>
        <v>6.92013888888889</v>
      </c>
      <c r="AR182" s="0" t="n">
        <f aca="false">WEEKNUM(B182,1)</f>
        <v>8</v>
      </c>
      <c r="AS182" s="17" t="n">
        <f aca="false">IF(B182&gt;0, (B182+C182)-TIME(13,30,0), "")</f>
        <v>46073.5680555556</v>
      </c>
      <c r="AT182" s="18" t="n">
        <f aca="false">IF(B182&gt;0, (B182+C182)-TIME(13,30,0), "")</f>
        <v>46073.5680555556</v>
      </c>
      <c r="AU182" s="17" t="n">
        <f aca="false">IF(V182&gt;0, (V182+W182)-TIME(13,30,0), "")</f>
        <v>46084.3576388889</v>
      </c>
      <c r="AV182" s="18" t="n">
        <f aca="false">IF(V182&gt;0, (V182+W182)-TIME(13,30,0), "")</f>
        <v>46084.3576388889</v>
      </c>
      <c r="AW182" s="19" t="n">
        <f aca="false">24*(
MAX(0,
IF(NETWORKDAYS(AS182,AU182)=1,
MIN(MOD(AV182,1),TIME(17,30,0)) - MAX(MOD(AT182,1),TIME(8,30,0)),
(TIME(17,30,0)-MAX(MOD(AT182,1),TIME(8,30,0)))
+ (MIN(MOD(AV182,1),TIME(17,30,0))-TIME(8,30,0))
+ (NETWORKDAYS(AS182,AU182)-2)*9/24
)
)
)</f>
        <v>57.95</v>
      </c>
      <c r="AX182" s="19" t="n">
        <f aca="false">24*(
MAX(0,
IF(NETWORKDAYS(AS182,AU182)=1,
MIN(MOD(AV182,1),TIME(17,30,0)) - MAX(MOD(AT182,1),TIME(8,30,0)),
(TIME(17,30,0)-MAX(MOD(AT182,1),TIME(8,30,0)))
+ (MIN(MOD(AV182,1),TIME(17,30,0))-TIME(8,30,0))
+ (NETWORKDAYS(AS182,AU182)-2)* (TIME(17,30,0)-TIME(8,30,0))
)
)
)</f>
        <v>57.95</v>
      </c>
      <c r="AY182" s="20" t="n">
        <f aca="false">ROUND(
IF(AS182=AU182,
MAX(0,
(MIN(MOD(AV182,1),TIME(17,30,0))-
MAX(MOD(AT182,1),TIME(8,30,0)))*24
),
(
(MAX(0,TIME(17,30,0)-MAX(MOD(AT182,1),TIME(8,30,0)))*24)
+
(MAX(0,MIN(MOD(AV182,1),TIME(17,30,0))-TIME(8,30,0))*24)
+
(MAX(0,NETWORKDAYS(AS182+1,AU182-1))*9)
)
),
2)</f>
        <v>57.95</v>
      </c>
      <c r="AZ182" s="0" t="n">
        <f aca="false" t="array" ref="AZ182:AZ182">_xlfn.XLOOKUP(J182,{"Low","Medium","High"},{270,72,24})</f>
        <v>270</v>
      </c>
      <c r="BA182" s="0" t="str">
        <f aca="false">IF(AW182&gt;AZ182,"Not Met","Met")</f>
        <v>Met</v>
      </c>
      <c r="BB182" s="21" t="str">
        <f aca="false">IF(AS182="","",TEXT(AS182,"MMM")&amp;"'"&amp;TEXT(AS182,"yy"))</f>
        <v>Feb'26</v>
      </c>
      <c r="BC182" s="0" t="str">
        <f aca="false">IF(AU182="","",TEXT(AU182,"MMM")&amp;"'"&amp;TEXT(AU182,"yy"))</f>
        <v>Mar'26</v>
      </c>
    </row>
    <row r="183" customFormat="false" ht="15" hidden="false" customHeight="false" outlineLevel="0" collapsed="false">
      <c r="A183" s="1" t="s">
        <v>694</v>
      </c>
      <c r="B183" s="11" t="n">
        <v>46077</v>
      </c>
      <c r="C183" s="12" t="n">
        <v>0.0430555555555556</v>
      </c>
      <c r="D183" s="13" t="str">
        <f aca="false">IF(B183="","",TEXT(B183,"MMM")&amp;"'"&amp;TEXT(B183,"yy"))</f>
        <v>Feb'26</v>
      </c>
      <c r="E183" s="1" t="s">
        <v>55</v>
      </c>
      <c r="F183" s="1" t="s">
        <v>39</v>
      </c>
      <c r="G183" s="1" t="str">
        <f aca="false">IF(F183="Closed","Closed","Pending")</f>
        <v>Closed</v>
      </c>
      <c r="H183" s="1" t="s">
        <v>185</v>
      </c>
      <c r="I183" s="1" t="s">
        <v>302</v>
      </c>
      <c r="J183" s="1" t="s">
        <v>74</v>
      </c>
      <c r="K183" s="1" t="s">
        <v>59</v>
      </c>
      <c r="L183" s="35" t="s">
        <v>695</v>
      </c>
      <c r="M183" s="1" t="s">
        <v>696</v>
      </c>
      <c r="N183" s="1" t="s">
        <v>65</v>
      </c>
      <c r="O183" s="1" t="s">
        <v>77</v>
      </c>
      <c r="Q183" s="1" t="s">
        <v>65</v>
      </c>
      <c r="R183" s="1" t="s">
        <v>87</v>
      </c>
      <c r="U183" s="12" t="n">
        <v>0.0493055555555556</v>
      </c>
      <c r="V183" s="11" t="n">
        <v>46080</v>
      </c>
      <c r="W183" s="12" t="n">
        <v>0.95</v>
      </c>
      <c r="X183" s="11" t="n">
        <v>46081</v>
      </c>
      <c r="Y183" s="59" t="n">
        <v>0.0291666666666667</v>
      </c>
      <c r="Z183" s="1" t="s">
        <v>108</v>
      </c>
      <c r="AA183" s="1" t="s">
        <v>68</v>
      </c>
      <c r="AB183" s="2" t="e">
        <f aca="false">U183-#REF!</f>
        <v>#REF!</v>
      </c>
      <c r="AC183" s="14" t="n">
        <f aca="false">(V183+W183)-(B183+C183)</f>
        <v>3.90694444444444</v>
      </c>
      <c r="AD183" s="4" t="str">
        <f aca="false">INT((V183+W183)-(B183+C183)) &amp; ":" &amp;
TEXT(HOUR((V183+W183)-(B183+C183)), "00") &amp; ":" &amp;
TEXT(MINUTE((V183+W183)-(B183+C183)), "00")</f>
        <v>3:21:46</v>
      </c>
      <c r="AE183" s="1" t="n">
        <f aca="false">IFERROR(
LEFT(AD183,FIND(":",AD183)-1)
+ MID(AD183,FIND(":",AD183)+1,2)/24
+ RIGHT(AD183,2)/1440,
"")</f>
        <v>3.90694444444444</v>
      </c>
      <c r="AF183" s="4" t="str">
        <f aca="false">INT((X183+Y183)-(B183+C183)) &amp; ":" &amp;
TEXT(HOUR((X183+Y183)-(B183+C183)), "00") &amp; ":" &amp;
TEXT(MINUTE((X183+Y183)-(B183+C183)), "00")</f>
        <v>3:23:40</v>
      </c>
      <c r="AG183" s="4" t="str">
        <f aca="false" t="array" ref="AG183:AG183">INT(_xlfn.XLOOKUP(J183,{"Low","Medium","High","Urgent"},{48,24,12,8})/24) &amp; ":" &amp;
TEXT(MOD(_xlfn.XLOOKUP(J183,{"Low","Medium","High","Urgent"},{48,24,12,8}),24)/24,"hh:mm")</f>
        <v>2:00:00</v>
      </c>
      <c r="AH183" s="4" t="str">
        <f aca="false">IF(AD183&gt;AG183,"Not Met","Met")</f>
        <v>Not Met</v>
      </c>
      <c r="AI183" s="4" t="e">
        <f aca="false">IF(AB183&lt;TIME(0,30,0),"Met","Not Met")</f>
        <v>#REF!</v>
      </c>
      <c r="AN183" s="1" t="str">
        <f aca="false">TEXT(B183,"dd")</f>
        <v>24</v>
      </c>
      <c r="AO183" s="1" t="str">
        <f aca="false">TEXT(X183,"dd")</f>
        <v>28</v>
      </c>
      <c r="AP183" s="16" t="str">
        <f aca="false">INT(
  NETWORKDAYS(B183,V183)-1
  + IF(WEEKDAY(V183,2)&lt;6,MOD(V183+W183,1),0)
  - IF(WEEKDAY(B183,2)&lt;6,MOD(B183+C183,1),0)
)
&amp; ":" &amp;
TEXT(HOUR(
  NETWORKDAYS(B183,V183)-1
  + IF(WEEKDAY(V183,2)&lt;6,MOD(V183+W183,1),0)
  - IF(WEEKDAY(B183,2)&lt;6,MOD(B183+C183,1),0)
),"00")
&amp; ":" &amp;
TEXT(MINUTE(
  NETWORKDAYS(B183,V183)-1
  + IF(WEEKDAY(V183,2)&lt;6,MOD(V183+W183,1),0)
  - IF(WEEKDAY(B183,2)&lt;6,MOD(B183+C183,1),0)
),"00")</f>
        <v>3:21:45</v>
      </c>
      <c r="AQ183" s="0" t="n">
        <f aca="false">IFERROR(
LEFT(AP183,FIND(":",AP183)-1)
+ MID(AP183,FIND(":",AP183)+1,2)/24
+ RIGHT(AP183,2)/1440,
"")</f>
        <v>3.90625</v>
      </c>
      <c r="AR183" s="0" t="n">
        <f aca="false">WEEKNUM(B183,1)</f>
        <v>9</v>
      </c>
      <c r="AS183" s="17" t="n">
        <f aca="false">IF(B183&gt;0, (B183+C183)-TIME(13,30,0), "")</f>
        <v>46076.4805555556</v>
      </c>
      <c r="AT183" s="18" t="n">
        <f aca="false">IF(B183&gt;0, (B183+C183)-TIME(13,30,0), "")</f>
        <v>46076.4805555556</v>
      </c>
      <c r="AU183" s="17" t="n">
        <f aca="false">IF(V183&gt;0, (V183+W183)-TIME(13,30,0), "")</f>
        <v>46080.3875</v>
      </c>
      <c r="AV183" s="18" t="n">
        <f aca="false">IF(V183&gt;0, (V183+W183)-TIME(13,30,0), "")</f>
        <v>46080.3875</v>
      </c>
      <c r="AW183" s="19" t="n">
        <f aca="false">24*(
MAX(0,
IF(NETWORKDAYS(AS183,AU183)=1,
MIN(MOD(AV183,1),TIME(17,30,0)) - MAX(MOD(AT183,1),TIME(8,30,0)),
(TIME(17,30,0)-MAX(MOD(AT183,1),TIME(8,30,0)))
+ (MIN(MOD(AV183,1),TIME(17,30,0))-TIME(8,30,0))
+ (NETWORKDAYS(AS183,AU183)-2)*9/24
)
)
)</f>
        <v>33.7666666666667</v>
      </c>
      <c r="AX183" s="19" t="n">
        <f aca="false">24*(
MAX(0,
IF(NETWORKDAYS(AS183,AU183)=1,
MIN(MOD(AV183,1),TIME(17,30,0)) - MAX(MOD(AT183,1),TIME(8,30,0)),
(TIME(17,30,0)-MAX(MOD(AT183,1),TIME(8,30,0)))
+ (MIN(MOD(AV183,1),TIME(17,30,0))-TIME(8,30,0))
+ (NETWORKDAYS(AS183,AU183)-2)* (TIME(17,30,0)-TIME(8,30,0))
)
)
)</f>
        <v>33.7666666666667</v>
      </c>
      <c r="AY183" s="20" t="n">
        <f aca="false">ROUND(
IF(AS183=AU183,
MAX(0,
(MIN(MOD(AV183,1),TIME(17,30,0))-
MAX(MOD(AT183,1),TIME(8,30,0)))*24
),
(
(MAX(0,TIME(17,30,0)-MAX(MOD(AT183,1),TIME(8,30,0)))*24)
+
(MAX(0,MIN(MOD(AV183,1),TIME(17,30,0))-TIME(8,30,0))*24)
+
(MAX(0,NETWORKDAYS(AS183+1,AU183-1))*9)
)
),
2)</f>
        <v>33.77</v>
      </c>
      <c r="AZ183" s="0" t="n">
        <f aca="false" t="array" ref="AZ183:AZ183">_xlfn.XLOOKUP(J183,{"Low","Medium","High"},{270,72,24})</f>
        <v>270</v>
      </c>
      <c r="BA183" s="0" t="str">
        <f aca="false">IF(AW183&gt;AZ183,"Not Met","Met")</f>
        <v>Met</v>
      </c>
      <c r="BB183" s="21" t="str">
        <f aca="false">IF(AS183="","",TEXT(AS183,"MMM")&amp;"'"&amp;TEXT(AS183,"yy"))</f>
        <v>Feb'26</v>
      </c>
      <c r="BC183" s="0" t="str">
        <f aca="false">IF(AU183="","",TEXT(AU183,"MMM")&amp;"'"&amp;TEXT(AU183,"yy"))</f>
        <v>Feb'26</v>
      </c>
    </row>
    <row r="184" customFormat="false" ht="15" hidden="false" customHeight="false" outlineLevel="0" collapsed="false">
      <c r="A184" s="1" t="s">
        <v>697</v>
      </c>
      <c r="B184" s="11" t="n">
        <v>46077</v>
      </c>
      <c r="C184" s="12" t="n">
        <v>0.0645833333333333</v>
      </c>
      <c r="D184" s="13" t="str">
        <f aca="false">IF(B184="","",TEXT(B184,"MMM")&amp;"'"&amp;TEXT(B184,"yy"))</f>
        <v>Feb'26</v>
      </c>
      <c r="E184" s="1" t="s">
        <v>55</v>
      </c>
      <c r="F184" s="1" t="s">
        <v>39</v>
      </c>
      <c r="G184" s="1" t="str">
        <f aca="false">IF(F184="Closed","Closed","Pending")</f>
        <v>Closed</v>
      </c>
      <c r="H184" s="42" t="s">
        <v>157</v>
      </c>
      <c r="I184" s="42" t="s">
        <v>639</v>
      </c>
      <c r="J184" s="42" t="s">
        <v>74</v>
      </c>
      <c r="K184" s="42" t="s">
        <v>59</v>
      </c>
      <c r="L184" s="1" t="s">
        <v>698</v>
      </c>
      <c r="M184" s="1" t="s">
        <v>699</v>
      </c>
      <c r="N184" s="1" t="s">
        <v>65</v>
      </c>
      <c r="O184" s="1" t="s">
        <v>106</v>
      </c>
      <c r="Q184" s="1" t="s">
        <v>65</v>
      </c>
      <c r="R184" s="1" t="s">
        <v>426</v>
      </c>
      <c r="U184" s="12" t="n">
        <v>0.0861111111111111</v>
      </c>
      <c r="V184" s="11" t="n">
        <v>46077</v>
      </c>
      <c r="W184" s="12" t="n">
        <v>0.950694444444444</v>
      </c>
      <c r="X184" s="11" t="n">
        <v>46078</v>
      </c>
      <c r="Y184" s="59" t="n">
        <v>0.0347222222222222</v>
      </c>
      <c r="Z184" s="1" t="s">
        <v>67</v>
      </c>
      <c r="AB184" s="2" t="e">
        <f aca="false">U184-#REF!</f>
        <v>#REF!</v>
      </c>
      <c r="AC184" s="14" t="n">
        <f aca="false">(V184+W184)-(B184+C184)</f>
        <v>0.886111111111111</v>
      </c>
      <c r="AD184" s="4" t="str">
        <f aca="false">INT((V184+W184)-(B184+C184)) &amp; ":" &amp;
TEXT(HOUR((V184+W184)-(B184+C184)), "00") &amp; ":" &amp;
TEXT(MINUTE((V184+W184)-(B184+C184)), "00")</f>
        <v>0:21:16</v>
      </c>
      <c r="AE184" s="1" t="n">
        <f aca="false">IFERROR(
LEFT(AD184,FIND(":",AD184)-1)
+ MID(AD184,FIND(":",AD184)+1,2)/24
+ RIGHT(AD184,2)/1440,
"")</f>
        <v>0.886111111111111</v>
      </c>
      <c r="AF184" s="4" t="str">
        <f aca="false">INT((X184+Y184)-(B184+C184)) &amp; ":" &amp;
TEXT(HOUR((X184+Y184)-(B184+C184)), "00") &amp; ":" &amp;
TEXT(MINUTE((X184+Y184)-(B184+C184)), "00")</f>
        <v>0:23:17</v>
      </c>
      <c r="AG184" s="4" t="str">
        <f aca="false" t="array" ref="AG184:AG184">INT(_xlfn.XLOOKUP(J184,{"Low","Medium","High","Urgent"},{48,24,12,8})/24) &amp; ":" &amp;
TEXT(MOD(_xlfn.XLOOKUP(J184,{"Low","Medium","High","Urgent"},{48,24,12,8}),24)/24,"hh:mm")</f>
        <v>2:00:00</v>
      </c>
      <c r="AH184" s="4" t="str">
        <f aca="false">IF(AD184&gt;AG184,"Not Met","Met")</f>
        <v>Met</v>
      </c>
      <c r="AI184" s="4" t="e">
        <f aca="false">IF(AB184&lt;TIME(0,30,0),"Met","Not Met")</f>
        <v>#REF!</v>
      </c>
      <c r="AN184" s="1" t="str">
        <f aca="false">TEXT(B184,"dd")</f>
        <v>24</v>
      </c>
      <c r="AO184" s="1" t="str">
        <f aca="false">TEXT(X184,"dd")</f>
        <v>25</v>
      </c>
      <c r="AP184" s="16" t="str">
        <f aca="false">INT(
  NETWORKDAYS(B184,V184)-1
  + IF(WEEKDAY(V184,2)&lt;6,MOD(V184+W184,1),0)
  - IF(WEEKDAY(B184,2)&lt;6,MOD(B184+C184,1),0)
)
&amp; ":" &amp;
TEXT(HOUR(
  NETWORKDAYS(B184,V184)-1
  + IF(WEEKDAY(V184,2)&lt;6,MOD(V184+W184,1),0)
  - IF(WEEKDAY(B184,2)&lt;6,MOD(B184+C184,1),0)
),"00")
&amp; ":" &amp;
TEXT(MINUTE(
  NETWORKDAYS(B184,V184)-1
  + IF(WEEKDAY(V184,2)&lt;6,MOD(V184+W184,1),0)
  - IF(WEEKDAY(B184,2)&lt;6,MOD(B184+C184,1),0)
),"00")</f>
        <v>0:21:15</v>
      </c>
      <c r="AQ184" s="0" t="n">
        <f aca="false">IFERROR(
LEFT(AP184,FIND(":",AP184)-1)
+ MID(AP184,FIND(":",AP184)+1,2)/24
+ RIGHT(AP184,2)/1440,
"")</f>
        <v>0.885416666666667</v>
      </c>
      <c r="AR184" s="0" t="n">
        <f aca="false">WEEKNUM(B184,1)</f>
        <v>9</v>
      </c>
      <c r="AS184" s="17" t="n">
        <f aca="false">IF(B184&gt;0, (B184+C184)-TIME(13,30,0), "")</f>
        <v>46076.5020833333</v>
      </c>
      <c r="AT184" s="18" t="n">
        <f aca="false">IF(B184&gt;0, (B184+C184)-TIME(13,30,0), "")</f>
        <v>46076.5020833333</v>
      </c>
      <c r="AU184" s="17" t="n">
        <f aca="false">IF(V184&gt;0, (V184+W184)-TIME(13,30,0), "")</f>
        <v>46077.3881944444</v>
      </c>
      <c r="AV184" s="18" t="n">
        <f aca="false">IF(V184&gt;0, (V184+W184)-TIME(13,30,0), "")</f>
        <v>46077.3881944444</v>
      </c>
      <c r="AW184" s="19" t="n">
        <f aca="false">24*(
MAX(0,
IF(NETWORKDAYS(AS184,AU184)=1,
MIN(MOD(AV184,1),TIME(17,30,0)) - MAX(MOD(AT184,1),TIME(8,30,0)),
(TIME(17,30,0)-MAX(MOD(AT184,1),TIME(8,30,0)))
+ (MIN(MOD(AV184,1),TIME(17,30,0))-TIME(8,30,0))
+ (NETWORKDAYS(AS184,AU184)-2)*9/24
)
)
)</f>
        <v>6.26666666666667</v>
      </c>
      <c r="AX184" s="19" t="n">
        <f aca="false">24*(
MAX(0,
IF(NETWORKDAYS(AS184,AU184)=1,
MIN(MOD(AV184,1),TIME(17,30,0)) - MAX(MOD(AT184,1),TIME(8,30,0)),
(TIME(17,30,0)-MAX(MOD(AT184,1),TIME(8,30,0)))
+ (MIN(MOD(AV184,1),TIME(17,30,0))-TIME(8,30,0))
+ (NETWORKDAYS(AS184,AU184)-2)* (TIME(17,30,0)-TIME(8,30,0))
)
)
)</f>
        <v>6.26666666666667</v>
      </c>
      <c r="AY184" s="20" t="n">
        <f aca="false">ROUND(
IF(AS184=AU184,
MAX(0,
(MIN(MOD(AV184,1),TIME(17,30,0))-
MAX(MOD(AT184,1),TIME(8,30,0)))*24
),
(
(MAX(0,TIME(17,30,0)-MAX(MOD(AT184,1),TIME(8,30,0)))*24)
+
(MAX(0,MIN(MOD(AV184,1),TIME(17,30,0))-TIME(8,30,0))*24)
+
(MAX(0,NETWORKDAYS(AS184+1,AU184-1))*9)
)
),
2)</f>
        <v>6.27</v>
      </c>
      <c r="AZ184" s="0" t="n">
        <f aca="false" t="array" ref="AZ184:AZ184">_xlfn.XLOOKUP(J184,{"Low","Medium","High"},{270,72,24})</f>
        <v>270</v>
      </c>
      <c r="BA184" s="0" t="str">
        <f aca="false">IF(AW184&gt;AZ184,"Not Met","Met")</f>
        <v>Met</v>
      </c>
      <c r="BB184" s="21" t="str">
        <f aca="false">IF(AS184="","",TEXT(AS184,"MMM")&amp;"'"&amp;TEXT(AS184,"yy"))</f>
        <v>Feb'26</v>
      </c>
      <c r="BC184" s="0" t="str">
        <f aca="false">IF(AU184="","",TEXT(AU184,"MMM")&amp;"'"&amp;TEXT(AU184,"yy"))</f>
        <v>Feb'26</v>
      </c>
    </row>
    <row r="185" customFormat="false" ht="15" hidden="false" customHeight="false" outlineLevel="0" collapsed="false">
      <c r="A185" s="29" t="s">
        <v>700</v>
      </c>
      <c r="B185" s="60" t="n">
        <v>46077</v>
      </c>
      <c r="C185" s="37" t="n">
        <v>0.920138888888889</v>
      </c>
      <c r="D185" s="13" t="str">
        <f aca="false">IF(B185="","",TEXT(B185,"MMM")&amp;"'"&amp;TEXT(B185,"yy"))</f>
        <v>Feb'26</v>
      </c>
      <c r="E185" s="1" t="s">
        <v>55</v>
      </c>
      <c r="F185" s="29" t="s">
        <v>39</v>
      </c>
      <c r="G185" s="1" t="str">
        <f aca="false">IF(F185="Closed","Closed","Pending")</f>
        <v>Closed</v>
      </c>
      <c r="H185" s="1" t="s">
        <v>120</v>
      </c>
      <c r="I185" s="1" t="s">
        <v>701</v>
      </c>
      <c r="J185" s="1" t="s">
        <v>74</v>
      </c>
      <c r="K185" s="1" t="s">
        <v>59</v>
      </c>
      <c r="L185" s="50" t="s">
        <v>702</v>
      </c>
      <c r="M185" s="29" t="s">
        <v>693</v>
      </c>
      <c r="N185" s="29" t="s">
        <v>65</v>
      </c>
      <c r="O185" s="1" t="s">
        <v>106</v>
      </c>
      <c r="P185" s="29"/>
      <c r="Q185" s="29" t="s">
        <v>65</v>
      </c>
      <c r="R185" s="29" t="s">
        <v>87</v>
      </c>
      <c r="S185" s="29"/>
      <c r="T185" s="29"/>
      <c r="U185" s="37" t="n">
        <v>0.927083333333333</v>
      </c>
      <c r="V185" s="60" t="n">
        <v>46086</v>
      </c>
      <c r="W185" s="37" t="n">
        <v>0.935416666666667</v>
      </c>
      <c r="X185" s="60" t="n">
        <v>46087</v>
      </c>
      <c r="Y185" s="12" t="n">
        <v>0.0944444444444444</v>
      </c>
      <c r="Z185" s="1" t="s">
        <v>108</v>
      </c>
      <c r="AA185" s="1" t="s">
        <v>68</v>
      </c>
      <c r="AB185" s="2" t="e">
        <f aca="false">U185-#REF!</f>
        <v>#REF!</v>
      </c>
      <c r="AC185" s="14" t="n">
        <f aca="false">(V185+W185)-(B185+C185)</f>
        <v>9.01527777777778</v>
      </c>
      <c r="AD185" s="4" t="str">
        <f aca="false">INT((V185+W185)-(B185+C185)) &amp; ":" &amp;
TEXT(HOUR((V185+W185)-(B185+C185)), "00") &amp; ":" &amp;
TEXT(MINUTE((V185+W185)-(B185+C185)), "00")</f>
        <v>9:00:22</v>
      </c>
      <c r="AE185" s="1" t="n">
        <f aca="false">IFERROR(
LEFT(AD185,FIND(":",AD185)-1)
+ MID(AD185,FIND(":",AD185)+1,2)/24
+ RIGHT(AD185,2)/1440,
"")</f>
        <v>9.01527777777778</v>
      </c>
      <c r="AF185" s="4" t="str">
        <f aca="false">INT((X185+Y185)-(B185+C185)) &amp; ":" &amp;
TEXT(HOUR((X185+Y185)-(B185+C185)), "00") &amp; ":" &amp;
TEXT(MINUTE((X185+Y185)-(B185+C185)), "00")</f>
        <v>9:04:11</v>
      </c>
      <c r="AG185" s="4" t="str">
        <f aca="false" t="array" ref="AG185:AG185">INT(_xlfn.XLOOKUP(J185,{"Low","Medium","High","Urgent"},{48,24,12,8})/24) &amp; ":" &amp;
TEXT(MOD(_xlfn.XLOOKUP(J185,{"Low","Medium","High","Urgent"},{48,24,12,8}),24)/24,"hh:mm")</f>
        <v>2:00:00</v>
      </c>
      <c r="AH185" s="4" t="str">
        <f aca="false">IF(AD185&gt;AG185,"Not Met","Met")</f>
        <v>Not Met</v>
      </c>
      <c r="AI185" s="4" t="e">
        <f aca="false">IF(AB185&lt;TIME(0,30,0),"Met","Not Met")</f>
        <v>#REF!</v>
      </c>
      <c r="AN185" s="1" t="str">
        <f aca="false">TEXT(B185,"dd")</f>
        <v>24</v>
      </c>
      <c r="AO185" s="1" t="str">
        <f aca="false">TEXT(X185,"dd")</f>
        <v>06</v>
      </c>
      <c r="AP185" s="16" t="str">
        <f aca="false">INT(
  NETWORKDAYS(B185,V185)-1
  + IF(WEEKDAY(V185,2)&lt;6,MOD(V185+W185,1),0)
  - IF(WEEKDAY(B185,2)&lt;6,MOD(B185+C185,1),0)
)
&amp; ":" &amp;
TEXT(HOUR(
  NETWORKDAYS(B185,V185)-1
  + IF(WEEKDAY(V185,2)&lt;6,MOD(V185+W185,1),0)
  - IF(WEEKDAY(B185,2)&lt;6,MOD(B185+C185,1),0)
),"00")
&amp; ":" &amp;
TEXT(MINUTE(
  NETWORKDAYS(B185,V185)-1
  + IF(WEEKDAY(V185,2)&lt;6,MOD(V185+W185,1),0)
  - IF(WEEKDAY(B185,2)&lt;6,MOD(B185+C185,1),0)
),"00")</f>
        <v>7:00:21</v>
      </c>
      <c r="AQ185" s="0" t="n">
        <f aca="false">IFERROR(
LEFT(AP185,FIND(":",AP185)-1)
+ MID(AP185,FIND(":",AP185)+1,2)/24
+ RIGHT(AP185,2)/1440,
"")</f>
        <v>7.01458333333333</v>
      </c>
      <c r="AR185" s="0" t="n">
        <f aca="false">WEEKNUM(B185,1)</f>
        <v>9</v>
      </c>
      <c r="AS185" s="17" t="n">
        <f aca="false">IF(B185&gt;0, (B185+C185)-TIME(13,30,0), "")</f>
        <v>46077.3576388889</v>
      </c>
      <c r="AT185" s="18" t="n">
        <f aca="false">IF(B185&gt;0, (B185+C185)-TIME(13,30,0), "")</f>
        <v>46077.3576388889</v>
      </c>
      <c r="AU185" s="17" t="n">
        <f aca="false">IF(V185&gt;0, (V185+W185)-TIME(13,30,0), "")</f>
        <v>46086.3729166667</v>
      </c>
      <c r="AV185" s="18" t="n">
        <f aca="false">IF(V185&gt;0, (V185+W185)-TIME(13,30,0), "")</f>
        <v>46086.3729166667</v>
      </c>
      <c r="AW185" s="19" t="n">
        <f aca="false">24*(
MAX(0,
IF(NETWORKDAYS(AS185,AU185)=1,
MIN(MOD(AV185,1),TIME(17,30,0)) - MAX(MOD(AT185,1),TIME(8,30,0)),
(TIME(17,30,0)-MAX(MOD(AT185,1),TIME(8,30,0)))
+ (MIN(MOD(AV185,1),TIME(17,30,0))-TIME(8,30,0))
+ (NETWORKDAYS(AS185,AU185)-2)*9/24
)
)
)</f>
        <v>63.3666666666667</v>
      </c>
      <c r="AX185" s="19" t="n">
        <f aca="false">24*(
MAX(0,
IF(NETWORKDAYS(AS185,AU185)=1,
MIN(MOD(AV185,1),TIME(17,30,0)) - MAX(MOD(AT185,1),TIME(8,30,0)),
(TIME(17,30,0)-MAX(MOD(AT185,1),TIME(8,30,0)))
+ (MIN(MOD(AV185,1),TIME(17,30,0))-TIME(8,30,0))
+ (NETWORKDAYS(AS185,AU185)-2)* (TIME(17,30,0)-TIME(8,30,0))
)
)
)</f>
        <v>63.3666666666667</v>
      </c>
      <c r="AY185" s="20" t="n">
        <f aca="false">ROUND(
IF(AS185=AU185,
MAX(0,
(MIN(MOD(AV185,1),TIME(17,30,0))-
MAX(MOD(AT185,1),TIME(8,30,0)))*24
),
(
(MAX(0,TIME(17,30,0)-MAX(MOD(AT185,1),TIME(8,30,0)))*24)
+
(MAX(0,MIN(MOD(AV185,1),TIME(17,30,0))-TIME(8,30,0))*24)
+
(MAX(0,NETWORKDAYS(AS185+1,AU185-1))*9)
)
),
2)</f>
        <v>63.37</v>
      </c>
      <c r="AZ185" s="0" t="n">
        <f aca="false" t="array" ref="AZ185:AZ185">_xlfn.XLOOKUP(J185,{"Low","Medium","High"},{270,72,24})</f>
        <v>270</v>
      </c>
      <c r="BA185" s="0" t="str">
        <f aca="false">IF(AW185&gt;AZ185,"Not Met","Met")</f>
        <v>Met</v>
      </c>
      <c r="BB185" s="21" t="str">
        <f aca="false">IF(AS185="","",TEXT(AS185,"MMM")&amp;"'"&amp;TEXT(AS185,"yy"))</f>
        <v>Feb'26</v>
      </c>
      <c r="BC185" s="0" t="str">
        <f aca="false">IF(AU185="","",TEXT(AU185,"MMM")&amp;"'"&amp;TEXT(AU185,"yy"))</f>
        <v>Mar'26</v>
      </c>
    </row>
    <row r="186" customFormat="false" ht="15" hidden="false" customHeight="false" outlineLevel="0" collapsed="false">
      <c r="A186" s="1" t="s">
        <v>703</v>
      </c>
      <c r="B186" s="11" t="n">
        <v>46077</v>
      </c>
      <c r="C186" s="12" t="n">
        <v>0.942361111111111</v>
      </c>
      <c r="D186" s="13" t="str">
        <f aca="false">IF(B186="","",TEXT(B186,"MMM")&amp;"'"&amp;TEXT(B186,"yy"))</f>
        <v>Feb'26</v>
      </c>
      <c r="E186" s="1" t="s">
        <v>55</v>
      </c>
      <c r="F186" s="1" t="s">
        <v>39</v>
      </c>
      <c r="G186" s="1" t="str">
        <f aca="false">IF(F186="Closed","Closed","Pending")</f>
        <v>Closed</v>
      </c>
      <c r="H186" s="26" t="s">
        <v>157</v>
      </c>
      <c r="I186" s="26" t="s">
        <v>455</v>
      </c>
      <c r="J186" s="26" t="s">
        <v>74</v>
      </c>
      <c r="K186" s="26" t="s">
        <v>59</v>
      </c>
      <c r="L186" s="35" t="s">
        <v>704</v>
      </c>
      <c r="M186" s="1" t="s">
        <v>670</v>
      </c>
      <c r="N186" s="1" t="s">
        <v>65</v>
      </c>
      <c r="O186" s="1" t="s">
        <v>106</v>
      </c>
      <c r="Q186" s="1" t="s">
        <v>65</v>
      </c>
      <c r="R186" s="1" t="s">
        <v>87</v>
      </c>
      <c r="U186" s="12" t="n">
        <v>0.954166666666667</v>
      </c>
      <c r="V186" s="11" t="n">
        <v>46086</v>
      </c>
      <c r="W186" s="12" t="n">
        <v>0.936805555555556</v>
      </c>
      <c r="X186" s="11" t="n">
        <v>46086</v>
      </c>
      <c r="Y186" s="12" t="n">
        <v>0.972222222222222</v>
      </c>
      <c r="Z186" s="1" t="s">
        <v>67</v>
      </c>
      <c r="AA186" s="1" t="s">
        <v>68</v>
      </c>
      <c r="AB186" s="2" t="e">
        <f aca="false">U186-#REF!</f>
        <v>#REF!</v>
      </c>
      <c r="AC186" s="14" t="n">
        <f aca="false">(V186+W186)-(B186+C186)</f>
        <v>8.99444444444444</v>
      </c>
      <c r="AD186" s="4" t="str">
        <f aca="false">INT((V186+W186)-(B186+C186)) &amp; ":" &amp;
TEXT(HOUR((V186+W186)-(B186+C186)), "00") &amp; ":" &amp;
TEXT(MINUTE((V186+W186)-(B186+C186)), "00")</f>
        <v>8:23:52</v>
      </c>
      <c r="AE186" s="1" t="n">
        <f aca="false">IFERROR(
LEFT(AD186,FIND(":",AD186)-1)
+ MID(AD186,FIND(":",AD186)+1,2)/24
+ RIGHT(AD186,2)/1440,
"")</f>
        <v>8.99444444444445</v>
      </c>
      <c r="AF186" s="4" t="str">
        <f aca="false">INT((X186+Y186)-(B186+C186)) &amp; ":" &amp;
TEXT(HOUR((X186+Y186)-(B186+C186)), "00") &amp; ":" &amp;
TEXT(MINUTE((X186+Y186)-(B186+C186)), "00")</f>
        <v>9:00:43</v>
      </c>
      <c r="AG186" s="4" t="str">
        <f aca="false" t="array" ref="AG186:AG186">INT(_xlfn.XLOOKUP(J186,{"Low","Medium","High","Urgent"},{48,24,12,8})/24) &amp; ":" &amp;
TEXT(MOD(_xlfn.XLOOKUP(J186,{"Low","Medium","High","Urgent"},{48,24,12,8}),24)/24,"hh:mm")</f>
        <v>2:00:00</v>
      </c>
      <c r="AH186" s="4" t="str">
        <f aca="false">IF(AD186&gt;AG186,"Not Met","Met")</f>
        <v>Not Met</v>
      </c>
      <c r="AI186" s="4" t="e">
        <f aca="false">IF(AB186&lt;TIME(0,30,0),"Met","Not Met")</f>
        <v>#REF!</v>
      </c>
      <c r="AN186" s="1" t="str">
        <f aca="false">TEXT(B186,"dd")</f>
        <v>24</v>
      </c>
      <c r="AO186" s="1" t="str">
        <f aca="false">TEXT(X186,"dd")</f>
        <v>05</v>
      </c>
      <c r="AP186" s="16" t="str">
        <f aca="false">INT(
  NETWORKDAYS(B186,V186)-1
  + IF(WEEKDAY(V186,2)&lt;6,MOD(V186+W186,1),0)
  - IF(WEEKDAY(B186,2)&lt;6,MOD(B186+C186,1),0)
)
&amp; ":" &amp;
TEXT(HOUR(
  NETWORKDAYS(B186,V186)-1
  + IF(WEEKDAY(V186,2)&lt;6,MOD(V186+W186,1),0)
  - IF(WEEKDAY(B186,2)&lt;6,MOD(B186+C186,1),0)
),"00")
&amp; ":" &amp;
TEXT(MINUTE(
  NETWORKDAYS(B186,V186)-1
  + IF(WEEKDAY(V186,2)&lt;6,MOD(V186+W186,1),0)
  - IF(WEEKDAY(B186,2)&lt;6,MOD(B186+C186,1),0)
),"00")</f>
        <v>6:23:51</v>
      </c>
      <c r="AQ186" s="0" t="n">
        <f aca="false">IFERROR(
LEFT(AP186,FIND(":",AP186)-1)
+ MID(AP186,FIND(":",AP186)+1,2)/24
+ RIGHT(AP186,2)/1440,
"")</f>
        <v>6.99375</v>
      </c>
      <c r="AR186" s="0" t="n">
        <f aca="false">WEEKNUM(B186,1)</f>
        <v>9</v>
      </c>
      <c r="AS186" s="17" t="n">
        <f aca="false">IF(B186&gt;0, (B186+C186)-TIME(13,30,0), "")</f>
        <v>46077.3798611111</v>
      </c>
      <c r="AT186" s="18" t="n">
        <f aca="false">IF(B186&gt;0, (B186+C186)-TIME(13,30,0), "")</f>
        <v>46077.3798611111</v>
      </c>
      <c r="AU186" s="17" t="n">
        <f aca="false">IF(V186&gt;0, (V186+W186)-TIME(13,30,0), "")</f>
        <v>46086.3743055556</v>
      </c>
      <c r="AV186" s="18" t="n">
        <f aca="false">IF(V186&gt;0, (V186+W186)-TIME(13,30,0), "")</f>
        <v>46086.3743055556</v>
      </c>
      <c r="AW186" s="19" t="n">
        <f aca="false">24*(
MAX(0,
IF(NETWORKDAYS(AS186,AU186)=1,
MIN(MOD(AV186,1),TIME(17,30,0)) - MAX(MOD(AT186,1),TIME(8,30,0)),
(TIME(17,30,0)-MAX(MOD(AT186,1),TIME(8,30,0)))
+ (MIN(MOD(AV186,1),TIME(17,30,0))-TIME(8,30,0))
+ (NETWORKDAYS(AS186,AU186)-2)*9/24
)
)
)</f>
        <v>62.8666666666667</v>
      </c>
      <c r="AX186" s="19" t="n">
        <f aca="false">24*(
MAX(0,
IF(NETWORKDAYS(AS186,AU186)=1,
MIN(MOD(AV186,1),TIME(17,30,0)) - MAX(MOD(AT186,1),TIME(8,30,0)),
(TIME(17,30,0)-MAX(MOD(AT186,1),TIME(8,30,0)))
+ (MIN(MOD(AV186,1),TIME(17,30,0))-TIME(8,30,0))
+ (NETWORKDAYS(AS186,AU186)-2)* (TIME(17,30,0)-TIME(8,30,0))
)
)
)</f>
        <v>62.8666666666667</v>
      </c>
      <c r="AY186" s="20" t="n">
        <f aca="false">ROUND(
IF(AS186=AU186,
MAX(0,
(MIN(MOD(AV186,1),TIME(17,30,0))-
MAX(MOD(AT186,1),TIME(8,30,0)))*24
),
(
(MAX(0,TIME(17,30,0)-MAX(MOD(AT186,1),TIME(8,30,0)))*24)
+
(MAX(0,MIN(MOD(AV186,1),TIME(17,30,0))-TIME(8,30,0))*24)
+
(MAX(0,NETWORKDAYS(AS186+1,AU186-1))*9)
)
),
2)</f>
        <v>62.87</v>
      </c>
      <c r="AZ186" s="0" t="n">
        <f aca="false" t="array" ref="AZ186:AZ186">_xlfn.XLOOKUP(J186,{"Low","Medium","High"},{270,72,24})</f>
        <v>270</v>
      </c>
      <c r="BA186" s="0" t="str">
        <f aca="false">IF(AW186&gt;AZ186,"Not Met","Met")</f>
        <v>Met</v>
      </c>
      <c r="BB186" s="21" t="str">
        <f aca="false">IF(AS186="","",TEXT(AS186,"MMM")&amp;"'"&amp;TEXT(AS186,"yy"))</f>
        <v>Feb'26</v>
      </c>
      <c r="BC186" s="0" t="str">
        <f aca="false">IF(AU186="","",TEXT(AU186,"MMM")&amp;"'"&amp;TEXT(AU186,"yy"))</f>
        <v>Mar'26</v>
      </c>
    </row>
    <row r="187" customFormat="false" ht="15" hidden="false" customHeight="false" outlineLevel="0" collapsed="false">
      <c r="A187" s="1" t="s">
        <v>705</v>
      </c>
      <c r="B187" s="11" t="n">
        <v>46078</v>
      </c>
      <c r="C187" s="12" t="n">
        <v>0.0361111111111111</v>
      </c>
      <c r="D187" s="13" t="str">
        <f aca="false">IF(B187="","",TEXT(B187,"MMM")&amp;"'"&amp;TEXT(B187,"yy"))</f>
        <v>Feb'26</v>
      </c>
      <c r="E187" s="1" t="s">
        <v>55</v>
      </c>
      <c r="F187" s="1" t="s">
        <v>39</v>
      </c>
      <c r="G187" s="46" t="str">
        <f aca="false">IF(F187="Closed","Closed","Pending")</f>
        <v>Closed</v>
      </c>
      <c r="H187" s="1" t="s">
        <v>72</v>
      </c>
      <c r="I187" s="1" t="s">
        <v>706</v>
      </c>
      <c r="J187" s="1" t="s">
        <v>74</v>
      </c>
      <c r="K187" s="1" t="s">
        <v>59</v>
      </c>
      <c r="L187" s="35" t="s">
        <v>707</v>
      </c>
      <c r="M187" s="1" t="s">
        <v>708</v>
      </c>
      <c r="N187" s="1" t="s">
        <v>65</v>
      </c>
      <c r="O187" s="1" t="s">
        <v>106</v>
      </c>
      <c r="Q187" s="1" t="s">
        <v>65</v>
      </c>
      <c r="R187" s="1" t="s">
        <v>87</v>
      </c>
      <c r="U187" s="12" t="n">
        <v>0.06875</v>
      </c>
      <c r="V187" s="11" t="n">
        <v>46080</v>
      </c>
      <c r="W187" s="12" t="n">
        <v>0.988194444444445</v>
      </c>
      <c r="X187" s="11" t="n">
        <v>46084</v>
      </c>
      <c r="Y187" s="12" t="n">
        <v>0.0861111111111111</v>
      </c>
      <c r="Z187" s="1" t="s">
        <v>67</v>
      </c>
      <c r="AB187" s="2" t="e">
        <f aca="false">U187-#REF!</f>
        <v>#REF!</v>
      </c>
      <c r="AC187" s="14" t="n">
        <f aca="false">(V187+W187)-(B187+C187)</f>
        <v>2.95208333333333</v>
      </c>
      <c r="AD187" s="4" t="str">
        <f aca="false">INT((V187+W187)-(B187+C187)) &amp; ":" &amp;
TEXT(HOUR((V187+W187)-(B187+C187)), "00") &amp; ":" &amp;
TEXT(MINUTE((V187+W187)-(B187+C187)), "00")</f>
        <v>2:22:51</v>
      </c>
      <c r="AE187" s="1" t="n">
        <f aca="false">IFERROR(
LEFT(AD187,FIND(":",AD187)-1)
+ MID(AD187,FIND(":",AD187)+1,2)/24
+ RIGHT(AD187,2)/1440,
"")</f>
        <v>2.95208333333333</v>
      </c>
      <c r="AF187" s="4" t="str">
        <f aca="false">INT((X187+Y187)-(B187+C187)) &amp; ":" &amp;
TEXT(HOUR((X187+Y187)-(B187+C187)), "00") &amp; ":" &amp;
TEXT(MINUTE((X187+Y187)-(B187+C187)), "00")</f>
        <v>6:01:12</v>
      </c>
      <c r="AG187" s="4" t="str">
        <f aca="false" t="array" ref="AG187:AG187">INT(_xlfn.XLOOKUP(J187,{"Low","Medium","High","Urgent"},{48,24,12,8})/24) &amp; ":" &amp;
TEXT(MOD(_xlfn.XLOOKUP(J187,{"Low","Medium","High","Urgent"},{48,24,12,8}),24)/24,"hh:mm")</f>
        <v>2:00:00</v>
      </c>
      <c r="AH187" s="4" t="str">
        <f aca="false">IF(AD187&gt;AG187,"Not Met","Met")</f>
        <v>Not Met</v>
      </c>
      <c r="AI187" s="4" t="e">
        <f aca="false">IF(AB187&lt;TIME(0,30,0),"Met","Not Met")</f>
        <v>#REF!</v>
      </c>
      <c r="AN187" s="1" t="str">
        <f aca="false">TEXT(B187,"dd")</f>
        <v>25</v>
      </c>
      <c r="AO187" s="1" t="str">
        <f aca="false">TEXT(X187,"dd")</f>
        <v>03</v>
      </c>
      <c r="AP187" s="16" t="str">
        <f aca="false">INT(
  NETWORKDAYS(B187,V187)-1
  + IF(WEEKDAY(V187,2)&lt;6,MOD(V187+W187,1),0)
  - IF(WEEKDAY(B187,2)&lt;6,MOD(B187+C187,1),0)
)
&amp; ":" &amp;
TEXT(HOUR(
  NETWORKDAYS(B187,V187)-1
  + IF(WEEKDAY(V187,2)&lt;6,MOD(V187+W187,1),0)
  - IF(WEEKDAY(B187,2)&lt;6,MOD(B187+C187,1),0)
),"00")
&amp; ":" &amp;
TEXT(MINUTE(
  NETWORKDAYS(B187,V187)-1
  + IF(WEEKDAY(V187,2)&lt;6,MOD(V187+W187,1),0)
  - IF(WEEKDAY(B187,2)&lt;6,MOD(B187+C187,1),0)
),"00")</f>
        <v>2:22:50</v>
      </c>
      <c r="AQ187" s="0" t="n">
        <f aca="false">IFERROR(
LEFT(AP187,FIND(":",AP187)-1)
+ MID(AP187,FIND(":",AP187)+1,2)/24
+ RIGHT(AP187,2)/1440,
"")</f>
        <v>2.95138888888889</v>
      </c>
      <c r="AR187" s="0" t="n">
        <f aca="false">WEEKNUM(B187,1)</f>
        <v>9</v>
      </c>
      <c r="AS187" s="17" t="n">
        <f aca="false">IF(B187&gt;0, (B187+C187)-TIME(13,30,0), "")</f>
        <v>46077.4736111111</v>
      </c>
      <c r="AT187" s="18" t="n">
        <f aca="false">IF(B187&gt;0, (B187+C187)-TIME(13,30,0), "")</f>
        <v>46077.4736111111</v>
      </c>
      <c r="AU187" s="17" t="n">
        <f aca="false">IF(V187&gt;0, (V187+W187)-TIME(13,30,0), "")</f>
        <v>46080.4256944444</v>
      </c>
      <c r="AV187" s="18" t="n">
        <f aca="false">IF(V187&gt;0, (V187+W187)-TIME(13,30,0), "")</f>
        <v>46080.4256944444</v>
      </c>
      <c r="AW187" s="19" t="n">
        <f aca="false">24*(
MAX(0,
IF(NETWORKDAYS(AS187,AU187)=1,
MIN(MOD(AV187,1),TIME(17,30,0)) - MAX(MOD(AT187,1),TIME(8,30,0)),
(TIME(17,30,0)-MAX(MOD(AT187,1),TIME(8,30,0)))
+ (MIN(MOD(AV187,1),TIME(17,30,0))-TIME(8,30,0))
+ (NETWORKDAYS(AS187,AU187)-2)*9/24
)
)
)</f>
        <v>25.85</v>
      </c>
      <c r="AX187" s="19" t="n">
        <f aca="false">24*(
MAX(0,
IF(NETWORKDAYS(AS187,AU187)=1,
MIN(MOD(AV187,1),TIME(17,30,0)) - MAX(MOD(AT187,1),TIME(8,30,0)),
(TIME(17,30,0)-MAX(MOD(AT187,1),TIME(8,30,0)))
+ (MIN(MOD(AV187,1),TIME(17,30,0))-TIME(8,30,0))
+ (NETWORKDAYS(AS187,AU187)-2)* (TIME(17,30,0)-TIME(8,30,0))
)
)
)</f>
        <v>25.85</v>
      </c>
      <c r="AY187" s="20" t="n">
        <f aca="false">ROUND(
IF(AS187=AU187,
MAX(0,
(MIN(MOD(AV187,1),TIME(17,30,0))-
MAX(MOD(AT187,1),TIME(8,30,0)))*24
),
(
(MAX(0,TIME(17,30,0)-MAX(MOD(AT187,1),TIME(8,30,0)))*24)
+
(MAX(0,MIN(MOD(AV187,1),TIME(17,30,0))-TIME(8,30,0))*24)
+
(MAX(0,NETWORKDAYS(AS187+1,AU187-1))*9)
)
),
2)</f>
        <v>25.85</v>
      </c>
      <c r="AZ187" s="0" t="n">
        <f aca="false" t="array" ref="AZ187:AZ187">_xlfn.XLOOKUP(J187,{"Low","Medium","High"},{270,72,24})</f>
        <v>270</v>
      </c>
      <c r="BA187" s="0" t="str">
        <f aca="false">IF(AW187&gt;AZ187,"Not Met","Met")</f>
        <v>Met</v>
      </c>
      <c r="BB187" s="21" t="str">
        <f aca="false">IF(AS187="","",TEXT(AS187,"MMM")&amp;"'"&amp;TEXT(AS187,"yy"))</f>
        <v>Feb'26</v>
      </c>
      <c r="BC187" s="0" t="str">
        <f aca="false">IF(AU187="","",TEXT(AU187,"MMM")&amp;"'"&amp;TEXT(AU187,"yy"))</f>
        <v>Feb'26</v>
      </c>
    </row>
    <row r="188" customFormat="false" ht="15" hidden="false" customHeight="false" outlineLevel="0" collapsed="false">
      <c r="A188" s="1" t="s">
        <v>709</v>
      </c>
      <c r="B188" s="11" t="n">
        <v>46078</v>
      </c>
      <c r="C188" s="12" t="n">
        <v>0.215277777777778</v>
      </c>
      <c r="D188" s="13" t="str">
        <f aca="false">IF(B188="","",TEXT(B188,"MMM")&amp;"'"&amp;TEXT(B188,"yy"))</f>
        <v>Feb'26</v>
      </c>
      <c r="E188" s="1" t="s">
        <v>55</v>
      </c>
      <c r="F188" s="1" t="s">
        <v>39</v>
      </c>
      <c r="G188" s="46" t="str">
        <f aca="false">IF(F188="Closed","Closed","Pending")</f>
        <v>Closed</v>
      </c>
      <c r="H188" s="1" t="s">
        <v>56</v>
      </c>
      <c r="I188" s="1" t="s">
        <v>103</v>
      </c>
      <c r="J188" s="1" t="s">
        <v>58</v>
      </c>
      <c r="K188" s="1" t="s">
        <v>59</v>
      </c>
      <c r="L188" s="35" t="s">
        <v>115</v>
      </c>
      <c r="M188" s="1" t="s">
        <v>670</v>
      </c>
      <c r="N188" s="1" t="s">
        <v>65</v>
      </c>
      <c r="O188" s="1" t="s">
        <v>106</v>
      </c>
      <c r="Q188" s="1" t="s">
        <v>65</v>
      </c>
      <c r="R188" s="1" t="s">
        <v>87</v>
      </c>
      <c r="U188" s="12" t="n">
        <v>0.273611111111111</v>
      </c>
      <c r="V188" s="11" t="n">
        <v>46080</v>
      </c>
      <c r="W188" s="12" t="n">
        <v>0.989583333333333</v>
      </c>
      <c r="X188" s="11" t="n">
        <v>46081</v>
      </c>
      <c r="Y188" s="12" t="n">
        <v>0.025</v>
      </c>
      <c r="Z188" s="1" t="s">
        <v>67</v>
      </c>
      <c r="AA188" s="1" t="s">
        <v>68</v>
      </c>
      <c r="AB188" s="2" t="e">
        <f aca="false">U188-#REF!</f>
        <v>#REF!</v>
      </c>
      <c r="AC188" s="14" t="n">
        <f aca="false">(V188+W188)-(B188+C188)</f>
        <v>2.77430555555556</v>
      </c>
      <c r="AD188" s="4" t="str">
        <f aca="false">INT((V188+W188)-(B188+C188)) &amp; ":" &amp;
TEXT(HOUR((V188+W188)-(B188+C188)), "00") &amp; ":" &amp;
TEXT(MINUTE((V188+W188)-(B188+C188)), "00")</f>
        <v>2:18:35</v>
      </c>
      <c r="AE188" s="1" t="n">
        <f aca="false">IFERROR(
LEFT(AD188,FIND(":",AD188)-1)
+ MID(AD188,FIND(":",AD188)+1,2)/24
+ RIGHT(AD188,2)/1440,
"")</f>
        <v>2.77430555555556</v>
      </c>
      <c r="AF188" s="4" t="str">
        <f aca="false">INT((X188+Y188)-(B188+C188)) &amp; ":" &amp;
TEXT(HOUR((X188+Y188)-(B188+C188)), "00") &amp; ":" &amp;
TEXT(MINUTE((X188+Y188)-(B188+C188)), "00")</f>
        <v>2:19:26</v>
      </c>
      <c r="AG188" s="4" t="str">
        <f aca="false" t="array" ref="AG188:AG188">INT(_xlfn.XLOOKUP(J188,{"Low","Medium","High","Urgent"},{48,24,12,8})/24) &amp; ":" &amp;
TEXT(MOD(_xlfn.XLOOKUP(J188,{"Low","Medium","High","Urgent"},{48,24,12,8}),24)/24,"hh:mm")</f>
        <v>1:00:00</v>
      </c>
      <c r="AH188" s="4" t="str">
        <f aca="false">IF(AD188&gt;AG188,"Not Met","Met")</f>
        <v>Not Met</v>
      </c>
      <c r="AI188" s="4" t="e">
        <f aca="false">IF(AB188&lt;TIME(0,30,0),"Met","Not Met")</f>
        <v>#REF!</v>
      </c>
      <c r="AN188" s="1" t="str">
        <f aca="false">TEXT(B188,"dd")</f>
        <v>25</v>
      </c>
      <c r="AO188" s="1" t="str">
        <f aca="false">TEXT(X188,"dd")</f>
        <v>28</v>
      </c>
      <c r="AP188" s="16" t="str">
        <f aca="false">INT(
  NETWORKDAYS(B188,V188)-1
  + IF(WEEKDAY(V188,2)&lt;6,MOD(V188+W188,1),0)
  - IF(WEEKDAY(B188,2)&lt;6,MOD(B188+C188,1),0)
)
&amp; ":" &amp;
TEXT(HOUR(
  NETWORKDAYS(B188,V188)-1
  + IF(WEEKDAY(V188,2)&lt;6,MOD(V188+W188,1),0)
  - IF(WEEKDAY(B188,2)&lt;6,MOD(B188+C188,1),0)
),"00")
&amp; ":" &amp;
TEXT(MINUTE(
  NETWORKDAYS(B188,V188)-1
  + IF(WEEKDAY(V188,2)&lt;6,MOD(V188+W188,1),0)
  - IF(WEEKDAY(B188,2)&lt;6,MOD(B188+C188,1),0)
),"00")</f>
        <v>2:18:34</v>
      </c>
      <c r="AQ188" s="0" t="n">
        <f aca="false">IFERROR(
LEFT(AP188,FIND(":",AP188)-1)
+ MID(AP188,FIND(":",AP188)+1,2)/24
+ RIGHT(AP188,2)/1440,
"")</f>
        <v>2.77361111111111</v>
      </c>
      <c r="AR188" s="0" t="n">
        <f aca="false">WEEKNUM(B188,1)</f>
        <v>9</v>
      </c>
      <c r="AS188" s="17" t="n">
        <f aca="false">IF(B188&gt;0, (B188+C188)-TIME(13,30,0), "")</f>
        <v>46077.6527777778</v>
      </c>
      <c r="AT188" s="18" t="n">
        <f aca="false">IF(B188&gt;0, (B188+C188)-TIME(13,30,0), "")</f>
        <v>46077.6527777778</v>
      </c>
      <c r="AU188" s="17" t="n">
        <f aca="false">IF(V188&gt;0, (V188+W188)-TIME(13,30,0), "")</f>
        <v>46080.4270833333</v>
      </c>
      <c r="AV188" s="18" t="n">
        <f aca="false">IF(V188&gt;0, (V188+W188)-TIME(13,30,0), "")</f>
        <v>46080.4270833333</v>
      </c>
      <c r="AW188" s="19" t="n">
        <f aca="false">24*(
MAX(0,
IF(NETWORKDAYS(AS188,AU188)=1,
MIN(MOD(AV188,1),TIME(17,30,0)) - MAX(MOD(AT188,1),TIME(8,30,0)),
(TIME(17,30,0)-MAX(MOD(AT188,1),TIME(8,30,0)))
+ (MIN(MOD(AV188,1),TIME(17,30,0))-TIME(8,30,0))
+ (NETWORKDAYS(AS188,AU188)-2)*9/24
)
)
)</f>
        <v>21.5833333333333</v>
      </c>
      <c r="AX188" s="19" t="n">
        <f aca="false">24*(
MAX(0,
IF(NETWORKDAYS(AS188,AU188)=1,
MIN(MOD(AV188,1),TIME(17,30,0)) - MAX(MOD(AT188,1),TIME(8,30,0)),
(TIME(17,30,0)-MAX(MOD(AT188,1),TIME(8,30,0)))
+ (MIN(MOD(AV188,1),TIME(17,30,0))-TIME(8,30,0))
+ (NETWORKDAYS(AS188,AU188)-2)* (TIME(17,30,0)-TIME(8,30,0))
)
)
)</f>
        <v>21.5833333333333</v>
      </c>
      <c r="AY188" s="20" t="n">
        <f aca="false">ROUND(
IF(AS188=AU188,
MAX(0,
(MIN(MOD(AV188,1),TIME(17,30,0))-
MAX(MOD(AT188,1),TIME(8,30,0)))*24
),
(
(MAX(0,TIME(17,30,0)-MAX(MOD(AT188,1),TIME(8,30,0)))*24)
+
(MAX(0,MIN(MOD(AV188,1),TIME(17,30,0))-TIME(8,30,0))*24)
+
(MAX(0,NETWORKDAYS(AS188+1,AU188-1))*9)
)
),
2)</f>
        <v>21.58</v>
      </c>
      <c r="AZ188" s="0" t="n">
        <f aca="false" t="array" ref="AZ188:AZ188">_xlfn.XLOOKUP(J188,{"Low","Medium","High"},{270,72,24})</f>
        <v>72</v>
      </c>
      <c r="BA188" s="0" t="str">
        <f aca="false">IF(AW188&gt;AZ188,"Not Met","Met")</f>
        <v>Met</v>
      </c>
      <c r="BB188" s="21" t="str">
        <f aca="false">IF(AS188="","",TEXT(AS188,"MMM")&amp;"'"&amp;TEXT(AS188,"yy"))</f>
        <v>Feb'26</v>
      </c>
      <c r="BC188" s="0" t="str">
        <f aca="false">IF(AU188="","",TEXT(AU188,"MMM")&amp;"'"&amp;TEXT(AU188,"yy"))</f>
        <v>Feb'26</v>
      </c>
    </row>
    <row r="189" customFormat="false" ht="15" hidden="false" customHeight="false" outlineLevel="0" collapsed="false">
      <c r="A189" s="1" t="s">
        <v>710</v>
      </c>
      <c r="B189" s="11" t="n">
        <v>46079</v>
      </c>
      <c r="C189" s="12" t="n">
        <v>0.265972222222222</v>
      </c>
      <c r="D189" s="13" t="str">
        <f aca="false">IF(B189="","",TEXT(B189,"MMM")&amp;"'"&amp;TEXT(B189,"yy"))</f>
        <v>Feb'26</v>
      </c>
      <c r="E189" s="1" t="s">
        <v>55</v>
      </c>
      <c r="F189" s="1" t="s">
        <v>39</v>
      </c>
      <c r="G189" s="1" t="str">
        <f aca="false">IF(F189="Closed","Closed","Pending")</f>
        <v>Closed</v>
      </c>
      <c r="H189" s="42" t="s">
        <v>56</v>
      </c>
      <c r="I189" s="42" t="s">
        <v>103</v>
      </c>
      <c r="J189" s="42" t="s">
        <v>58</v>
      </c>
      <c r="K189" s="42" t="s">
        <v>59</v>
      </c>
      <c r="L189" s="1" t="s">
        <v>711</v>
      </c>
      <c r="M189" s="1" t="s">
        <v>670</v>
      </c>
      <c r="N189" s="1" t="s">
        <v>65</v>
      </c>
      <c r="O189" s="1" t="s">
        <v>106</v>
      </c>
      <c r="Q189" s="1" t="s">
        <v>65</v>
      </c>
      <c r="R189" s="1" t="s">
        <v>87</v>
      </c>
      <c r="U189" s="12" t="n">
        <v>0.26875</v>
      </c>
      <c r="V189" s="11" t="n">
        <v>46079</v>
      </c>
      <c r="W189" s="12" t="n">
        <v>0.929166666666667</v>
      </c>
      <c r="X189" s="11" t="n">
        <v>46080</v>
      </c>
      <c r="Y189" s="12" t="n">
        <v>0.0131944444444444</v>
      </c>
      <c r="Z189" s="1" t="s">
        <v>108</v>
      </c>
      <c r="AA189" s="1" t="s">
        <v>68</v>
      </c>
      <c r="AB189" s="2" t="e">
        <f aca="false">U189-#REF!</f>
        <v>#REF!</v>
      </c>
      <c r="AC189" s="14" t="n">
        <f aca="false">(V189+W189)-(B189+C189)</f>
        <v>0.663194444444444</v>
      </c>
      <c r="AD189" s="4" t="str">
        <f aca="false">INT((V189+W189)-(B189+C189)) &amp; ":" &amp;
TEXT(HOUR((V189+W189)-(B189+C189)), "00") &amp; ":" &amp;
TEXT(MINUTE((V189+W189)-(B189+C189)), "00")</f>
        <v>0:15:55</v>
      </c>
      <c r="AE189" s="1" t="n">
        <f aca="false">IFERROR(
LEFT(AD189,FIND(":",AD189)-1)
+ MID(AD189,FIND(":",AD189)+1,2)/24
+ RIGHT(AD189,2)/1440,
"")</f>
        <v>0.663194444444444</v>
      </c>
      <c r="AF189" s="4" t="str">
        <f aca="false">INT((X189+Y189)-(B189+C189)) &amp; ":" &amp;
TEXT(HOUR((X189+Y189)-(B189+C189)), "00") &amp; ":" &amp;
TEXT(MINUTE((X189+Y189)-(B189+C189)), "00")</f>
        <v>0:17:56</v>
      </c>
      <c r="AG189" s="4" t="str">
        <f aca="false" t="array" ref="AG189:AG189">INT(_xlfn.XLOOKUP(J189,{"Low","Medium","High","Urgent"},{48,24,12,8})/24) &amp; ":" &amp;
TEXT(MOD(_xlfn.XLOOKUP(J189,{"Low","Medium","High","Urgent"},{48,24,12,8}),24)/24,"hh:mm")</f>
        <v>1:00:00</v>
      </c>
      <c r="AH189" s="4" t="str">
        <f aca="false">IF(AD189&gt;AG189,"Not Met","Met")</f>
        <v>Met</v>
      </c>
      <c r="AI189" s="4" t="e">
        <f aca="false">IF(AB189&lt;TIME(0,30,0),"Met","Not Met")</f>
        <v>#REF!</v>
      </c>
      <c r="AN189" s="1" t="str">
        <f aca="false">TEXT(B189,"dd")</f>
        <v>26</v>
      </c>
      <c r="AO189" s="1" t="str">
        <f aca="false">TEXT(X189,"dd")</f>
        <v>27</v>
      </c>
      <c r="AP189" s="16" t="str">
        <f aca="false">INT(
  NETWORKDAYS(B189,V189)-1
  + IF(WEEKDAY(V189,2)&lt;6,MOD(V189+W189,1),0)
  - IF(WEEKDAY(B189,2)&lt;6,MOD(B189+C189,1),0)
)
&amp; ":" &amp;
TEXT(HOUR(
  NETWORKDAYS(B189,V189)-1
  + IF(WEEKDAY(V189,2)&lt;6,MOD(V189+W189,1),0)
  - IF(WEEKDAY(B189,2)&lt;6,MOD(B189+C189,1),0)
),"00")
&amp; ":" &amp;
TEXT(MINUTE(
  NETWORKDAYS(B189,V189)-1
  + IF(WEEKDAY(V189,2)&lt;6,MOD(V189+W189,1),0)
  - IF(WEEKDAY(B189,2)&lt;6,MOD(B189+C189,1),0)
),"00")</f>
        <v>0:15:55</v>
      </c>
      <c r="AQ189" s="0" t="n">
        <f aca="false">IFERROR(
LEFT(AP189,FIND(":",AP189)-1)
+ MID(AP189,FIND(":",AP189)+1,2)/24
+ RIGHT(AP189,2)/1440,
"")</f>
        <v>0.663194444444444</v>
      </c>
      <c r="AR189" s="0" t="n">
        <f aca="false">WEEKNUM(B189,1)</f>
        <v>9</v>
      </c>
      <c r="AS189" s="17" t="n">
        <f aca="false">IF(B189&gt;0, (B189+C189)-TIME(13,30,0), "")</f>
        <v>46078.7034722222</v>
      </c>
      <c r="AT189" s="18" t="n">
        <f aca="false">IF(B189&gt;0, (B189+C189)-TIME(13,30,0), "")</f>
        <v>46078.7034722222</v>
      </c>
      <c r="AU189" s="17" t="n">
        <f aca="false">IF(V189&gt;0, (V189+W189)-TIME(13,30,0), "")</f>
        <v>46079.3666666667</v>
      </c>
      <c r="AV189" s="18" t="n">
        <f aca="false">IF(V189&gt;0, (V189+W189)-TIME(13,30,0), "")</f>
        <v>46079.3666666667</v>
      </c>
      <c r="AW189" s="19" t="n">
        <f aca="false">24*(
MAX(0,
IF(NETWORKDAYS(AS189,AU189)=1,
MIN(MOD(AV189,1),TIME(17,30,0)) - MAX(MOD(AT189,1),TIME(8,30,0)),
(TIME(17,30,0)-MAX(MOD(AT189,1),TIME(8,30,0)))
+ (MIN(MOD(AV189,1),TIME(17,30,0))-TIME(8,30,0))
+ (NETWORKDAYS(AS189,AU189)-2)*9/24
)
)
)</f>
        <v>0.916666666666667</v>
      </c>
      <c r="AX189" s="19" t="n">
        <f aca="false">24*(
MAX(0,
IF(NETWORKDAYS(AS189,AU189)=1,
MIN(MOD(AV189,1),TIME(17,30,0)) - MAX(MOD(AT189,1),TIME(8,30,0)),
(TIME(17,30,0)-MAX(MOD(AT189,1),TIME(8,30,0)))
+ (MIN(MOD(AV189,1),TIME(17,30,0))-TIME(8,30,0))
+ (NETWORKDAYS(AS189,AU189)-2)* (TIME(17,30,0)-TIME(8,30,0))
)
)
)</f>
        <v>0.916666666666667</v>
      </c>
      <c r="AY189" s="20" t="n">
        <f aca="false">ROUND(
IF(AS189=AU189,
MAX(0,
(MIN(MOD(AV189,1),TIME(17,30,0))-
MAX(MOD(AT189,1),TIME(8,30,0)))*24
),
(
(MAX(0,TIME(17,30,0)-MAX(MOD(AT189,1),TIME(8,30,0)))*24)
+
(MAX(0,MIN(MOD(AV189,1),TIME(17,30,0))-TIME(8,30,0))*24)
+
(MAX(0,NETWORKDAYS(AS189+1,AU189-1))*9)
)
),
2)</f>
        <v>0.92</v>
      </c>
      <c r="AZ189" s="0" t="n">
        <f aca="false" t="array" ref="AZ189:AZ189">_xlfn.XLOOKUP(J189,{"Low","Medium","High"},{270,72,24})</f>
        <v>72</v>
      </c>
      <c r="BA189" s="0" t="str">
        <f aca="false">IF(AW189&gt;AZ189,"Not Met","Met")</f>
        <v>Met</v>
      </c>
      <c r="BB189" s="21" t="str">
        <f aca="false">IF(AS189="","",TEXT(AS189,"MMM")&amp;"'"&amp;TEXT(AS189,"yy"))</f>
        <v>Feb'26</v>
      </c>
      <c r="BC189" s="0" t="str">
        <f aca="false">IF(AU189="","",TEXT(AU189,"MMM")&amp;"'"&amp;TEXT(AU189,"yy"))</f>
        <v>Feb'26</v>
      </c>
    </row>
    <row r="190" customFormat="false" ht="15" hidden="false" customHeight="false" outlineLevel="0" collapsed="false">
      <c r="A190" s="1" t="s">
        <v>712</v>
      </c>
      <c r="B190" s="11" t="n">
        <v>46080</v>
      </c>
      <c r="C190" s="12" t="n">
        <v>0.0666666666666667</v>
      </c>
      <c r="D190" s="13" t="str">
        <f aca="false">IF(B190="","",TEXT(B190,"MMM")&amp;"'"&amp;TEXT(B190,"yy"))</f>
        <v>Feb'26</v>
      </c>
      <c r="E190" s="1" t="s">
        <v>55</v>
      </c>
      <c r="F190" s="1" t="s">
        <v>39</v>
      </c>
      <c r="G190" s="46" t="str">
        <f aca="false">IF(F190="Closed","Closed","Pending")</f>
        <v>Closed</v>
      </c>
      <c r="H190" s="1" t="s">
        <v>72</v>
      </c>
      <c r="I190" s="1" t="s">
        <v>501</v>
      </c>
      <c r="J190" s="1" t="s">
        <v>74</v>
      </c>
      <c r="K190" s="1" t="s">
        <v>59</v>
      </c>
      <c r="L190" s="35" t="s">
        <v>713</v>
      </c>
      <c r="M190" s="1" t="s">
        <v>714</v>
      </c>
      <c r="N190" s="1" t="s">
        <v>62</v>
      </c>
      <c r="O190" s="1" t="s">
        <v>77</v>
      </c>
      <c r="Q190" s="1" t="s">
        <v>86</v>
      </c>
      <c r="R190" s="1" t="s">
        <v>87</v>
      </c>
      <c r="S190" s="1" t="s">
        <v>715</v>
      </c>
      <c r="U190" s="12" t="n">
        <v>0.102777777777778</v>
      </c>
      <c r="V190" s="11" t="n">
        <v>46083</v>
      </c>
      <c r="W190" s="12" t="n">
        <v>0.958333333333333</v>
      </c>
      <c r="X190" s="11" t="n">
        <v>46091</v>
      </c>
      <c r="Y190" s="12" t="n">
        <v>0.939583333333333</v>
      </c>
      <c r="Z190" s="1" t="s">
        <v>108</v>
      </c>
      <c r="AA190" s="1" t="s">
        <v>68</v>
      </c>
      <c r="AB190" s="2" t="e">
        <f aca="false">U190-#REF!</f>
        <v>#REF!</v>
      </c>
      <c r="AC190" s="14" t="n">
        <f aca="false">(V190+W190)-(B190+C190)</f>
        <v>3.89166666666667</v>
      </c>
      <c r="AD190" s="4" t="str">
        <f aca="false">INT((V190+W190)-(B190+C190)) &amp; ":" &amp;
TEXT(HOUR((V190+W190)-(B190+C190)), "00") &amp; ":" &amp;
TEXT(MINUTE((V190+W190)-(B190+C190)), "00")</f>
        <v>3:21:24</v>
      </c>
      <c r="AE190" s="1" t="n">
        <f aca="false">IFERROR(
LEFT(AD190,FIND(":",AD190)-1)
+ MID(AD190,FIND(":",AD190)+1,2)/24
+ RIGHT(AD190,2)/1440,
"")</f>
        <v>3.89166666666667</v>
      </c>
      <c r="AF190" s="4" t="str">
        <f aca="false">INT((X190+Y190)-(B190+C190)) &amp; ":" &amp;
TEXT(HOUR((X190+Y190)-(B190+C190)), "00") &amp; ":" &amp;
TEXT(MINUTE((X190+Y190)-(B190+C190)), "00")</f>
        <v>11:20:57</v>
      </c>
      <c r="AG190" s="4" t="str">
        <f aca="false" t="array" ref="AG190:AG190">INT(_xlfn.XLOOKUP(J190,{"Low","Medium","High","Urgent"},{48,24,12,8})/24) &amp; ":" &amp;
TEXT(MOD(_xlfn.XLOOKUP(J190,{"Low","Medium","High","Urgent"},{48,24,12,8}),24)/24,"hh:mm")</f>
        <v>2:00:00</v>
      </c>
      <c r="AH190" s="4" t="str">
        <f aca="false">IF(AD190&gt;AG190,"Not Met","Met")</f>
        <v>Not Met</v>
      </c>
      <c r="AI190" s="4" t="e">
        <f aca="false">IF(AB190&lt;TIME(0,30,0),"Met","Not Met")</f>
        <v>#REF!</v>
      </c>
      <c r="AN190" s="1" t="str">
        <f aca="false">TEXT(B190,"dd")</f>
        <v>27</v>
      </c>
      <c r="AO190" s="1" t="str">
        <f aca="false">TEXT(X190,"dd")</f>
        <v>10</v>
      </c>
      <c r="AP190" s="16" t="str">
        <f aca="false">INT(
  NETWORKDAYS(B190,V190)-1
  + IF(WEEKDAY(V190,2)&lt;6,MOD(V190+W190,1),0)
  - IF(WEEKDAY(B190,2)&lt;6,MOD(B190+C190,1),0)
)
&amp; ":" &amp;
TEXT(HOUR(
  NETWORKDAYS(B190,V190)-1
  + IF(WEEKDAY(V190,2)&lt;6,MOD(V190+W190,1),0)
  - IF(WEEKDAY(B190,2)&lt;6,MOD(B190+C190,1),0)
),"00")
&amp; ":" &amp;
TEXT(MINUTE(
  NETWORKDAYS(B190,V190)-1
  + IF(WEEKDAY(V190,2)&lt;6,MOD(V190+W190,1),0)
  - IF(WEEKDAY(B190,2)&lt;6,MOD(B190+C190,1),0)
),"00")</f>
        <v>1:21:24</v>
      </c>
      <c r="AQ190" s="0" t="n">
        <f aca="false">IFERROR(
LEFT(AP190,FIND(":",AP190)-1)
+ MID(AP190,FIND(":",AP190)+1,2)/24
+ RIGHT(AP190,2)/1440,
"")</f>
        <v>1.89166666666667</v>
      </c>
      <c r="AR190" s="0" t="n">
        <f aca="false">WEEKNUM(B190,1)</f>
        <v>9</v>
      </c>
      <c r="AS190" s="17" t="n">
        <f aca="false">IF(B190&gt;0, (B190+C190)-TIME(13,30,0), "")</f>
        <v>46079.5041666667</v>
      </c>
      <c r="AT190" s="18" t="n">
        <f aca="false">IF(B190&gt;0, (B190+C190)-TIME(13,30,0), "")</f>
        <v>46079.5041666667</v>
      </c>
      <c r="AU190" s="17" t="n">
        <f aca="false">IF(V190&gt;0, (V190+W190)-TIME(13,30,0), "")</f>
        <v>46083.3958333333</v>
      </c>
      <c r="AV190" s="18" t="n">
        <f aca="false">IF(V190&gt;0, (V190+W190)-TIME(13,30,0), "")</f>
        <v>46083.3958333333</v>
      </c>
      <c r="AW190" s="19" t="n">
        <f aca="false">24*(
MAX(0,
IF(NETWORKDAYS(AS190,AU190)=1,
MIN(MOD(AV190,1),TIME(17,30,0)) - MAX(MOD(AT190,1),TIME(8,30,0)),
(TIME(17,30,0)-MAX(MOD(AT190,1),TIME(8,30,0)))
+ (MIN(MOD(AV190,1),TIME(17,30,0))-TIME(8,30,0))
+ (NETWORKDAYS(AS190,AU190)-2)*9/24
)
)
)</f>
        <v>15.4</v>
      </c>
      <c r="AX190" s="19" t="n">
        <f aca="false">24*(
MAX(0,
IF(NETWORKDAYS(AS190,AU190)=1,
MIN(MOD(AV190,1),TIME(17,30,0)) - MAX(MOD(AT190,1),TIME(8,30,0)),
(TIME(17,30,0)-MAX(MOD(AT190,1),TIME(8,30,0)))
+ (MIN(MOD(AV190,1),TIME(17,30,0))-TIME(8,30,0))
+ (NETWORKDAYS(AS190,AU190)-2)* (TIME(17,30,0)-TIME(8,30,0))
)
)
)</f>
        <v>15.4</v>
      </c>
      <c r="AY190" s="20" t="n">
        <f aca="false">ROUND(
IF(AS190=AU190,
MAX(0,
(MIN(MOD(AV190,1),TIME(17,30,0))-
MAX(MOD(AT190,1),TIME(8,30,0)))*24
),
(
(MAX(0,TIME(17,30,0)-MAX(MOD(AT190,1),TIME(8,30,0)))*24)
+
(MAX(0,MIN(MOD(AV190,1),TIME(17,30,0))-TIME(8,30,0))*24)
+
(MAX(0,NETWORKDAYS(AS190+1,AU190-1))*9)
)
),
2)</f>
        <v>15.4</v>
      </c>
      <c r="AZ190" s="0" t="n">
        <f aca="false" t="array" ref="AZ190:AZ190">_xlfn.XLOOKUP(J190,{"Low","Medium","High"},{270,72,24})</f>
        <v>270</v>
      </c>
      <c r="BA190" s="0" t="str">
        <f aca="false">IF(AW190&gt;AZ190,"Not Met","Met")</f>
        <v>Met</v>
      </c>
      <c r="BB190" s="21" t="str">
        <f aca="false">IF(AS190="","",TEXT(AS190,"MMM")&amp;"'"&amp;TEXT(AS190,"yy"))</f>
        <v>Feb'26</v>
      </c>
      <c r="BC190" s="0" t="str">
        <f aca="false">IF(AU190="","",TEXT(AU190,"MMM")&amp;"'"&amp;TEXT(AU190,"yy"))</f>
        <v>Mar'26</v>
      </c>
    </row>
    <row r="191" customFormat="false" ht="15" hidden="false" customHeight="false" outlineLevel="0" collapsed="false">
      <c r="A191" s="1" t="s">
        <v>716</v>
      </c>
      <c r="B191" s="11" t="n">
        <v>46080</v>
      </c>
      <c r="C191" s="12" t="n">
        <v>0.116666666666667</v>
      </c>
      <c r="D191" s="13" t="str">
        <f aca="false">IF(B191="","",TEXT(B191,"MMM")&amp;"'"&amp;TEXT(B191,"yy"))</f>
        <v>Feb'26</v>
      </c>
      <c r="E191" s="1" t="s">
        <v>55</v>
      </c>
      <c r="F191" s="1" t="s">
        <v>39</v>
      </c>
      <c r="G191" s="46" t="str">
        <f aca="false">IF(F191="Closed","Closed","Pending")</f>
        <v>Closed</v>
      </c>
      <c r="H191" s="1" t="s">
        <v>72</v>
      </c>
      <c r="I191" s="1" t="s">
        <v>206</v>
      </c>
      <c r="J191" s="1" t="s">
        <v>74</v>
      </c>
      <c r="K191" s="1" t="s">
        <v>59</v>
      </c>
      <c r="L191" s="35" t="s">
        <v>717</v>
      </c>
      <c r="M191" s="1" t="s">
        <v>718</v>
      </c>
      <c r="N191" s="1" t="s">
        <v>65</v>
      </c>
      <c r="O191" s="1" t="s">
        <v>106</v>
      </c>
      <c r="Q191" s="1" t="s">
        <v>65</v>
      </c>
      <c r="R191" s="1" t="s">
        <v>426</v>
      </c>
      <c r="U191" s="12" t="n">
        <v>0.120138888888889</v>
      </c>
      <c r="V191" s="11" t="n">
        <v>46084</v>
      </c>
      <c r="W191" s="12" t="n">
        <v>0.927083333333333</v>
      </c>
      <c r="X191" s="11" t="n">
        <v>46084</v>
      </c>
      <c r="Y191" s="12" t="n">
        <v>0.960416666666667</v>
      </c>
      <c r="Z191" s="23" t="s">
        <v>67</v>
      </c>
      <c r="AA191" s="1" t="s">
        <v>89</v>
      </c>
      <c r="AB191" s="2" t="e">
        <f aca="false">U191-#REF!</f>
        <v>#REF!</v>
      </c>
      <c r="AC191" s="14" t="n">
        <f aca="false">(V191+W191)-(B191+C191)</f>
        <v>4.81041666666667</v>
      </c>
      <c r="AD191" s="4" t="str">
        <f aca="false">INT((V191+W191)-(B191+C191)) &amp; ":" &amp;
TEXT(HOUR((V191+W191)-(B191+C191)), "00") &amp; ":" &amp;
TEXT(MINUTE((V191+W191)-(B191+C191)), "00")</f>
        <v>4:19:27</v>
      </c>
      <c r="AE191" s="1" t="n">
        <f aca="false">IFERROR(
LEFT(AD191,FIND(":",AD191)-1)
+ MID(AD191,FIND(":",AD191)+1,2)/24
+ RIGHT(AD191,2)/1440,
"")</f>
        <v>4.81041666666667</v>
      </c>
      <c r="AF191" s="4" t="str">
        <f aca="false">INT((X191+Y191)-(B191+C191)) &amp; ":" &amp;
TEXT(HOUR((X191+Y191)-(B191+C191)), "00") &amp; ":" &amp;
TEXT(MINUTE((X191+Y191)-(B191+C191)), "00")</f>
        <v>4:20:15</v>
      </c>
      <c r="AG191" s="4" t="str">
        <f aca="false" t="array" ref="AG191:AG191">INT(_xlfn.XLOOKUP(J191,{"Low","Medium","High","Urgent"},{48,24,12,8})/24) &amp; ":" &amp;
TEXT(MOD(_xlfn.XLOOKUP(J191,{"Low","Medium","High","Urgent"},{48,24,12,8}),24)/24,"hh:mm")</f>
        <v>2:00:00</v>
      </c>
      <c r="AH191" s="4" t="str">
        <f aca="false">IF(AD191&gt;AG191,"Not Met","Met")</f>
        <v>Not Met</v>
      </c>
      <c r="AI191" s="4" t="e">
        <f aca="false">IF(AB191&lt;TIME(0,30,0),"Met","Not Met")</f>
        <v>#REF!</v>
      </c>
      <c r="AN191" s="1" t="str">
        <f aca="false">TEXT(B191,"dd")</f>
        <v>27</v>
      </c>
      <c r="AO191" s="1" t="str">
        <f aca="false">TEXT(X191,"dd")</f>
        <v>03</v>
      </c>
      <c r="AP191" s="16" t="str">
        <f aca="false">INT(
  NETWORKDAYS(B191,V191)-1
  + IF(WEEKDAY(V191,2)&lt;6,MOD(V191+W191,1),0)
  - IF(WEEKDAY(B191,2)&lt;6,MOD(B191+C191,1),0)
)
&amp; ":" &amp;
TEXT(HOUR(
  NETWORKDAYS(B191,V191)-1
  + IF(WEEKDAY(V191,2)&lt;6,MOD(V191+W191,1),0)
  - IF(WEEKDAY(B191,2)&lt;6,MOD(B191+C191,1),0)
),"00")
&amp; ":" &amp;
TEXT(MINUTE(
  NETWORKDAYS(B191,V191)-1
  + IF(WEEKDAY(V191,2)&lt;6,MOD(V191+W191,1),0)
  - IF(WEEKDAY(B191,2)&lt;6,MOD(B191+C191,1),0)
),"00")</f>
        <v>2:19:27</v>
      </c>
      <c r="AQ191" s="0" t="n">
        <f aca="false">IFERROR(
LEFT(AP191,FIND(":",AP191)-1)
+ MID(AP191,FIND(":",AP191)+1,2)/24
+ RIGHT(AP191,2)/1440,
"")</f>
        <v>2.81041666666667</v>
      </c>
      <c r="AR191" s="0" t="n">
        <f aca="false">WEEKNUM(B191,1)</f>
        <v>9</v>
      </c>
      <c r="AS191" s="17" t="n">
        <f aca="false">IF(B191&gt;0, (B191+C191)-TIME(13,30,0), "")</f>
        <v>46079.5541666667</v>
      </c>
      <c r="AT191" s="18" t="n">
        <f aca="false">IF(B191&gt;0, (B191+C191)-TIME(13,30,0), "")</f>
        <v>46079.5541666667</v>
      </c>
      <c r="AU191" s="17" t="n">
        <f aca="false">IF(V191&gt;0, (V191+W191)-TIME(13,30,0), "")</f>
        <v>46084.3645833333</v>
      </c>
      <c r="AV191" s="18" t="n">
        <f aca="false">IF(V191&gt;0, (V191+W191)-TIME(13,30,0), "")</f>
        <v>46084.3645833333</v>
      </c>
      <c r="AW191" s="19" t="n">
        <f aca="false">24*(
MAX(0,
IF(NETWORKDAYS(AS191,AU191)=1,
MIN(MOD(AV191,1),TIME(17,30,0)) - MAX(MOD(AT191,1),TIME(8,30,0)),
(TIME(17,30,0)-MAX(MOD(AT191,1),TIME(8,30,0)))
+ (MIN(MOD(AV191,1),TIME(17,30,0))-TIME(8,30,0))
+ (NETWORKDAYS(AS191,AU191)-2)*9/24
)
)
)</f>
        <v>22.45</v>
      </c>
      <c r="AX191" s="19" t="n">
        <f aca="false">24*(
MAX(0,
IF(NETWORKDAYS(AS191,AU191)=1,
MIN(MOD(AV191,1),TIME(17,30,0)) - MAX(MOD(AT191,1),TIME(8,30,0)),
(TIME(17,30,0)-MAX(MOD(AT191,1),TIME(8,30,0)))
+ (MIN(MOD(AV191,1),TIME(17,30,0))-TIME(8,30,0))
+ (NETWORKDAYS(AS191,AU191)-2)* (TIME(17,30,0)-TIME(8,30,0))
)
)
)</f>
        <v>22.45</v>
      </c>
      <c r="AY191" s="20" t="n">
        <f aca="false">ROUND(
IF(AS191=AU191,
MAX(0,
(MIN(MOD(AV191,1),TIME(17,30,0))-
MAX(MOD(AT191,1),TIME(8,30,0)))*24
),
(
(MAX(0,TIME(17,30,0)-MAX(MOD(AT191,1),TIME(8,30,0)))*24)
+
(MAX(0,MIN(MOD(AV191,1),TIME(17,30,0))-TIME(8,30,0))*24)
+
(MAX(0,NETWORKDAYS(AS191+1,AU191-1))*9)
)
),
2)</f>
        <v>22.45</v>
      </c>
      <c r="AZ191" s="0" t="n">
        <f aca="false" t="array" ref="AZ191:AZ191">_xlfn.XLOOKUP(J191,{"Low","Medium","High"},{270,72,24})</f>
        <v>270</v>
      </c>
      <c r="BA191" s="0" t="str">
        <f aca="false">IF(AW191&gt;AZ191,"Not Met","Met")</f>
        <v>Met</v>
      </c>
      <c r="BB191" s="21" t="str">
        <f aca="false">IF(AS191="","",TEXT(AS191,"MMM")&amp;"'"&amp;TEXT(AS191,"yy"))</f>
        <v>Feb'26</v>
      </c>
      <c r="BC191" s="0" t="str">
        <f aca="false">IF(AU191="","",TEXT(AU191,"MMM")&amp;"'"&amp;TEXT(AU191,"yy"))</f>
        <v>Mar'26</v>
      </c>
    </row>
    <row r="192" customFormat="false" ht="15" hidden="false" customHeight="false" outlineLevel="0" collapsed="false">
      <c r="A192" s="1" t="s">
        <v>719</v>
      </c>
      <c r="B192" s="11" t="n">
        <v>46080</v>
      </c>
      <c r="C192" s="12" t="n">
        <v>0.140277777777778</v>
      </c>
      <c r="D192" s="13" t="str">
        <f aca="false">IF(B192="","",TEXT(B192,"MMM")&amp;"'"&amp;TEXT(B192,"yy"))</f>
        <v>Feb'26</v>
      </c>
      <c r="E192" s="1" t="s">
        <v>55</v>
      </c>
      <c r="F192" s="1" t="s">
        <v>39</v>
      </c>
      <c r="G192" s="46" t="str">
        <f aca="false">IF(F192="Closed","Closed","Pending")</f>
        <v>Closed</v>
      </c>
      <c r="H192" s="1" t="s">
        <v>720</v>
      </c>
      <c r="I192" s="1" t="s">
        <v>349</v>
      </c>
      <c r="J192" s="1" t="s">
        <v>74</v>
      </c>
      <c r="K192" s="1" t="s">
        <v>59</v>
      </c>
      <c r="L192" s="61" t="s">
        <v>721</v>
      </c>
      <c r="M192" s="1" t="s">
        <v>722</v>
      </c>
      <c r="N192" s="1" t="s">
        <v>65</v>
      </c>
      <c r="O192" s="1" t="s">
        <v>106</v>
      </c>
      <c r="Q192" s="1" t="s">
        <v>65</v>
      </c>
      <c r="R192" s="1" t="s">
        <v>87</v>
      </c>
      <c r="U192" s="12" t="n">
        <v>0.161111111111111</v>
      </c>
      <c r="V192" s="11" t="n">
        <v>46097</v>
      </c>
      <c r="W192" s="12" t="n">
        <v>0.902083333333333</v>
      </c>
      <c r="X192" s="11" t="n">
        <v>46105</v>
      </c>
      <c r="Y192" s="12" t="n">
        <v>0.903472222222222</v>
      </c>
      <c r="Z192" s="23" t="s">
        <v>67</v>
      </c>
      <c r="AA192" s="1" t="s">
        <v>68</v>
      </c>
      <c r="AB192" s="2" t="e">
        <f aca="false">U192-#REF!</f>
        <v>#REF!</v>
      </c>
      <c r="AC192" s="14" t="n">
        <f aca="false">(V192+W192)-(B192+C192)</f>
        <v>17.7618055555556</v>
      </c>
      <c r="AD192" s="4" t="str">
        <f aca="false">INT((V192+W192)-(B192+C192)) &amp; ":" &amp;
TEXT(HOUR((V192+W192)-(B192+C192)), "00") &amp; ":" &amp;
TEXT(MINUTE((V192+W192)-(B192+C192)), "00")</f>
        <v>17:18:17</v>
      </c>
      <c r="AE192" s="1" t="n">
        <f aca="false">IFERROR(
LEFT(AD192,FIND(":",AD192)-1)
+ MID(AD192,FIND(":",AD192)+1,2)/24
+ RIGHT(AD192,2)/1440,
"")</f>
        <v>17.7618055555556</v>
      </c>
      <c r="AF192" s="4" t="str">
        <f aca="false">INT((X192+Y192)-(B192+C192)) &amp; ":" &amp;
TEXT(HOUR((X192+Y192)-(B192+C192)), "00") &amp; ":" &amp;
TEXT(MINUTE((X192+Y192)-(B192+C192)), "00")</f>
        <v>25:18:19</v>
      </c>
      <c r="AG192" s="4" t="str">
        <f aca="false" t="array" ref="AG192:AG192">INT(_xlfn.XLOOKUP(J192,{"Low","Medium","High","Urgent"},{48,24,12,8})/24) &amp; ":" &amp;
TEXT(MOD(_xlfn.XLOOKUP(J192,{"Low","Medium","High","Urgent"},{48,24,12,8}),24)/24,"hh:mm")</f>
        <v>2:00:00</v>
      </c>
      <c r="AH192" s="4" t="str">
        <f aca="false">IF(AD192&gt;AG192,"Not Met","Met")</f>
        <v>Met</v>
      </c>
      <c r="AI192" s="4" t="e">
        <f aca="false">IF(AB192&lt;TIME(0,30,0),"Met","Not Met")</f>
        <v>#REF!</v>
      </c>
      <c r="AN192" s="1" t="str">
        <f aca="false">TEXT(B192,"dd")</f>
        <v>27</v>
      </c>
      <c r="AO192" s="1" t="str">
        <f aca="false">TEXT(X192,"dd")</f>
        <v>24</v>
      </c>
      <c r="AP192" s="16" t="str">
        <f aca="false">INT(
  NETWORKDAYS(B192,V192)-1
  + IF(WEEKDAY(V192,2)&lt;6,MOD(V192+W192,1),0)
  - IF(WEEKDAY(B192,2)&lt;6,MOD(B192+C192,1),0)
)
&amp; ":" &amp;
TEXT(HOUR(
  NETWORKDAYS(B192,V192)-1
  + IF(WEEKDAY(V192,2)&lt;6,MOD(V192+W192,1),0)
  - IF(WEEKDAY(B192,2)&lt;6,MOD(B192+C192,1),0)
),"00")
&amp; ":" &amp;
TEXT(MINUTE(
  NETWORKDAYS(B192,V192)-1
  + IF(WEEKDAY(V192,2)&lt;6,MOD(V192+W192,1),0)
  - IF(WEEKDAY(B192,2)&lt;6,MOD(B192+C192,1),0)
),"00")</f>
        <v>11:18:17</v>
      </c>
      <c r="AQ192" s="0" t="n">
        <f aca="false">IFERROR(
LEFT(AP192,FIND(":",AP192)-1)
+ MID(AP192,FIND(":",AP192)+1,2)/24
+ RIGHT(AP192,2)/1440,
"")</f>
        <v>11.7618055555556</v>
      </c>
      <c r="AR192" s="0" t="n">
        <f aca="false">WEEKNUM(B192,1)</f>
        <v>9</v>
      </c>
      <c r="AS192" s="17" t="n">
        <f aca="false">IF(B192&gt;0, (B192+C192)-TIME(13,30,0), "")</f>
        <v>46079.5777777778</v>
      </c>
      <c r="AT192" s="18" t="n">
        <f aca="false">IF(B192&gt;0, (B192+C192)-TIME(13,30,0), "")</f>
        <v>46079.5777777778</v>
      </c>
      <c r="AU192" s="17" t="n">
        <f aca="false">IF(V192&gt;0, (V192+W192)-TIME(13,30,0), "")</f>
        <v>46097.3395833333</v>
      </c>
      <c r="AV192" s="18" t="n">
        <f aca="false">IF(V192&gt;0, (V192+W192)-TIME(13,30,0), "")</f>
        <v>46097.3395833333</v>
      </c>
      <c r="AW192" s="19" t="n">
        <f aca="false">24*(
MAX(0,
IF(NETWORKDAYS(AS192,AU192)=1,
MIN(MOD(AV192,1),TIME(17,30,0)) - MAX(MOD(AT192,1),TIME(8,30,0)),
(TIME(17,30,0)-MAX(MOD(AT192,1),TIME(8,30,0)))
+ (MIN(MOD(AV192,1),TIME(17,30,0))-TIME(8,30,0))
+ (NETWORKDAYS(AS192,AU192)-2)*9/24
)
)
)</f>
        <v>102.283333333333</v>
      </c>
      <c r="AX192" s="19" t="n">
        <f aca="false">24*(
MAX(0,
IF(NETWORKDAYS(AS192,AU192)=1,
MIN(MOD(AV192,1),TIME(17,30,0)) - MAX(MOD(AT192,1),TIME(8,30,0)),
(TIME(17,30,0)-MAX(MOD(AT192,1),TIME(8,30,0)))
+ (MIN(MOD(AV192,1),TIME(17,30,0))-TIME(8,30,0))
+ (NETWORKDAYS(AS192,AU192)-2)* (TIME(17,30,0)-TIME(8,30,0))
)
)
)</f>
        <v>102.283333333333</v>
      </c>
      <c r="AY192" s="20" t="n">
        <f aca="false">ROUND(
IF(AS192=AU192,
MAX(0,
(MIN(MOD(AV192,1),TIME(17,30,0))-
MAX(MOD(AT192,1),TIME(8,30,0)))*24
),
(
(MAX(0,TIME(17,30,0)-MAX(MOD(AT192,1),TIME(8,30,0)))*24)
+
(MAX(0,MIN(MOD(AV192,1),TIME(17,30,0))-TIME(8,30,0))*24)
+
(MAX(0,NETWORKDAYS(AS192+1,AU192-1))*9)
)
),
2)</f>
        <v>102.63</v>
      </c>
      <c r="AZ192" s="0" t="n">
        <f aca="false" t="array" ref="AZ192:AZ192">_xlfn.XLOOKUP(J192,{"Low","Medium","High"},{270,72,24})</f>
        <v>270</v>
      </c>
      <c r="BA192" s="0" t="str">
        <f aca="false">IF(AW192&gt;AZ192,"Not Met","Met")</f>
        <v>Met</v>
      </c>
      <c r="BB192" s="21" t="str">
        <f aca="false">IF(AS192="","",TEXT(AS192,"MMM")&amp;"'"&amp;TEXT(AS192,"yy"))</f>
        <v>Feb'26</v>
      </c>
      <c r="BC192" s="0" t="str">
        <f aca="false">IF(AU192="","",TEXT(AU192,"MMM")&amp;"'"&amp;TEXT(AU192,"yy"))</f>
        <v>Mar'26</v>
      </c>
    </row>
    <row r="193" customFormat="false" ht="15" hidden="false" customHeight="false" outlineLevel="0" collapsed="false">
      <c r="A193" s="1" t="s">
        <v>723</v>
      </c>
      <c r="B193" s="11" t="n">
        <v>46080</v>
      </c>
      <c r="C193" s="32" t="n">
        <v>0.142361111111111</v>
      </c>
      <c r="D193" s="57" t="str">
        <f aca="false">IF(B193="","",TEXT(B193,"MMM")&amp;"'"&amp;TEXT(B193,"yy"))</f>
        <v>Feb'26</v>
      </c>
      <c r="E193" s="26" t="s">
        <v>55</v>
      </c>
      <c r="F193" s="26" t="s">
        <v>39</v>
      </c>
      <c r="G193" s="62" t="str">
        <f aca="false">IF(F193="Closed","Closed","Pending")</f>
        <v>Closed</v>
      </c>
      <c r="H193" s="26" t="s">
        <v>56</v>
      </c>
      <c r="I193" s="26" t="s">
        <v>82</v>
      </c>
      <c r="J193" s="26" t="s">
        <v>74</v>
      </c>
      <c r="K193" s="26" t="s">
        <v>59</v>
      </c>
      <c r="L193" s="40" t="s">
        <v>724</v>
      </c>
      <c r="M193" s="1" t="s">
        <v>725</v>
      </c>
      <c r="N193" s="1" t="s">
        <v>62</v>
      </c>
      <c r="O193" s="1" t="s">
        <v>63</v>
      </c>
      <c r="Q193" s="1" t="s">
        <v>229</v>
      </c>
      <c r="R193" s="1" t="s">
        <v>426</v>
      </c>
      <c r="U193" s="12" t="n">
        <v>0.161111111111111</v>
      </c>
      <c r="V193" s="11" t="n">
        <v>46081</v>
      </c>
      <c r="W193" s="12" t="n">
        <v>0.01875</v>
      </c>
      <c r="X193" s="11" t="n">
        <v>46081</v>
      </c>
      <c r="Y193" s="12" t="n">
        <v>0.01875</v>
      </c>
      <c r="Z193" s="1" t="s">
        <v>574</v>
      </c>
      <c r="AA193" s="1" t="s">
        <v>68</v>
      </c>
      <c r="AB193" s="2" t="e">
        <f aca="false">U193-#REF!</f>
        <v>#REF!</v>
      </c>
      <c r="AC193" s="14" t="n">
        <f aca="false">(V193+W193)-(B193+C193)</f>
        <v>0.876388888888889</v>
      </c>
      <c r="AD193" s="4" t="str">
        <f aca="false">INT((V193+W193)-(B193+C193)) &amp; ":" &amp;
TEXT(HOUR((V193+W193)-(B193+C193)), "00") &amp; ":" &amp;
TEXT(MINUTE((V193+W193)-(B193+C193)), "00")</f>
        <v>0:21:02</v>
      </c>
      <c r="AE193" s="1" t="n">
        <f aca="false">IFERROR(
LEFT(AD193,FIND(":",AD193)-1)
+ MID(AD193,FIND(":",AD193)+1,2)/24
+ RIGHT(AD193,2)/1440,
"")</f>
        <v>0.876388888888889</v>
      </c>
      <c r="AF193" s="4" t="str">
        <f aca="false">INT((X193+Y193)-(B193+C193)) &amp; ":" &amp;
TEXT(HOUR((X193+Y193)-(B193+C193)), "00") &amp; ":" &amp;
TEXT(MINUTE((X193+Y193)-(B193+C193)), "00")</f>
        <v>0:21:02</v>
      </c>
      <c r="AG193" s="4" t="str">
        <f aca="false" t="array" ref="AG193:AG193">INT(_xlfn.XLOOKUP(J193,{"Low","Medium","High","Urgent"},{48,24,12,8})/24) &amp; ":" &amp;
TEXT(MOD(_xlfn.XLOOKUP(J193,{"Low","Medium","High","Urgent"},{48,24,12,8}),24)/24,"hh:mm")</f>
        <v>2:00:00</v>
      </c>
      <c r="AH193" s="4" t="str">
        <f aca="false">IF(AD193&gt;AG193,"Not Met","Met")</f>
        <v>Met</v>
      </c>
      <c r="AI193" s="4" t="e">
        <f aca="false">IF(AB193&lt;TIME(0,30,0),"Met","Not Met")</f>
        <v>#REF!</v>
      </c>
      <c r="AN193" s="1" t="str">
        <f aca="false">TEXT(B193,"dd")</f>
        <v>27</v>
      </c>
      <c r="AO193" s="1" t="str">
        <f aca="false">TEXT(X193,"dd")</f>
        <v>28</v>
      </c>
      <c r="AP193" s="16" t="str">
        <f aca="false">INT(
  NETWORKDAYS(B193,V193)-1
  + IF(WEEKDAY(V193,2)&lt;6,MOD(V193+W193,1),0)
  - IF(WEEKDAY(B193,2)&lt;6,MOD(B193+C193,1),0)
)
&amp; ":" &amp;
TEXT(HOUR(
  NETWORKDAYS(B193,V193)-1
  + IF(WEEKDAY(V193,2)&lt;6,MOD(V193+W193,1),0)
  - IF(WEEKDAY(B193,2)&lt;6,MOD(B193+C193,1),0)
),"00")
&amp; ":" &amp;
TEXT(MINUTE(
  NETWORKDAYS(B193,V193)-1
  + IF(WEEKDAY(V193,2)&lt;6,MOD(V193+W193,1),0)
  - IF(WEEKDAY(B193,2)&lt;6,MOD(B193+C193,1),0)
),"00")</f>
        <v>-1:20:35</v>
      </c>
      <c r="AQ193" s="0" t="n">
        <f aca="false">IFERROR(
LEFT(AP193,FIND(":",AP193)-1)
+ MID(AP193,FIND(":",AP193)+1,2)/24
+ RIGHT(AP193,2)/1440,
"")</f>
        <v>-0.142361111111111</v>
      </c>
      <c r="AR193" s="0" t="n">
        <f aca="false">WEEKNUM(B193,1)</f>
        <v>9</v>
      </c>
      <c r="AS193" s="17" t="n">
        <f aca="false">IF(B193&gt;0, (B193+C193)-TIME(13,30,0), "")</f>
        <v>46079.5798611111</v>
      </c>
      <c r="AT193" s="18" t="n">
        <f aca="false">IF(B193&gt;0, (B193+C193)-TIME(13,30,0), "")</f>
        <v>46079.5798611111</v>
      </c>
      <c r="AU193" s="17" t="n">
        <f aca="false">IF(V193&gt;0, (V193+W193)-TIME(13,30,0), "")</f>
        <v>46080.45625</v>
      </c>
      <c r="AV193" s="18" t="n">
        <f aca="false">IF(V193&gt;0, (V193+W193)-TIME(13,30,0), "")</f>
        <v>46080.45625</v>
      </c>
      <c r="AW193" s="19" t="n">
        <f aca="false">24*(
MAX(0,
IF(NETWORKDAYS(AS193,AU193)=1,
MIN(MOD(AV193,1),TIME(17,30,0)) - MAX(MOD(AT193,1),TIME(8,30,0)),
(TIME(17,30,0)-MAX(MOD(AT193,1),TIME(8,30,0)))
+ (MIN(MOD(AV193,1),TIME(17,30,0))-TIME(8,30,0))
+ (NETWORKDAYS(AS193,AU193)-2)*9/24
)
)
)</f>
        <v>6.03333333333333</v>
      </c>
      <c r="AX193" s="19" t="n">
        <f aca="false">24*(
MAX(0,
IF(NETWORKDAYS(AS193,AU193)=1,
MIN(MOD(AV193,1),TIME(17,30,0)) - MAX(MOD(AT193,1),TIME(8,30,0)),
(TIME(17,30,0)-MAX(MOD(AT193,1),TIME(8,30,0)))
+ (MIN(MOD(AV193,1),TIME(17,30,0))-TIME(8,30,0))
+ (NETWORKDAYS(AS193,AU193)-2)* (TIME(17,30,0)-TIME(8,30,0))
)
)
)</f>
        <v>6.03333333333333</v>
      </c>
      <c r="AY193" s="20" t="n">
        <f aca="false">ROUND(
IF(AS193=AU193,
MAX(0,
(MIN(MOD(AV193,1),TIME(17,30,0))-
MAX(MOD(AT193,1),TIME(8,30,0)))*24
),
(
(MAX(0,TIME(17,30,0)-MAX(MOD(AT193,1),TIME(8,30,0)))*24)
+
(MAX(0,MIN(MOD(AV193,1),TIME(17,30,0))-TIME(8,30,0))*24)
+
(MAX(0,NETWORKDAYS(AS193+1,AU193-1))*9)
)
),
2)</f>
        <v>6.03</v>
      </c>
      <c r="AZ193" s="0" t="n">
        <f aca="false" t="array" ref="AZ193:AZ193">_xlfn.XLOOKUP(J193,{"Low","Medium","High"},{270,72,24})</f>
        <v>270</v>
      </c>
      <c r="BA193" s="0" t="str">
        <f aca="false">IF(AW193&gt;AZ193,"Not Met","Met")</f>
        <v>Met</v>
      </c>
      <c r="BB193" s="21" t="str">
        <f aca="false">IF(AS193="","",TEXT(AS193,"MMM")&amp;"'"&amp;TEXT(AS193,"yy"))</f>
        <v>Feb'26</v>
      </c>
      <c r="BC193" s="0" t="str">
        <f aca="false">IF(AU193="","",TEXT(AU193,"MMM")&amp;"'"&amp;TEXT(AU193,"yy"))</f>
        <v>Feb'26</v>
      </c>
    </row>
    <row r="194" customFormat="false" ht="15" hidden="false" customHeight="false" outlineLevel="0" collapsed="false">
      <c r="A194" s="1" t="s">
        <v>726</v>
      </c>
      <c r="B194" s="63" t="n">
        <v>46080</v>
      </c>
      <c r="C194" s="12" t="n">
        <v>0.901388888888889</v>
      </c>
      <c r="D194" s="13" t="str">
        <f aca="false">IF(B194="","",TEXT(B194,"MMM")&amp;"'"&amp;TEXT(B194,"yy"))</f>
        <v>Feb'26</v>
      </c>
      <c r="E194" s="1" t="s">
        <v>55</v>
      </c>
      <c r="F194" s="23" t="s">
        <v>539</v>
      </c>
      <c r="G194" s="1" t="str">
        <f aca="false">IF(F194="Closed","Closed","Pending")</f>
        <v>Pending</v>
      </c>
      <c r="H194" s="1" t="s">
        <v>72</v>
      </c>
      <c r="I194" s="1" t="s">
        <v>190</v>
      </c>
      <c r="J194" s="1" t="s">
        <v>74</v>
      </c>
      <c r="K194" s="1" t="s">
        <v>59</v>
      </c>
      <c r="L194" s="1" t="s">
        <v>727</v>
      </c>
      <c r="M194" s="35" t="s">
        <v>728</v>
      </c>
      <c r="N194" s="1" t="s">
        <v>62</v>
      </c>
      <c r="O194" s="1" t="s">
        <v>63</v>
      </c>
      <c r="Q194" s="1" t="s">
        <v>63</v>
      </c>
      <c r="R194" s="1" t="s">
        <v>66</v>
      </c>
      <c r="U194" s="12" t="n">
        <v>0.932638888888889</v>
      </c>
      <c r="Z194" s="1" t="s">
        <v>343</v>
      </c>
      <c r="AB194" s="2" t="e">
        <f aca="false">U194-#REF!</f>
        <v>#REF!</v>
      </c>
      <c r="AC194" s="14" t="n">
        <f aca="false">(V194+W194)-(B194+C194)</f>
        <v>-46080.9013888889</v>
      </c>
      <c r="AD194" s="4" t="str">
        <f aca="false">INT((V194+W194)-(B194+C194)) &amp; ":" &amp;
TEXT(HOUR((V194+W194)-(B194+C194)), "00") &amp; ":" &amp;
TEXT(MINUTE((V194+W194)-(B194+C194)), "00")</f>
        <v>-46081:02:22</v>
      </c>
      <c r="AE194" s="1" t="n">
        <f aca="false">IFERROR(
LEFT(AD194,FIND(":",AD194)-1)
+ MID(AD194,FIND(":",AD194)+1,2)/24
+ RIGHT(AD194,2)/1440,
"")</f>
        <v>-46080.9013888889</v>
      </c>
      <c r="AF194" s="4" t="str">
        <f aca="false">INT((X194+Y194)-(B194+C194)) &amp; ":" &amp;
TEXT(HOUR((X194+Y194)-(B194+C194)), "00") &amp; ":" &amp;
TEXT(MINUTE((X194+Y194)-(B194+C194)), "00")</f>
        <v>-46081:02:22</v>
      </c>
      <c r="AG194" s="4" t="str">
        <f aca="false" t="array" ref="AG194:AG194">INT(_xlfn.XLOOKUP(J194,{"Low","Medium","High","Urgent"},{48,24,12,8})/24) &amp; ":" &amp;
TEXT(MOD(_xlfn.XLOOKUP(J194,{"Low","Medium","High","Urgent"},{48,24,12,8}),24)/24,"hh:mm")</f>
        <v>2:00:00</v>
      </c>
      <c r="AH194" s="4" t="str">
        <f aca="false">IF(AD194&gt;AG194,"Not Met","Met")</f>
        <v>Met</v>
      </c>
      <c r="AI194" s="4" t="e">
        <f aca="false">IF(AB194&lt;TIME(0,30,0),"Met","Not Met")</f>
        <v>#REF!</v>
      </c>
      <c r="AN194" s="1" t="str">
        <f aca="false">TEXT(B194,"dd")</f>
        <v>27</v>
      </c>
      <c r="AO194" s="1" t="str">
        <f aca="false">TEXT(X194,"dd")</f>
        <v>30</v>
      </c>
      <c r="AP194" s="16" t="str">
        <f aca="false">INT(
  NETWORKDAYS(B194,V194)-1
  + IF(WEEKDAY(V194,2)&lt;6,MOD(V194+W194,1),0)
  - IF(WEEKDAY(B194,2)&lt;6,MOD(B194+C194,1),0)
)
&amp; ":" &amp;
TEXT(HOUR(
  NETWORKDAYS(B194,V194)-1
  + IF(WEEKDAY(V194,2)&lt;6,MOD(V194+W194,1),0)
  - IF(WEEKDAY(B194,2)&lt;6,MOD(B194+C194,1),0)
),"00")
&amp; ":" &amp;
TEXT(MINUTE(
  NETWORKDAYS(B194,V194)-1
  + IF(WEEKDAY(V194,2)&lt;6,MOD(V194+W194,1),0)
  - IF(WEEKDAY(B194,2)&lt;6,MOD(B194+C194,1),0)
),"00")</f>
        <v>-32917:02:22</v>
      </c>
      <c r="AQ194" s="0" t="n">
        <f aca="false">IFERROR(
LEFT(AP194,FIND(":",AP194)-1)
+ MID(AP194,FIND(":",AP194)+1,2)/24
+ RIGHT(AP194,2)/1440,
"")</f>
        <v>-32916.9013888889</v>
      </c>
      <c r="AR194" s="0" t="n">
        <f aca="false">WEEKNUM(B194,1)</f>
        <v>9</v>
      </c>
      <c r="AS194" s="17" t="n">
        <f aca="false">IF(B194&gt;0, (B194+C194)-TIME(13,30,0), "")</f>
        <v>46080.3388888889</v>
      </c>
      <c r="AT194" s="18" t="n">
        <f aca="false">IF(B194&gt;0, (B194+C194)-TIME(13,30,0), "")</f>
        <v>46080.3388888889</v>
      </c>
      <c r="AU194" s="17" t="str">
        <f aca="false">IF(V194&gt;0, (V194+W194)-TIME(13,30,0), "")</f>
        <v/>
      </c>
      <c r="AV194" s="18" t="str">
        <f aca="false">IF(V194&gt;0, (V194+W194)-TIME(13,30,0), "")</f>
        <v/>
      </c>
      <c r="AW194" s="19" t="e">
        <f aca="false">24*(
MAX(0,
IF(NETWORKDAYS(AS194,AU194)=1,
MIN(MOD(AV194,1),TIME(17,30,0)) - MAX(MOD(AT194,1),TIME(8,30,0)),
(TIME(17,30,0)-MAX(MOD(AT194,1),TIME(8,30,0)))
+ (MIN(MOD(AV194,1),TIME(17,30,0))-TIME(8,30,0))
+ (NETWORKDAYS(AS194,AU194)-2)*9/24
)
)
)</f>
        <v>#VALUE!</v>
      </c>
      <c r="AX194" s="19" t="e">
        <f aca="false">24*(
MAX(0,
IF(NETWORKDAYS(AS194,AU194)=1,
MIN(MOD(AV194,1),TIME(17,30,0)) - MAX(MOD(AT194,1),TIME(8,30,0)),
(TIME(17,30,0)-MAX(MOD(AT194,1),TIME(8,30,0)))
+ (MIN(MOD(AV194,1),TIME(17,30,0))-TIME(8,30,0))
+ (NETWORKDAYS(AS194,AU194)-2)* (TIME(17,30,0)-TIME(8,30,0))
)
)
)</f>
        <v>#VALUE!</v>
      </c>
      <c r="AY194" s="20" t="e">
        <f aca="false">ROUND(
IF(AS194=AU194,
MAX(0,
(MIN(MOD(AV194,1),TIME(17,30,0))-
MAX(MOD(AT194,1),TIME(8,30,0)))*24
),
(
(MAX(0,TIME(17,30,0)-MAX(MOD(AT194,1),TIME(8,30,0)))*24)
+
(MAX(0,MIN(MOD(AV194,1),TIME(17,30,0))-TIME(8,30,0))*24)
+
(MAX(0,NETWORKDAYS(AS194+1,AU194-1))*9)
)
),
2)</f>
        <v>#VALUE!</v>
      </c>
      <c r="AZ194" s="0" t="n">
        <f aca="false" t="array" ref="AZ194:AZ194">_xlfn.XLOOKUP(J194,{"Low","Medium","High"},{270,72,24})</f>
        <v>270</v>
      </c>
      <c r="BA194" s="0" t="e">
        <f aca="false">IF(AW194&gt;AZ194,"Not Met","Met")</f>
        <v>#VALUE!</v>
      </c>
      <c r="BB194" s="21" t="str">
        <f aca="false">IF(AS194="","",TEXT(AS194,"MMM")&amp;"'"&amp;TEXT(AS194,"yy"))</f>
        <v>Feb'26</v>
      </c>
      <c r="BC194" s="0" t="str">
        <f aca="false">IF(AU194="","",TEXT(AU194,"MMM")&amp;"'"&amp;TEXT(AU194,"yy"))</f>
        <v/>
      </c>
      <c r="BE194" s="0" t="s">
        <v>144</v>
      </c>
    </row>
    <row r="195" customFormat="false" ht="15" hidden="false" customHeight="false" outlineLevel="0" collapsed="false">
      <c r="A195" s="1" t="s">
        <v>729</v>
      </c>
      <c r="B195" s="63" t="n">
        <v>46080</v>
      </c>
      <c r="C195" s="12" t="n">
        <v>0.984722222222222</v>
      </c>
      <c r="D195" s="13" t="str">
        <f aca="false">IF(B195="","",TEXT(B195,"MMM")&amp;"'"&amp;TEXT(B195,"yy"))</f>
        <v>Feb'26</v>
      </c>
      <c r="E195" s="1" t="s">
        <v>55</v>
      </c>
      <c r="F195" s="1" t="s">
        <v>39</v>
      </c>
      <c r="G195" s="1" t="str">
        <f aca="false">IF(F195="Closed","Closed","Pending")</f>
        <v>Closed</v>
      </c>
      <c r="H195" s="1" t="s">
        <v>157</v>
      </c>
      <c r="I195" s="1" t="s">
        <v>270</v>
      </c>
      <c r="J195" s="1" t="s">
        <v>74</v>
      </c>
      <c r="K195" s="1" t="s">
        <v>59</v>
      </c>
      <c r="L195" s="1" t="s">
        <v>730</v>
      </c>
      <c r="M195" s="35" t="s">
        <v>731</v>
      </c>
      <c r="N195" s="1" t="s">
        <v>143</v>
      </c>
      <c r="O195" s="1" t="s">
        <v>143</v>
      </c>
      <c r="Q195" s="1" t="s">
        <v>143</v>
      </c>
      <c r="R195" s="1" t="s">
        <v>66</v>
      </c>
      <c r="U195" s="25" t="n">
        <v>46081.0319444445</v>
      </c>
      <c r="V195" s="11" t="n">
        <v>46154</v>
      </c>
      <c r="W195" s="12" t="n">
        <v>0.890277777777778</v>
      </c>
      <c r="X195" s="11" t="n">
        <v>46154</v>
      </c>
      <c r="Y195" s="12" t="n">
        <v>0.890277777777778</v>
      </c>
      <c r="Z195" s="1" t="s">
        <v>108</v>
      </c>
      <c r="AA195" s="1" t="s">
        <v>68</v>
      </c>
      <c r="AB195" s="2" t="n">
        <v>0.0472222222222222</v>
      </c>
      <c r="AC195" s="14" t="n">
        <f aca="false">(V195+W195)-(B195+C195)</f>
        <v>73.9055555555556</v>
      </c>
      <c r="AD195" s="4" t="str">
        <f aca="false">INT((V195+W195)-(B195+C195)) &amp; ":" &amp;
TEXT(HOUR((V195+W195)-(B195+C195)), "00") &amp; ":" &amp;
TEXT(MINUTE((V195+W195)-(B195+C195)), "00")</f>
        <v>73:21:44</v>
      </c>
      <c r="AE195" s="1" t="n">
        <f aca="false">IFERROR(
LEFT(AD195,FIND(":",AD195)-1)
+ MID(AD195,FIND(":",AD195)+1,2)/24
+ RIGHT(AD195,2)/1440,
"")</f>
        <v>73.9055555555556</v>
      </c>
      <c r="AF195" s="4" t="str">
        <f aca="false">INT((X195+Y195)-(B195+C195)) &amp; ":" &amp;
TEXT(HOUR((X195+Y195)-(B195+C195)), "00") &amp; ":" &amp;
TEXT(MINUTE((X195+Y195)-(B195+C195)), "00")</f>
        <v>73:21:44</v>
      </c>
      <c r="AG195" s="4" t="str">
        <f aca="false" t="array" ref="AG195:AG195">INT(_xlfn.XLOOKUP(J195,{"Low","Medium","High","Urgent"},{48,24,12,8})/24) &amp; ":" &amp;
TEXT(MOD(_xlfn.XLOOKUP(J195,{"Low","Medium","High","Urgent"},{48,24,12,8}),24)/24,"hh:mm")</f>
        <v>2:00:00</v>
      </c>
      <c r="AH195" s="4" t="str">
        <f aca="false">IF(AD195&gt;AG195,"Not Met","Met")</f>
        <v>Not Met</v>
      </c>
      <c r="AI195" s="4" t="str">
        <f aca="false">IF(AB195&lt;TIME(0,30,0),"Met","Not Met")</f>
        <v>Not Met</v>
      </c>
      <c r="AN195" s="1" t="str">
        <f aca="false">TEXT(B195,"dd")</f>
        <v>27</v>
      </c>
      <c r="AO195" s="1" t="str">
        <f aca="false">TEXT(X195,"dd")</f>
        <v>12</v>
      </c>
      <c r="AP195" s="16" t="str">
        <f aca="false">INT(
  NETWORKDAYS(B195,V195)-1
  + IF(WEEKDAY(V195,2)&lt;6,MOD(V195+W195,1),0)
  - IF(WEEKDAY(B195,2)&lt;6,MOD(B195+C195,1),0)
)
&amp; ":" &amp;
TEXT(HOUR(
  NETWORKDAYS(B195,V195)-1
  + IF(WEEKDAY(V195,2)&lt;6,MOD(V195+W195,1),0)
  - IF(WEEKDAY(B195,2)&lt;6,MOD(B195+C195,1),0)
),"00")
&amp; ":" &amp;
TEXT(MINUTE(
  NETWORKDAYS(B195,V195)-1
  + IF(WEEKDAY(V195,2)&lt;6,MOD(V195+W195,1),0)
  - IF(WEEKDAY(B195,2)&lt;6,MOD(B195+C195,1),0)
),"00")</f>
        <v>51:21:43</v>
      </c>
      <c r="AQ195" s="0" t="n">
        <f aca="false">IFERROR(
LEFT(AP195,FIND(":",AP195)-1)
+ MID(AP195,FIND(":",AP195)+1,2)/24
+ RIGHT(AP195,2)/1440,
"")</f>
        <v>51.9048611111111</v>
      </c>
      <c r="AR195" s="0" t="n">
        <f aca="false">WEEKNUM(B195,1)</f>
        <v>9</v>
      </c>
      <c r="AS195" s="17" t="n">
        <f aca="false">IF(B195&gt;0, (B195+C195)-TIME(13,30,0), "")</f>
        <v>46080.4222222222</v>
      </c>
      <c r="AT195" s="18" t="n">
        <f aca="false">IF(B195&gt;0, (B195+C195)-TIME(13,30,0), "")</f>
        <v>46080.4222222222</v>
      </c>
      <c r="AU195" s="17" t="n">
        <f aca="false">IF(V195&gt;0, (V195+W195)-TIME(13,30,0), "")</f>
        <v>46154.3277777778</v>
      </c>
      <c r="AV195" s="18" t="n">
        <f aca="false">IF(V195&gt;0, (V195+W195)-TIME(13,30,0), "")</f>
        <v>46154.3277777778</v>
      </c>
      <c r="AW195" s="19" t="n">
        <f aca="false">24*(
MAX(0,
IF(NETWORKDAYS(AS195,AU195)=1,
MIN(MOD(AV195,1),TIME(17,30,0)) - MAX(MOD(AT195,1),TIME(8,30,0)),
(TIME(17,30,0)-MAX(MOD(AT195,1),TIME(8,30,0)))
+ (MIN(MOD(AV195,1),TIME(17,30,0))-TIME(8,30,0))
+ (NETWORKDAYS(AS195,AU195)-2)*9/24
)
)
)</f>
        <v>465.733333333333</v>
      </c>
      <c r="AX195" s="19" t="n">
        <f aca="false">24*(
MAX(0,
IF(NETWORKDAYS(AS195,AU195)=1,
MIN(MOD(AV195,1),TIME(17,30,0)) - MAX(MOD(AT195,1),TIME(8,30,0)),
(TIME(17,30,0)-MAX(MOD(AT195,1),TIME(8,30,0)))
+ (MIN(MOD(AV195,1),TIME(17,30,0))-TIME(8,30,0))
+ (NETWORKDAYS(AS195,AU195)-2)* (TIME(17,30,0)-TIME(8,30,0))
)
)
)</f>
        <v>465.733333333333</v>
      </c>
      <c r="AY195" s="20" t="n">
        <f aca="false">ROUND(
IF(AS195=AU195,
MAX(0,
(MIN(MOD(AV195,1),TIME(17,30,0))-
MAX(MOD(AT195,1),TIME(8,30,0)))*24
),
(
(MAX(0,TIME(17,30,0)-MAX(MOD(AT195,1),TIME(8,30,0)))*24)
+
(MAX(0,MIN(MOD(AV195,1),TIME(17,30,0))-TIME(8,30,0))*24)
+
(MAX(0,NETWORKDAYS(AS195+1,AU195-1))*9)
)
),
2)</f>
        <v>466.37</v>
      </c>
      <c r="AZ195" s="0" t="n">
        <f aca="false" t="array" ref="AZ195:AZ195">_xlfn.XLOOKUP(J195,{"Low","Medium","High"},{270,72,24})</f>
        <v>270</v>
      </c>
      <c r="BA195" s="0" t="str">
        <f aca="false">IF(AW195&gt;AZ195,"Not Met","Met")</f>
        <v>Not Met</v>
      </c>
      <c r="BB195" s="21" t="str">
        <f aca="false">IF(AS195="","",TEXT(AS195,"MMM")&amp;"'"&amp;TEXT(AS195,"yy"))</f>
        <v>Feb'26</v>
      </c>
      <c r="BC195" s="0" t="str">
        <f aca="false">IF(AU195="","",TEXT(AU195,"MMM")&amp;"'"&amp;TEXT(AU195,"yy"))</f>
        <v>May'26</v>
      </c>
    </row>
    <row r="196" customFormat="false" ht="15" hidden="false" customHeight="false" outlineLevel="0" collapsed="false">
      <c r="A196" s="1" t="s">
        <v>732</v>
      </c>
      <c r="B196" s="63" t="n">
        <v>46080</v>
      </c>
      <c r="C196" s="12" t="n">
        <v>0.986111111111111</v>
      </c>
      <c r="D196" s="13" t="str">
        <f aca="false">IF(B196="","",TEXT(B196,"MMM")&amp;"'"&amp;TEXT(B196,"yy"))</f>
        <v>Feb'26</v>
      </c>
      <c r="E196" s="1" t="s">
        <v>55</v>
      </c>
      <c r="F196" s="1" t="s">
        <v>39</v>
      </c>
      <c r="G196" s="1" t="str">
        <f aca="false">IF(F196="Closed","Closed","Pending")</f>
        <v>Closed</v>
      </c>
      <c r="H196" s="26" t="s">
        <v>185</v>
      </c>
      <c r="I196" s="26" t="s">
        <v>223</v>
      </c>
      <c r="J196" s="26" t="s">
        <v>58</v>
      </c>
      <c r="K196" s="1" t="s">
        <v>59</v>
      </c>
      <c r="L196" s="1" t="s">
        <v>733</v>
      </c>
      <c r="M196" s="35" t="s">
        <v>734</v>
      </c>
      <c r="N196" s="1" t="s">
        <v>62</v>
      </c>
      <c r="O196" s="1" t="s">
        <v>63</v>
      </c>
      <c r="Q196" s="1" t="s">
        <v>229</v>
      </c>
      <c r="R196" s="1" t="s">
        <v>426</v>
      </c>
      <c r="U196" s="25" t="n">
        <v>46081.0319444445</v>
      </c>
      <c r="V196" s="11" t="n">
        <v>46083</v>
      </c>
      <c r="W196" s="12" t="n">
        <v>0.977777777777778</v>
      </c>
      <c r="X196" s="11" t="n">
        <v>46087</v>
      </c>
      <c r="Y196" s="12" t="n">
        <v>0.0569444444444444</v>
      </c>
      <c r="Z196" s="1" t="s">
        <v>108</v>
      </c>
      <c r="AA196" s="1" t="s">
        <v>68</v>
      </c>
      <c r="AB196" s="2" t="n">
        <v>0.0458333333333333</v>
      </c>
      <c r="AC196" s="14" t="n">
        <f aca="false">(V196+W196)-(B196+C196)</f>
        <v>2.99166666666667</v>
      </c>
      <c r="AD196" s="4" t="str">
        <f aca="false">INT((V196+W196)-(B196+C196)) &amp; ":" &amp;
TEXT(HOUR((V196+W196)-(B196+C196)), "00") &amp; ":" &amp;
TEXT(MINUTE((V196+W196)-(B196+C196)), "00")</f>
        <v>2:23:48</v>
      </c>
      <c r="AE196" s="1" t="n">
        <f aca="false">IFERROR(
LEFT(AD196,FIND(":",AD196)-1)
+ MID(AD196,FIND(":",AD196)+1,2)/24
+ RIGHT(AD196,2)/1440,
"")</f>
        <v>2.99166666666667</v>
      </c>
      <c r="AF196" s="4" t="str">
        <f aca="false">INT((X196+Y196)-(B196+C196)) &amp; ":" &amp;
TEXT(HOUR((X196+Y196)-(B196+C196)), "00") &amp; ":" &amp;
TEXT(MINUTE((X196+Y196)-(B196+C196)), "00")</f>
        <v>6:01:42</v>
      </c>
      <c r="AG196" s="4" t="str">
        <f aca="false" t="array" ref="AG196:AG196">INT(_xlfn.XLOOKUP(J196,{"Low","Medium","High","Urgent"},{48,24,12,8})/24) &amp; ":" &amp;
TEXT(MOD(_xlfn.XLOOKUP(J196,{"Low","Medium","High","Urgent"},{48,24,12,8}),24)/24,"hh:mm")</f>
        <v>1:00:00</v>
      </c>
      <c r="AH196" s="4" t="str">
        <f aca="false">IF(AD196&gt;AG196,"Not Met","Met")</f>
        <v>Not Met</v>
      </c>
      <c r="AI196" s="4" t="str">
        <f aca="false">IF(AB196&lt;TIME(0,30,0),"Met","Not Met")</f>
        <v>Not Met</v>
      </c>
      <c r="AN196" s="1" t="str">
        <f aca="false">TEXT(B196,"dd")</f>
        <v>27</v>
      </c>
      <c r="AO196" s="1" t="str">
        <f aca="false">TEXT(X196,"dd")</f>
        <v>06</v>
      </c>
      <c r="AP196" s="16" t="str">
        <f aca="false">INT(
  NETWORKDAYS(B196,V196)-1
  + IF(WEEKDAY(V196,2)&lt;6,MOD(V196+W196,1),0)
  - IF(WEEKDAY(B196,2)&lt;6,MOD(B196+C196,1),0)
)
&amp; ":" &amp;
TEXT(HOUR(
  NETWORKDAYS(B196,V196)-1
  + IF(WEEKDAY(V196,2)&lt;6,MOD(V196+W196,1),0)
  - IF(WEEKDAY(B196,2)&lt;6,MOD(B196+C196,1),0)
),"00")
&amp; ":" &amp;
TEXT(MINUTE(
  NETWORKDAYS(B196,V196)-1
  + IF(WEEKDAY(V196,2)&lt;6,MOD(V196+W196,1),0)
  - IF(WEEKDAY(B196,2)&lt;6,MOD(B196+C196,1),0)
),"00")</f>
        <v>0:23:48</v>
      </c>
      <c r="AQ196" s="0" t="n">
        <f aca="false">IFERROR(
LEFT(AP196,FIND(":",AP196)-1)
+ MID(AP196,FIND(":",AP196)+1,2)/24
+ RIGHT(AP196,2)/1440,
"")</f>
        <v>0.991666666666667</v>
      </c>
      <c r="AR196" s="0" t="n">
        <f aca="false">WEEKNUM(B196,1)</f>
        <v>9</v>
      </c>
      <c r="AS196" s="17" t="n">
        <f aca="false">IF(B196&gt;0, (B196+C196)-TIME(13,30,0), "")</f>
        <v>46080.4236111111</v>
      </c>
      <c r="AT196" s="18" t="n">
        <f aca="false">IF(B196&gt;0, (B196+C196)-TIME(13,30,0), "")</f>
        <v>46080.4236111111</v>
      </c>
      <c r="AU196" s="17" t="n">
        <f aca="false">IF(V196&gt;0, (V196+W196)-TIME(13,30,0), "")</f>
        <v>46083.4152777778</v>
      </c>
      <c r="AV196" s="18" t="n">
        <f aca="false">IF(V196&gt;0, (V196+W196)-TIME(13,30,0), "")</f>
        <v>46083.4152777778</v>
      </c>
      <c r="AW196" s="19" t="n">
        <f aca="false">24*(
MAX(0,
IF(NETWORKDAYS(AS196,AU196)=1,
MIN(MOD(AV196,1),TIME(17,30,0)) - MAX(MOD(AT196,1),TIME(8,30,0)),
(TIME(17,30,0)-MAX(MOD(AT196,1),TIME(8,30,0)))
+ (MIN(MOD(AV196,1),TIME(17,30,0))-TIME(8,30,0))
+ (NETWORKDAYS(AS196,AU196)-2)*9/24
)
)
)</f>
        <v>8.8</v>
      </c>
      <c r="AX196" s="19" t="n">
        <f aca="false">24*(
MAX(0,
IF(NETWORKDAYS(AS196,AU196)=1,
MIN(MOD(AV196,1),TIME(17,30,0)) - MAX(MOD(AT196,1),TIME(8,30,0)),
(TIME(17,30,0)-MAX(MOD(AT196,1),TIME(8,30,0)))
+ (MIN(MOD(AV196,1),TIME(17,30,0))-TIME(8,30,0))
+ (NETWORKDAYS(AS196,AU196)-2)* (TIME(17,30,0)-TIME(8,30,0))
)
)
)</f>
        <v>8.8</v>
      </c>
      <c r="AY196" s="20" t="n">
        <f aca="false">ROUND(
IF(AS196=AU196,
MAX(0,
(MIN(MOD(AV196,1),TIME(17,30,0))-
MAX(MOD(AT196,1),TIME(8,30,0)))*24
),
(
(MAX(0,TIME(17,30,0)-MAX(MOD(AT196,1),TIME(8,30,0)))*24)
+
(MAX(0,MIN(MOD(AV196,1),TIME(17,30,0))-TIME(8,30,0))*24)
+
(MAX(0,NETWORKDAYS(AS196+1,AU196-1))*9)
)
),
2)</f>
        <v>8.8</v>
      </c>
      <c r="AZ196" s="0" t="n">
        <f aca="false" t="array" ref="AZ196:AZ196">_xlfn.XLOOKUP(J196,{"Low","Medium","High"},{270,72,24})</f>
        <v>72</v>
      </c>
      <c r="BA196" s="0" t="str">
        <f aca="false">IF(AW196&gt;AZ196,"Not Met","Met")</f>
        <v>Met</v>
      </c>
      <c r="BB196" s="21" t="str">
        <f aca="false">IF(AS196="","",TEXT(AS196,"MMM")&amp;"'"&amp;TEXT(AS196,"yy"))</f>
        <v>Feb'26</v>
      </c>
      <c r="BC196" s="0" t="str">
        <f aca="false">IF(AU196="","",TEXT(AU196,"MMM")&amp;"'"&amp;TEXT(AU196,"yy"))</f>
        <v>Mar'26</v>
      </c>
    </row>
    <row r="197" customFormat="false" ht="15" hidden="false" customHeight="false" outlineLevel="0" collapsed="false">
      <c r="A197" s="1" t="s">
        <v>735</v>
      </c>
      <c r="B197" s="63" t="n">
        <v>46081</v>
      </c>
      <c r="C197" s="12" t="n">
        <v>0.103472222222222</v>
      </c>
      <c r="D197" s="13" t="str">
        <f aca="false">IF(B197="","",TEXT(B197,"MMM")&amp;"'"&amp;TEXT(B197,"yy"))</f>
        <v>Feb'26</v>
      </c>
      <c r="E197" s="1" t="s">
        <v>55</v>
      </c>
      <c r="F197" s="1" t="s">
        <v>39</v>
      </c>
      <c r="G197" s="1" t="str">
        <f aca="false">IF(F197="Closed","Closed","Pending")</f>
        <v>Closed</v>
      </c>
      <c r="H197" s="1" t="s">
        <v>56</v>
      </c>
      <c r="I197" s="1" t="s">
        <v>270</v>
      </c>
      <c r="J197" s="1" t="s">
        <v>74</v>
      </c>
      <c r="K197" s="35" t="s">
        <v>59</v>
      </c>
      <c r="L197" s="1" t="s">
        <v>736</v>
      </c>
      <c r="M197" s="35" t="s">
        <v>737</v>
      </c>
      <c r="N197" s="1" t="s">
        <v>65</v>
      </c>
      <c r="O197" s="1" t="s">
        <v>106</v>
      </c>
      <c r="Q197" s="1" t="s">
        <v>65</v>
      </c>
      <c r="R197" s="1" t="s">
        <v>66</v>
      </c>
      <c r="U197" s="12" t="n">
        <v>0.127083333333333</v>
      </c>
      <c r="V197" s="11" t="n">
        <v>46086</v>
      </c>
      <c r="W197" s="12" t="n">
        <v>0.9375</v>
      </c>
      <c r="X197" s="11" t="n">
        <v>46086</v>
      </c>
      <c r="Y197" s="12" t="n">
        <v>0.971527777777778</v>
      </c>
      <c r="Z197" s="1" t="s">
        <v>108</v>
      </c>
      <c r="AA197" s="1" t="s">
        <v>68</v>
      </c>
      <c r="AB197" s="2" t="e">
        <f aca="false">U197-#REF!</f>
        <v>#REF!</v>
      </c>
      <c r="AC197" s="14" t="n">
        <f aca="false">(V197+W197)-(B197+C197)</f>
        <v>5.83402777777778</v>
      </c>
      <c r="AD197" s="4" t="str">
        <f aca="false">INT((V197+W197)-(B197+C197)) &amp; ":" &amp;
TEXT(HOUR((V197+W197)-(B197+C197)), "00") &amp; ":" &amp;
TEXT(MINUTE((V197+W197)-(B197+C197)), "00")</f>
        <v>5:20:01</v>
      </c>
      <c r="AE197" s="1" t="n">
        <f aca="false">IFERROR(
LEFT(AD197,FIND(":",AD197)-1)
+ MID(AD197,FIND(":",AD197)+1,2)/24
+ RIGHT(AD197,2)/1440,
"")</f>
        <v>5.83402777777778</v>
      </c>
      <c r="AF197" s="4" t="str">
        <f aca="false">INT((X197+Y197)-(B197+C197)) &amp; ":" &amp;
TEXT(HOUR((X197+Y197)-(B197+C197)), "00") &amp; ":" &amp;
TEXT(MINUTE((X197+Y197)-(B197+C197)), "00")</f>
        <v>5:20:50</v>
      </c>
      <c r="AG197" s="4" t="str">
        <f aca="false" t="array" ref="AG197:AG197">INT(_xlfn.XLOOKUP(J197,{"Low","Medium","High","Urgent"},{48,24,12,8})/24) &amp; ":" &amp;
TEXT(MOD(_xlfn.XLOOKUP(J197,{"Low","Medium","High","Urgent"},{48,24,12,8}),24)/24,"hh:mm")</f>
        <v>2:00:00</v>
      </c>
      <c r="AH197" s="4" t="str">
        <f aca="false">IF(AD197&gt;AG197,"Not Met","Met")</f>
        <v>Not Met</v>
      </c>
      <c r="AI197" s="4" t="e">
        <f aca="false">IF(AB197&lt;TIME(0,30,0),"Met","Not Met")</f>
        <v>#REF!</v>
      </c>
      <c r="AN197" s="1" t="str">
        <f aca="false">TEXT(B197,"dd")</f>
        <v>28</v>
      </c>
      <c r="AO197" s="1" t="str">
        <f aca="false">TEXT(X197,"dd")</f>
        <v>05</v>
      </c>
      <c r="AP197" s="16" t="str">
        <f aca="false">INT(
  NETWORKDAYS(B197,V197)-1
  + IF(WEEKDAY(V197,2)&lt;6,MOD(V197+W197,1),0)
  - IF(WEEKDAY(B197,2)&lt;6,MOD(B197+C197,1),0)
)
&amp; ":" &amp;
TEXT(HOUR(
  NETWORKDAYS(B197,V197)-1
  + IF(WEEKDAY(V197,2)&lt;6,MOD(V197+W197,1),0)
  - IF(WEEKDAY(B197,2)&lt;6,MOD(B197+C197,1),0)
),"00")
&amp; ":" &amp;
TEXT(MINUTE(
  NETWORKDAYS(B197,V197)-1
  + IF(WEEKDAY(V197,2)&lt;6,MOD(V197+W197,1),0)
  - IF(WEEKDAY(B197,2)&lt;6,MOD(B197+C197,1),0)
),"00")</f>
        <v>3:22:30</v>
      </c>
      <c r="AQ197" s="0" t="n">
        <f aca="false">IFERROR(
LEFT(AP197,FIND(":",AP197)-1)
+ MID(AP197,FIND(":",AP197)+1,2)/24
+ RIGHT(AP197,2)/1440,
"")</f>
        <v>3.9375</v>
      </c>
      <c r="AR197" s="0" t="n">
        <f aca="false">WEEKNUM(B197,1)</f>
        <v>9</v>
      </c>
      <c r="AS197" s="17" t="n">
        <f aca="false">IF(B197&gt;0, (B197+C197)-TIME(13,30,0), "")</f>
        <v>46080.5409722222</v>
      </c>
      <c r="AT197" s="18" t="n">
        <f aca="false">IF(B197&gt;0, (B197+C197)-TIME(13,30,0), "")</f>
        <v>46080.5409722222</v>
      </c>
      <c r="AU197" s="17" t="n">
        <f aca="false">IF(V197&gt;0, (V197+W197)-TIME(13,30,0), "")</f>
        <v>46086.375</v>
      </c>
      <c r="AV197" s="18" t="n">
        <f aca="false">IF(V197&gt;0, (V197+W197)-TIME(13,30,0), "")</f>
        <v>46086.375</v>
      </c>
      <c r="AW197" s="19" t="n">
        <f aca="false">24*(
MAX(0,
IF(NETWORKDAYS(AS197,AU197)=1,
MIN(MOD(AV197,1),TIME(17,30,0)) - MAX(MOD(AT197,1),TIME(8,30,0)),
(TIME(17,30,0)-MAX(MOD(AT197,1),TIME(8,30,0)))
+ (MIN(MOD(AV197,1),TIME(17,30,0))-TIME(8,30,0))
+ (NETWORKDAYS(AS197,AU197)-2)*9/24
)
)
)</f>
        <v>32.0166666666667</v>
      </c>
      <c r="AX197" s="19" t="n">
        <f aca="false">24*(
MAX(0,
IF(NETWORKDAYS(AS197,AU197)=1,
MIN(MOD(AV197,1),TIME(17,30,0)) - MAX(MOD(AT197,1),TIME(8,30,0)),
(TIME(17,30,0)-MAX(MOD(AT197,1),TIME(8,30,0)))
+ (MIN(MOD(AV197,1),TIME(17,30,0))-TIME(8,30,0))
+ (NETWORKDAYS(AS197,AU197)-2)* (TIME(17,30,0)-TIME(8,30,0))
)
)
)</f>
        <v>32.0166666666667</v>
      </c>
      <c r="AY197" s="20" t="n">
        <f aca="false">ROUND(
IF(AS197=AU197,
MAX(0,
(MIN(MOD(AV197,1),TIME(17,30,0))-
MAX(MOD(AT197,1),TIME(8,30,0)))*24
),
(
(MAX(0,TIME(17,30,0)-MAX(MOD(AT197,1),TIME(8,30,0)))*24)
+
(MAX(0,MIN(MOD(AV197,1),TIME(17,30,0))-TIME(8,30,0))*24)
+
(MAX(0,NETWORKDAYS(AS197+1,AU197-1))*9)
)
),
2)</f>
        <v>32.02</v>
      </c>
      <c r="AZ197" s="0" t="n">
        <f aca="false" t="array" ref="AZ197:AZ197">_xlfn.XLOOKUP(J197,{"Low","Medium","High"},{270,72,24})</f>
        <v>270</v>
      </c>
      <c r="BA197" s="0" t="str">
        <f aca="false">IF(AW197&gt;AZ197,"Not Met","Met")</f>
        <v>Met</v>
      </c>
      <c r="BB197" s="21" t="str">
        <f aca="false">IF(AS197="","",TEXT(AS197,"MMM")&amp;"'"&amp;TEXT(AS197,"yy"))</f>
        <v>Feb'26</v>
      </c>
      <c r="BC197" s="0" t="str">
        <f aca="false">IF(AU197="","",TEXT(AU197,"MMM")&amp;"'"&amp;TEXT(AU197,"yy"))</f>
        <v>Mar'26</v>
      </c>
    </row>
    <row r="198" customFormat="false" ht="15" hidden="false" customHeight="false" outlineLevel="0" collapsed="false">
      <c r="A198" s="1" t="s">
        <v>738</v>
      </c>
      <c r="B198" s="11" t="n">
        <v>46083</v>
      </c>
      <c r="C198" s="37" t="n">
        <v>0.897916666666667</v>
      </c>
      <c r="D198" s="13" t="str">
        <f aca="false">IF(B198="","",TEXT(B198,"MMM")&amp;"'"&amp;TEXT(B198,"yy"))</f>
        <v>Mar'26</v>
      </c>
      <c r="E198" s="1" t="s">
        <v>55</v>
      </c>
      <c r="F198" s="29" t="s">
        <v>39</v>
      </c>
      <c r="G198" s="1" t="str">
        <f aca="false">IF(F198="Closed","Closed","Pending")</f>
        <v>Closed</v>
      </c>
      <c r="H198" s="1" t="s">
        <v>56</v>
      </c>
      <c r="I198" s="1" t="s">
        <v>386</v>
      </c>
      <c r="J198" s="1" t="s">
        <v>74</v>
      </c>
      <c r="K198" s="50" t="s">
        <v>59</v>
      </c>
      <c r="L198" s="29" t="s">
        <v>739</v>
      </c>
      <c r="M198" s="1" t="s">
        <v>740</v>
      </c>
      <c r="N198" s="1" t="s">
        <v>65</v>
      </c>
      <c r="O198" s="1" t="s">
        <v>106</v>
      </c>
      <c r="Q198" s="1" t="s">
        <v>65</v>
      </c>
      <c r="R198" s="1" t="s">
        <v>87</v>
      </c>
      <c r="U198" s="12" t="n">
        <v>0.939583333333333</v>
      </c>
      <c r="V198" s="11" t="n">
        <v>46084</v>
      </c>
      <c r="W198" s="12" t="n">
        <v>0.934722222222222</v>
      </c>
      <c r="X198" s="11" t="n">
        <v>46084</v>
      </c>
      <c r="Y198" s="12" t="n">
        <v>0.969444444444444</v>
      </c>
      <c r="Z198" s="1" t="s">
        <v>67</v>
      </c>
      <c r="AA198" s="1" t="s">
        <v>68</v>
      </c>
      <c r="AB198" s="2" t="e">
        <f aca="false">U198-#REF!</f>
        <v>#REF!</v>
      </c>
      <c r="AC198" s="14" t="n">
        <f aca="false">(V198+W198)-(B198+C198)</f>
        <v>1.03680555555556</v>
      </c>
      <c r="AD198" s="4" t="str">
        <f aca="false">INT((V198+W198)-(B198+C198)) &amp; ":" &amp;
TEXT(HOUR((V198+W198)-(B198+C198)), "00") &amp; ":" &amp;
TEXT(MINUTE((V198+W198)-(B198+C198)), "00")</f>
        <v>1:00:53</v>
      </c>
      <c r="AE198" s="1" t="n">
        <f aca="false">IFERROR(
LEFT(AD198,FIND(":",AD198)-1)
+ MID(AD198,FIND(":",AD198)+1,2)/24
+ RIGHT(AD198,2)/1440,
"")</f>
        <v>1.03680555555556</v>
      </c>
      <c r="AF198" s="4" t="str">
        <f aca="false">INT((X198+Y198)-(B198+C198)) &amp; ":" &amp;
TEXT(HOUR((X198+Y198)-(B198+C198)), "00") &amp; ":" &amp;
TEXT(MINUTE((X198+Y198)-(B198+C198)), "00")</f>
        <v>1:01:43</v>
      </c>
      <c r="AG198" s="4" t="str">
        <f aca="false" t="array" ref="AG198:AG198">INT(_xlfn.XLOOKUP(J198,{"Low","Medium","High","Urgent"},{48,24,12,8})/24) &amp; ":" &amp;
TEXT(MOD(_xlfn.XLOOKUP(J198,{"Low","Medium","High","Urgent"},{48,24,12,8}),24)/24,"hh:mm")</f>
        <v>2:00:00</v>
      </c>
      <c r="AH198" s="4" t="str">
        <f aca="false">IF(AD198&gt;AG198,"Not Met","Met")</f>
        <v>Met</v>
      </c>
      <c r="AI198" s="4" t="e">
        <f aca="false">IF(AB198&lt;TIME(0,30,0),"Met","Not Met")</f>
        <v>#REF!</v>
      </c>
      <c r="AN198" s="1" t="str">
        <f aca="false">TEXT(B198,"dd")</f>
        <v>02</v>
      </c>
      <c r="AO198" s="1" t="str">
        <f aca="false">TEXT(X198,"dd")</f>
        <v>03</v>
      </c>
      <c r="AP198" s="16" t="str">
        <f aca="false">INT(
  NETWORKDAYS(B198,V198)-1
  + IF(WEEKDAY(V198,2)&lt;6,MOD(V198+W198,1),0)
  - IF(WEEKDAY(B198,2)&lt;6,MOD(B198+C198,1),0)
)
&amp; ":" &amp;
TEXT(HOUR(
  NETWORKDAYS(B198,V198)-1
  + IF(WEEKDAY(V198,2)&lt;6,MOD(V198+W198,1),0)
  - IF(WEEKDAY(B198,2)&lt;6,MOD(B198+C198,1),0)
),"00")
&amp; ":" &amp;
TEXT(MINUTE(
  NETWORKDAYS(B198,V198)-1
  + IF(WEEKDAY(V198,2)&lt;6,MOD(V198+W198,1),0)
  - IF(WEEKDAY(B198,2)&lt;6,MOD(B198+C198,1),0)
),"00")</f>
        <v>1:00:52</v>
      </c>
      <c r="AQ198" s="0" t="n">
        <f aca="false">IFERROR(
LEFT(AP198,FIND(":",AP198)-1)
+ MID(AP198,FIND(":",AP198)+1,2)/24
+ RIGHT(AP198,2)/1440,
"")</f>
        <v>1.03611111111111</v>
      </c>
      <c r="AR198" s="0" t="n">
        <f aca="false">WEEKNUM(B198,1)</f>
        <v>10</v>
      </c>
      <c r="AS198" s="17" t="n">
        <f aca="false">IF(B198&gt;0, (B198+C198)-TIME(13,30,0), "")</f>
        <v>46083.3354166667</v>
      </c>
      <c r="AT198" s="18" t="n">
        <f aca="false">IF(B198&gt;0, (B198+C198)-TIME(13,30,0), "")</f>
        <v>46083.3354166667</v>
      </c>
      <c r="AU198" s="17" t="n">
        <f aca="false">IF(V198&gt;0, (V198+W198)-TIME(13,30,0), "")</f>
        <v>46084.3722222222</v>
      </c>
      <c r="AV198" s="18" t="n">
        <f aca="false">IF(V198&gt;0, (V198+W198)-TIME(13,30,0), "")</f>
        <v>46084.3722222222</v>
      </c>
      <c r="AW198" s="19" t="n">
        <f aca="false">24*(
MAX(0,
IF(NETWORKDAYS(AS198,AU198)=1,
MIN(MOD(AV198,1),TIME(17,30,0)) - MAX(MOD(AT198,1),TIME(8,30,0)),
(TIME(17,30,0)-MAX(MOD(AT198,1),TIME(8,30,0)))
+ (MIN(MOD(AV198,1),TIME(17,30,0))-TIME(8,30,0))
+ (NETWORKDAYS(AS198,AU198)-2)*9/24
)
)
)</f>
        <v>9.43333333333333</v>
      </c>
      <c r="AX198" s="19" t="n">
        <f aca="false">24*(
MAX(0,
IF(NETWORKDAYS(AS198,AU198)=1,
MIN(MOD(AV198,1),TIME(17,30,0)) - MAX(MOD(AT198,1),TIME(8,30,0)),
(TIME(17,30,0)-MAX(MOD(AT198,1),TIME(8,30,0)))
+ (MIN(MOD(AV198,1),TIME(17,30,0))-TIME(8,30,0))
+ (NETWORKDAYS(AS198,AU198)-2)* (TIME(17,30,0)-TIME(8,30,0))
)
)
)</f>
        <v>9.43333333333333</v>
      </c>
      <c r="AY198" s="20" t="n">
        <f aca="false">ROUND(
IF(AS198=AU198,
MAX(0,
(MIN(MOD(AV198,1),TIME(17,30,0))-
MAX(MOD(AT198,1),TIME(8,30,0)))*24
),
(
(MAX(0,TIME(17,30,0)-MAX(MOD(AT198,1),TIME(8,30,0)))*24)
+
(MAX(0,MIN(MOD(AV198,1),TIME(17,30,0))-TIME(8,30,0))*24)
+
(MAX(0,NETWORKDAYS(AS198+1,AU198-1))*9)
)
),
2)</f>
        <v>9.43</v>
      </c>
      <c r="AZ198" s="0" t="n">
        <f aca="false" t="array" ref="AZ198:AZ198">_xlfn.XLOOKUP(J198,{"Low","Medium","High"},{270,72,24})</f>
        <v>270</v>
      </c>
      <c r="BA198" s="0" t="str">
        <f aca="false">IF(AW198&gt;AZ198,"Not Met","Met")</f>
        <v>Met</v>
      </c>
      <c r="BB198" s="21" t="str">
        <f aca="false">IF(AS198="","",TEXT(AS198,"MMM")&amp;"'"&amp;TEXT(AS198,"yy"))</f>
        <v>Mar'26</v>
      </c>
      <c r="BC198" s="0" t="str">
        <f aca="false">IF(AU198="","",TEXT(AU198,"MMM")&amp;"'"&amp;TEXT(AU198,"yy"))</f>
        <v>Mar'26</v>
      </c>
    </row>
    <row r="199" customFormat="false" ht="15" hidden="false" customHeight="false" outlineLevel="0" collapsed="false">
      <c r="A199" s="1" t="s">
        <v>741</v>
      </c>
      <c r="B199" s="11" t="n">
        <v>46083</v>
      </c>
      <c r="C199" s="12" t="n">
        <v>0.997222222222222</v>
      </c>
      <c r="D199" s="13" t="str">
        <f aca="false">IF(B199="","",TEXT(B199,"MMM")&amp;"'"&amp;TEXT(B199,"yy"))</f>
        <v>Mar'26</v>
      </c>
      <c r="E199" s="1" t="s">
        <v>55</v>
      </c>
      <c r="F199" s="1" t="s">
        <v>39</v>
      </c>
      <c r="G199" s="1" t="str">
        <f aca="false">IF(F199="Closed","Closed","Pending")</f>
        <v>Closed</v>
      </c>
      <c r="H199" s="1" t="s">
        <v>72</v>
      </c>
      <c r="I199" s="1" t="s">
        <v>565</v>
      </c>
      <c r="J199" s="1" t="s">
        <v>74</v>
      </c>
      <c r="K199" s="35" t="s">
        <v>59</v>
      </c>
      <c r="L199" s="1" t="s">
        <v>742</v>
      </c>
      <c r="M199" s="1" t="s">
        <v>693</v>
      </c>
      <c r="N199" s="1" t="s">
        <v>65</v>
      </c>
      <c r="O199" s="1" t="s">
        <v>106</v>
      </c>
      <c r="Q199" s="1" t="s">
        <v>65</v>
      </c>
      <c r="R199" s="1" t="s">
        <v>87</v>
      </c>
      <c r="U199" s="12" t="n">
        <v>0.999305555555556</v>
      </c>
      <c r="V199" s="11" t="n">
        <v>46084</v>
      </c>
      <c r="W199" s="12" t="n">
        <v>0.975</v>
      </c>
      <c r="X199" s="11" t="n">
        <v>46084</v>
      </c>
      <c r="Y199" s="12" t="n">
        <v>0.98125</v>
      </c>
      <c r="Z199" s="1" t="s">
        <v>108</v>
      </c>
      <c r="AA199" s="1" t="s">
        <v>68</v>
      </c>
      <c r="AB199" s="2" t="e">
        <f aca="false">U199-#REF!</f>
        <v>#REF!</v>
      </c>
      <c r="AC199" s="14" t="n">
        <f aca="false">(V199+W199)-(B199+C199)</f>
        <v>0.977777777777778</v>
      </c>
      <c r="AD199" s="4" t="str">
        <f aca="false">INT((V199+W199)-(B199+C199)) &amp; ":" &amp;
TEXT(HOUR((V199+W199)-(B199+C199)), "00") &amp; ":" &amp;
TEXT(MINUTE((V199+W199)-(B199+C199)), "00")</f>
        <v>0:23:28</v>
      </c>
      <c r="AE199" s="1" t="n">
        <f aca="false">IFERROR(
LEFT(AD199,FIND(":",AD199)-1)
+ MID(AD199,FIND(":",AD199)+1,2)/24
+ RIGHT(AD199,2)/1440,
"")</f>
        <v>0.977777777777778</v>
      </c>
      <c r="AF199" s="4" t="str">
        <f aca="false">INT((X199+Y199)-(B199+C199)) &amp; ":" &amp;
TEXT(HOUR((X199+Y199)-(B199+C199)), "00") &amp; ":" &amp;
TEXT(MINUTE((X199+Y199)-(B199+C199)), "00")</f>
        <v>0:23:37</v>
      </c>
      <c r="AG199" s="4" t="str">
        <f aca="false" t="array" ref="AG199:AG199">INT(_xlfn.XLOOKUP(J199,{"Low","Medium","High","Urgent"},{48,24,12,8})/24) &amp; ":" &amp;
TEXT(MOD(_xlfn.XLOOKUP(J199,{"Low","Medium","High","Urgent"},{48,24,12,8}),24)/24,"hh:mm")</f>
        <v>2:00:00</v>
      </c>
      <c r="AH199" s="4" t="str">
        <f aca="false">IF(AD199&gt;AG199,"Not Met","Met")</f>
        <v>Met</v>
      </c>
      <c r="AI199" s="4" t="e">
        <f aca="false">IF(AB199&lt;TIME(0,30,0),"Met","Not Met")</f>
        <v>#REF!</v>
      </c>
      <c r="AN199" s="1" t="str">
        <f aca="false">TEXT(B199,"dd")</f>
        <v>02</v>
      </c>
      <c r="AO199" s="1" t="str">
        <f aca="false">TEXT(X199,"dd")</f>
        <v>03</v>
      </c>
      <c r="AP199" s="16" t="str">
        <f aca="false">INT(
  NETWORKDAYS(B199,V199)-1
  + IF(WEEKDAY(V199,2)&lt;6,MOD(V199+W199,1),0)
  - IF(WEEKDAY(B199,2)&lt;6,MOD(B199+C199,1),0)
)
&amp; ":" &amp;
TEXT(HOUR(
  NETWORKDAYS(B199,V199)-1
  + IF(WEEKDAY(V199,2)&lt;6,MOD(V199+W199,1),0)
  - IF(WEEKDAY(B199,2)&lt;6,MOD(B199+C199,1),0)
),"00")
&amp; ":" &amp;
TEXT(MINUTE(
  NETWORKDAYS(B199,V199)-1
  + IF(WEEKDAY(V199,2)&lt;6,MOD(V199+W199,1),0)
  - IF(WEEKDAY(B199,2)&lt;6,MOD(B199+C199,1),0)
),"00")</f>
        <v>0:23:28</v>
      </c>
      <c r="AQ199" s="0" t="n">
        <f aca="false">IFERROR(
LEFT(AP199,FIND(":",AP199)-1)
+ MID(AP199,FIND(":",AP199)+1,2)/24
+ RIGHT(AP199,2)/1440,
"")</f>
        <v>0.977777777777778</v>
      </c>
      <c r="AR199" s="0" t="n">
        <f aca="false">WEEKNUM(B199,1)</f>
        <v>10</v>
      </c>
      <c r="AS199" s="17" t="n">
        <f aca="false">IF(B199&gt;0, (B199+C199)-TIME(13,30,0), "")</f>
        <v>46083.4347222222</v>
      </c>
      <c r="AT199" s="18" t="n">
        <f aca="false">IF(B199&gt;0, (B199+C199)-TIME(13,30,0), "")</f>
        <v>46083.4347222222</v>
      </c>
      <c r="AU199" s="17" t="n">
        <f aca="false">IF(V199&gt;0, (V199+W199)-TIME(13,30,0), "")</f>
        <v>46084.4125</v>
      </c>
      <c r="AV199" s="18" t="n">
        <f aca="false">IF(V199&gt;0, (V199+W199)-TIME(13,30,0), "")</f>
        <v>46084.4125</v>
      </c>
      <c r="AW199" s="19" t="n">
        <f aca="false">24*(
MAX(0,
IF(NETWORKDAYS(AS199,AU199)=1,
MIN(MOD(AV199,1),TIME(17,30,0)) - MAX(MOD(AT199,1),TIME(8,30,0)),
(TIME(17,30,0)-MAX(MOD(AT199,1),TIME(8,30,0)))
+ (MIN(MOD(AV199,1),TIME(17,30,0))-TIME(8,30,0))
+ (NETWORKDAYS(AS199,AU199)-2)*9/24
)
)
)</f>
        <v>8.46666666666667</v>
      </c>
      <c r="AX199" s="19" t="n">
        <f aca="false">24*(
MAX(0,
IF(NETWORKDAYS(AS199,AU199)=1,
MIN(MOD(AV199,1),TIME(17,30,0)) - MAX(MOD(AT199,1),TIME(8,30,0)),
(TIME(17,30,0)-MAX(MOD(AT199,1),TIME(8,30,0)))
+ (MIN(MOD(AV199,1),TIME(17,30,0))-TIME(8,30,0))
+ (NETWORKDAYS(AS199,AU199)-2)* (TIME(17,30,0)-TIME(8,30,0))
)
)
)</f>
        <v>8.46666666666667</v>
      </c>
      <c r="AY199" s="20" t="n">
        <f aca="false">ROUND(
IF(AS199=AU199,
MAX(0,
(MIN(MOD(AV199,1),TIME(17,30,0))-
MAX(MOD(AT199,1),TIME(8,30,0)))*24
),
(
(MAX(0,TIME(17,30,0)-MAX(MOD(AT199,1),TIME(8,30,0)))*24)
+
(MAX(0,MIN(MOD(AV199,1),TIME(17,30,0))-TIME(8,30,0))*24)
+
(MAX(0,NETWORKDAYS(AS199+1,AU199-1))*9)
)
),
2)</f>
        <v>8.47</v>
      </c>
      <c r="AZ199" s="0" t="n">
        <f aca="false" t="array" ref="AZ199:AZ199">_xlfn.XLOOKUP(J199,{"Low","Medium","High"},{270,72,24})</f>
        <v>270</v>
      </c>
      <c r="BA199" s="0" t="str">
        <f aca="false">IF(AW199&gt;AZ199,"Not Met","Met")</f>
        <v>Met</v>
      </c>
      <c r="BB199" s="21" t="str">
        <f aca="false">IF(AS199="","",TEXT(AS199,"MMM")&amp;"'"&amp;TEXT(AS199,"yy"))</f>
        <v>Mar'26</v>
      </c>
      <c r="BC199" s="0" t="str">
        <f aca="false">IF(AU199="","",TEXT(AU199,"MMM")&amp;"'"&amp;TEXT(AU199,"yy"))</f>
        <v>Mar'26</v>
      </c>
    </row>
    <row r="200" customFormat="false" ht="15" hidden="false" customHeight="false" outlineLevel="0" collapsed="false">
      <c r="A200" s="1" t="s">
        <v>743</v>
      </c>
      <c r="B200" s="11" t="n">
        <v>46084</v>
      </c>
      <c r="C200" s="12" t="n">
        <v>0.0569444444444444</v>
      </c>
      <c r="D200" s="13" t="str">
        <f aca="false">IF(B200="","",TEXT(B200,"MMM")&amp;"'"&amp;TEXT(B200,"yy"))</f>
        <v>Mar'26</v>
      </c>
      <c r="E200" s="1" t="s">
        <v>55</v>
      </c>
      <c r="F200" s="23" t="s">
        <v>39</v>
      </c>
      <c r="G200" s="1" t="str">
        <f aca="false">IF(F200="Closed","Closed","Pending")</f>
        <v>Closed</v>
      </c>
      <c r="H200" s="1" t="s">
        <v>120</v>
      </c>
      <c r="I200" s="1" t="s">
        <v>401</v>
      </c>
      <c r="J200" s="1" t="s">
        <v>74</v>
      </c>
      <c r="K200" s="35" t="s">
        <v>59</v>
      </c>
      <c r="L200" s="1" t="s">
        <v>744</v>
      </c>
      <c r="M200" s="1" t="s">
        <v>745</v>
      </c>
      <c r="N200" s="1" t="s">
        <v>143</v>
      </c>
      <c r="O200" s="1" t="s">
        <v>143</v>
      </c>
      <c r="Q200" s="1" t="s">
        <v>143</v>
      </c>
      <c r="R200" s="1" t="s">
        <v>87</v>
      </c>
      <c r="U200" s="12" t="n">
        <v>0.0638888888888889</v>
      </c>
      <c r="V200" s="11" t="n">
        <v>46135</v>
      </c>
      <c r="W200" s="12" t="n">
        <v>0.928472222222222</v>
      </c>
      <c r="X200" s="11" t="n">
        <v>46144</v>
      </c>
      <c r="Y200" s="12" t="n">
        <v>0.0868055555555556</v>
      </c>
      <c r="Z200" s="1" t="s">
        <v>67</v>
      </c>
      <c r="AA200" s="1" t="s">
        <v>68</v>
      </c>
      <c r="AB200" s="2" t="e">
        <f aca="false">U200-#REF!</f>
        <v>#REF!</v>
      </c>
      <c r="AC200" s="14" t="n">
        <f aca="false">(V200+W200)-(B200+C200)</f>
        <v>51.8715277777778</v>
      </c>
      <c r="AD200" s="4" t="str">
        <f aca="false">INT((V200+W200)-(B200+C200)) &amp; ":" &amp;
TEXT(HOUR((V200+W200)-(B200+C200)), "00") &amp; ":" &amp;
TEXT(MINUTE((V200+W200)-(B200+C200)), "00")</f>
        <v>51:20:55</v>
      </c>
      <c r="AE200" s="1" t="n">
        <f aca="false">IFERROR(
LEFT(AD200,FIND(":",AD200)-1)
+ MID(AD200,FIND(":",AD200)+1,2)/24
+ RIGHT(AD200,2)/1440,
"")</f>
        <v>51.8715277777778</v>
      </c>
      <c r="AF200" s="4" t="str">
        <f aca="false">INT((X200+Y200)-(B200+C200)) &amp; ":" &amp;
TEXT(HOUR((X200+Y200)-(B200+C200)), "00") &amp; ":" &amp;
TEXT(MINUTE((X200+Y200)-(B200+C200)), "00")</f>
        <v>60:00:43</v>
      </c>
      <c r="AG200" s="4" t="str">
        <f aca="false" t="array" ref="AG200:AG200">INT(_xlfn.XLOOKUP(J200,{"Low","Medium","High","Urgent"},{48,24,12,8})/24) &amp; ":" &amp;
TEXT(MOD(_xlfn.XLOOKUP(J200,{"Low","Medium","High","Urgent"},{48,24,12,8}),24)/24,"hh:mm")</f>
        <v>2:00:00</v>
      </c>
      <c r="AH200" s="4" t="str">
        <f aca="false">IF(AD200&gt;AG200,"Not Met","Met")</f>
        <v>Not Met</v>
      </c>
      <c r="AI200" s="4" t="e">
        <f aca="false">IF(AB200&lt;TIME(0,30,0),"Met","Not Met")</f>
        <v>#REF!</v>
      </c>
      <c r="AN200" s="1" t="str">
        <f aca="false">TEXT(B200,"dd")</f>
        <v>03</v>
      </c>
      <c r="AO200" s="1" t="str">
        <f aca="false">TEXT(X200,"dd")</f>
        <v>02</v>
      </c>
      <c r="AP200" s="16" t="str">
        <f aca="false">INT(
  NETWORKDAYS(B200,V200)-1
  + IF(WEEKDAY(V200,2)&lt;6,MOD(V200+W200,1),0)
  - IF(WEEKDAY(B200,2)&lt;6,MOD(B200+C200,1),0)
)
&amp; ":" &amp;
TEXT(HOUR(
  NETWORKDAYS(B200,V200)-1
  + IF(WEEKDAY(V200,2)&lt;6,MOD(V200+W200,1),0)
  - IF(WEEKDAY(B200,2)&lt;6,MOD(B200+C200,1),0)
),"00")
&amp; ":" &amp;
TEXT(MINUTE(
  NETWORKDAYS(B200,V200)-1
  + IF(WEEKDAY(V200,2)&lt;6,MOD(V200+W200,1),0)
  - IF(WEEKDAY(B200,2)&lt;6,MOD(B200+C200,1),0)
),"00")</f>
        <v>37:20:55</v>
      </c>
      <c r="AQ200" s="0" t="n">
        <f aca="false">IFERROR(
LEFT(AP200,FIND(":",AP200)-1)
+ MID(AP200,FIND(":",AP200)+1,2)/24
+ RIGHT(AP200,2)/1440,
"")</f>
        <v>37.8715277777778</v>
      </c>
      <c r="AR200" s="0" t="n">
        <f aca="false">WEEKNUM(B200,1)</f>
        <v>10</v>
      </c>
      <c r="AS200" s="17" t="n">
        <f aca="false">IF(B200&gt;0, (B200+C200)-TIME(13,30,0), "")</f>
        <v>46083.4944444444</v>
      </c>
      <c r="AT200" s="18" t="n">
        <f aca="false">IF(B200&gt;0, (B200+C200)-TIME(13,30,0), "")</f>
        <v>46083.4944444444</v>
      </c>
      <c r="AU200" s="17" t="n">
        <f aca="false">IF(V200&gt;0, (V200+W200)-TIME(13,30,0), "")</f>
        <v>46135.3659722222</v>
      </c>
      <c r="AV200" s="18" t="n">
        <f aca="false">IF(V200&gt;0, (V200+W200)-TIME(13,30,0), "")</f>
        <v>46135.3659722222</v>
      </c>
      <c r="AW200" s="19" t="n">
        <f aca="false">24*(
MAX(0,
IF(NETWORKDAYS(AS200,AU200)=1,
MIN(MOD(AV200,1),TIME(17,30,0)) - MAX(MOD(AT200,1),TIME(8,30,0)),
(TIME(17,30,0)-MAX(MOD(AT200,1),TIME(8,30,0)))
+ (MIN(MOD(AV200,1),TIME(17,30,0))-TIME(8,30,0))
+ (NETWORKDAYS(AS200,AU200)-2)*9/24
)
)
)</f>
        <v>338.916666666667</v>
      </c>
      <c r="AX200" s="19" t="n">
        <f aca="false">24*(
MAX(0,
IF(NETWORKDAYS(AS200,AU200)=1,
MIN(MOD(AV200,1),TIME(17,30,0)) - MAX(MOD(AT200,1),TIME(8,30,0)),
(TIME(17,30,0)-MAX(MOD(AT200,1),TIME(8,30,0)))
+ (MIN(MOD(AV200,1),TIME(17,30,0))-TIME(8,30,0))
+ (NETWORKDAYS(AS200,AU200)-2)* (TIME(17,30,0)-TIME(8,30,0))
)
)
)</f>
        <v>338.916666666667</v>
      </c>
      <c r="AY200" s="20" t="n">
        <f aca="false">ROUND(
IF(AS200=AU200,
MAX(0,
(MIN(MOD(AV200,1),TIME(17,30,0))-
MAX(MOD(AT200,1),TIME(8,30,0)))*24
),
(
(MAX(0,TIME(17,30,0)-MAX(MOD(AT200,1),TIME(8,30,0)))*24)
+
(MAX(0,MIN(MOD(AV200,1),TIME(17,30,0))-TIME(8,30,0))*24)
+
(MAX(0,NETWORKDAYS(AS200+1,AU200-1))*9)
)
),
2)</f>
        <v>338.92</v>
      </c>
      <c r="AZ200" s="0" t="n">
        <f aca="false" t="array" ref="AZ200:AZ200">_xlfn.XLOOKUP(J200,{"Low","Medium","High"},{270,72,24})</f>
        <v>270</v>
      </c>
      <c r="BA200" s="0" t="str">
        <f aca="false">IF(AW200&gt;AZ200,"Not Met","Met")</f>
        <v>Not Met</v>
      </c>
      <c r="BB200" s="21" t="str">
        <f aca="false">IF(AS200="","",TEXT(AS200,"MMM")&amp;"'"&amp;TEXT(AS200,"yy"))</f>
        <v>Mar'26</v>
      </c>
      <c r="BC200" s="0" t="str">
        <f aca="false">IF(AU200="","",TEXT(AU200,"MMM")&amp;"'"&amp;TEXT(AU200,"yy"))</f>
        <v>Apr'26</v>
      </c>
    </row>
    <row r="201" customFormat="false" ht="15" hidden="false" customHeight="false" outlineLevel="0" collapsed="false">
      <c r="A201" s="1" t="s">
        <v>746</v>
      </c>
      <c r="B201" s="11" t="n">
        <v>46084</v>
      </c>
      <c r="C201" s="12" t="n">
        <v>0.11875</v>
      </c>
      <c r="D201" s="13" t="str">
        <f aca="false">IF(B201="","",TEXT(B201,"MMM")&amp;"'"&amp;TEXT(B201,"yy"))</f>
        <v>Mar'26</v>
      </c>
      <c r="E201" s="1" t="s">
        <v>55</v>
      </c>
      <c r="F201" s="1" t="s">
        <v>39</v>
      </c>
      <c r="G201" s="1" t="str">
        <f aca="false">IF(F201="Closed","Closed","Pending")</f>
        <v>Closed</v>
      </c>
      <c r="H201" s="26" t="s">
        <v>56</v>
      </c>
      <c r="I201" s="26" t="s">
        <v>82</v>
      </c>
      <c r="J201" s="26" t="s">
        <v>74</v>
      </c>
      <c r="K201" s="40" t="s">
        <v>59</v>
      </c>
      <c r="L201" s="1" t="s">
        <v>747</v>
      </c>
      <c r="M201" s="1" t="s">
        <v>534</v>
      </c>
      <c r="N201" s="1" t="s">
        <v>65</v>
      </c>
      <c r="O201" s="1" t="s">
        <v>106</v>
      </c>
      <c r="Q201" s="1" t="s">
        <v>65</v>
      </c>
      <c r="R201" s="1" t="s">
        <v>87</v>
      </c>
      <c r="U201" s="12" t="n">
        <v>0.127083333333333</v>
      </c>
      <c r="V201" s="11" t="n">
        <v>46084</v>
      </c>
      <c r="W201" s="12" t="n">
        <v>0.977777777777778</v>
      </c>
      <c r="X201" s="11" t="n">
        <v>46085</v>
      </c>
      <c r="Y201" s="12" t="n">
        <v>0.0493055555555556</v>
      </c>
      <c r="Z201" s="1" t="s">
        <v>108</v>
      </c>
      <c r="AA201" s="1" t="s">
        <v>68</v>
      </c>
      <c r="AB201" s="2" t="e">
        <f aca="false">U201-#REF!</f>
        <v>#REF!</v>
      </c>
      <c r="AC201" s="14" t="n">
        <f aca="false">(V201+W201)-(B201+C201)</f>
        <v>0.859027777777778</v>
      </c>
      <c r="AD201" s="4" t="str">
        <f aca="false">INT((V201+W201)-(B201+C201)) &amp; ":" &amp;
TEXT(HOUR((V201+W201)-(B201+C201)), "00") &amp; ":" &amp;
TEXT(MINUTE((V201+W201)-(B201+C201)), "00")</f>
        <v>0:20:37</v>
      </c>
      <c r="AE201" s="1" t="n">
        <f aca="false">IFERROR(
LEFT(AD201,FIND(":",AD201)-1)
+ MID(AD201,FIND(":",AD201)+1,2)/24
+ RIGHT(AD201,2)/1440,
"")</f>
        <v>0.859027777777778</v>
      </c>
      <c r="AF201" s="4" t="str">
        <f aca="false">INT((X201+Y201)-(B201+C201)) &amp; ":" &amp;
TEXT(HOUR((X201+Y201)-(B201+C201)), "00") &amp; ":" &amp;
TEXT(MINUTE((X201+Y201)-(B201+C201)), "00")</f>
        <v>0:22:20</v>
      </c>
      <c r="AG201" s="4" t="str">
        <f aca="false" t="array" ref="AG201:AG201">INT(_xlfn.XLOOKUP(J201,{"Low","Medium","High","Urgent"},{48,24,12,8})/24) &amp; ":" &amp;
TEXT(MOD(_xlfn.XLOOKUP(J201,{"Low","Medium","High","Urgent"},{48,24,12,8}),24)/24,"hh:mm")</f>
        <v>2:00:00</v>
      </c>
      <c r="AH201" s="4" t="str">
        <f aca="false">IF(AD201&gt;AG201,"Not Met","Met")</f>
        <v>Met</v>
      </c>
      <c r="AI201" s="4" t="e">
        <f aca="false">IF(AB201&lt;TIME(0,30,0),"Met","Not Met")</f>
        <v>#REF!</v>
      </c>
      <c r="AN201" s="1" t="str">
        <f aca="false">TEXT(B201,"dd")</f>
        <v>03</v>
      </c>
      <c r="AO201" s="1" t="str">
        <f aca="false">TEXT(X201,"dd")</f>
        <v>04</v>
      </c>
      <c r="AP201" s="16" t="str">
        <f aca="false">INT(
  NETWORKDAYS(B201,V201)-1
  + IF(WEEKDAY(V201,2)&lt;6,MOD(V201+W201,1),0)
  - IF(WEEKDAY(B201,2)&lt;6,MOD(B201+C201,1),0)
)
&amp; ":" &amp;
TEXT(HOUR(
  NETWORKDAYS(B201,V201)-1
  + IF(WEEKDAY(V201,2)&lt;6,MOD(V201+W201,1),0)
  - IF(WEEKDAY(B201,2)&lt;6,MOD(B201+C201,1),0)
),"00")
&amp; ":" &amp;
TEXT(MINUTE(
  NETWORKDAYS(B201,V201)-1
  + IF(WEEKDAY(V201,2)&lt;6,MOD(V201+W201,1),0)
  - IF(WEEKDAY(B201,2)&lt;6,MOD(B201+C201,1),0)
),"00")</f>
        <v>0:20:36</v>
      </c>
      <c r="AR201" s="0" t="n">
        <f aca="false">WEEKNUM(B201,1)</f>
        <v>10</v>
      </c>
      <c r="AS201" s="17" t="n">
        <f aca="false">IF(B201&gt;0, (B201+C201)-TIME(13,30,0), "")</f>
        <v>46083.55625</v>
      </c>
      <c r="AT201" s="18" t="n">
        <f aca="false">IF(B201&gt;0, (B201+C201)-TIME(13,30,0), "")</f>
        <v>46083.55625</v>
      </c>
      <c r="AU201" s="17" t="n">
        <f aca="false">IF(V201&gt;0, (V201+W201)-TIME(13,30,0), "")</f>
        <v>46084.4152777778</v>
      </c>
      <c r="AV201" s="18" t="n">
        <f aca="false">IF(V201&gt;0, (V201+W201)-TIME(13,30,0), "")</f>
        <v>46084.4152777778</v>
      </c>
      <c r="AW201" s="19" t="n">
        <f aca="false">24*(
MAX(0,
IF(NETWORKDAYS(AS201,AU201)=1,
MIN(MOD(AV201,1),TIME(17,30,0)) - MAX(MOD(AT201,1),TIME(8,30,0)),
(TIME(17,30,0)-MAX(MOD(AT201,1),TIME(8,30,0)))
+ (MIN(MOD(AV201,1),TIME(17,30,0))-TIME(8,30,0))
+ (NETWORKDAYS(AS201,AU201)-2)*9/24
)
)
)</f>
        <v>5.61666666666667</v>
      </c>
      <c r="AX201" s="19" t="n">
        <f aca="false">24*(
MAX(0,
IF(NETWORKDAYS(AS201,AU201)=1,
MIN(MOD(AV201,1),TIME(17,30,0)) - MAX(MOD(AT201,1),TIME(8,30,0)),
(TIME(17,30,0)-MAX(MOD(AT201,1),TIME(8,30,0)))
+ (MIN(MOD(AV201,1),TIME(17,30,0))-TIME(8,30,0))
+ (NETWORKDAYS(AS201,AU201)-2)* (TIME(17,30,0)-TIME(8,30,0))
)
)
)</f>
        <v>5.61666666666667</v>
      </c>
      <c r="AY201" s="20" t="n">
        <f aca="false">ROUND(
IF(AS201=AU201,
MAX(0,
(MIN(MOD(AV201,1),TIME(17,30,0))-
MAX(MOD(AT201,1),TIME(8,30,0)))*24
),
(
(MAX(0,TIME(17,30,0)-MAX(MOD(AT201,1),TIME(8,30,0)))*24)
+
(MAX(0,MIN(MOD(AV201,1),TIME(17,30,0))-TIME(8,30,0))*24)
+
(MAX(0,NETWORKDAYS(AS201+1,AU201-1))*9)
)
),
2)</f>
        <v>5.62</v>
      </c>
      <c r="AZ201" s="0" t="n">
        <f aca="false" t="array" ref="AZ201:AZ201">_xlfn.XLOOKUP(J201,{"Low","Medium","High"},{270,72,24})</f>
        <v>270</v>
      </c>
      <c r="BA201" s="0" t="str">
        <f aca="false">IF(AW201&gt;AZ201,"Not Met","Met")</f>
        <v>Met</v>
      </c>
      <c r="BB201" s="21" t="str">
        <f aca="false">IF(AS201="","",TEXT(AS201,"MMM")&amp;"'"&amp;TEXT(AS201,"yy"))</f>
        <v>Mar'26</v>
      </c>
      <c r="BC201" s="0" t="str">
        <f aca="false">IF(AU201="","",TEXT(AU201,"MMM")&amp;"'"&amp;TEXT(AU201,"yy"))</f>
        <v>Mar'26</v>
      </c>
    </row>
    <row r="202" customFormat="false" ht="15" hidden="false" customHeight="false" outlineLevel="0" collapsed="false">
      <c r="A202" s="1" t="s">
        <v>748</v>
      </c>
      <c r="B202" s="11" t="n">
        <v>46084</v>
      </c>
      <c r="C202" s="12" t="n">
        <v>0.0854166666666667</v>
      </c>
      <c r="D202" s="13" t="str">
        <f aca="false">IF(B202="","",TEXT(B202,"MMM")&amp;"'"&amp;TEXT(B202,"yy"))</f>
        <v>Mar'26</v>
      </c>
      <c r="E202" s="1" t="s">
        <v>55</v>
      </c>
      <c r="F202" s="1" t="s">
        <v>39</v>
      </c>
      <c r="G202" s="46" t="str">
        <f aca="false">IF(F202="Closed","Closed","Pending")</f>
        <v>Closed</v>
      </c>
      <c r="H202" s="1" t="s">
        <v>72</v>
      </c>
      <c r="I202" s="1" t="s">
        <v>73</v>
      </c>
      <c r="J202" s="1" t="s">
        <v>74</v>
      </c>
      <c r="K202" s="1" t="s">
        <v>59</v>
      </c>
      <c r="L202" s="64" t="s">
        <v>749</v>
      </c>
      <c r="M202" s="1" t="s">
        <v>750</v>
      </c>
      <c r="N202" s="1" t="s">
        <v>143</v>
      </c>
      <c r="O202" s="1" t="s">
        <v>143</v>
      </c>
      <c r="Q202" s="1" t="s">
        <v>143</v>
      </c>
      <c r="R202" s="1" t="s">
        <v>622</v>
      </c>
      <c r="U202" s="12" t="n">
        <v>0.160416666666667</v>
      </c>
      <c r="V202" s="11" t="n">
        <v>46141</v>
      </c>
      <c r="W202" s="12" t="n">
        <v>0.972222222222222</v>
      </c>
      <c r="X202" s="11" t="n">
        <v>46142</v>
      </c>
      <c r="Y202" s="12" t="n">
        <v>0.04375</v>
      </c>
      <c r="Z202" s="1" t="s">
        <v>67</v>
      </c>
      <c r="AA202" s="1" t="s">
        <v>68</v>
      </c>
      <c r="AB202" s="2" t="e">
        <f aca="false">U202-#REF!</f>
        <v>#REF!</v>
      </c>
      <c r="AC202" s="14" t="n">
        <f aca="false">(V202+W202)-(B202+C202)</f>
        <v>57.8868055555556</v>
      </c>
      <c r="AD202" s="4" t="str">
        <f aca="false">INT((V202+W202)-(B202+C202)) &amp; ":" &amp;
TEXT(HOUR((V202+W202)-(B202+C202)), "00") &amp; ":" &amp;
TEXT(MINUTE((V202+W202)-(B202+C202)), "00")</f>
        <v>57:21:17</v>
      </c>
      <c r="AE202" s="1" t="n">
        <f aca="false">IFERROR(
LEFT(AD202,FIND(":",AD202)-1)
+ MID(AD202,FIND(":",AD202)+1,2)/24
+ RIGHT(AD202,2)/1440,
"")</f>
        <v>57.8868055555556</v>
      </c>
      <c r="AF202" s="4" t="str">
        <f aca="false">INT((X202+Y202)-(B202+C202)) &amp; ":" &amp;
TEXT(HOUR((X202+Y202)-(B202+C202)), "00") &amp; ":" &amp;
TEXT(MINUTE((X202+Y202)-(B202+C202)), "00")</f>
        <v>57:23:00</v>
      </c>
      <c r="AG202" s="4" t="str">
        <f aca="false" t="array" ref="AG202:AG202">INT(_xlfn.XLOOKUP(J202,{"Low","Medium","High","Urgent"},{48,24,12,8})/24) &amp; ":" &amp;
TEXT(MOD(_xlfn.XLOOKUP(J202,{"Low","Medium","High","Urgent"},{48,24,12,8}),24)/24,"hh:mm")</f>
        <v>2:00:00</v>
      </c>
      <c r="AH202" s="4" t="str">
        <f aca="false">IF(AD202&gt;AG202,"Not Met","Met")</f>
        <v>Not Met</v>
      </c>
      <c r="AI202" s="4" t="e">
        <f aca="false">IF(AB202&lt;TIME(0,30,0),"Met","Not Met")</f>
        <v>#REF!</v>
      </c>
      <c r="AN202" s="1" t="str">
        <f aca="false">TEXT(B202,"dd")</f>
        <v>03</v>
      </c>
      <c r="AO202" s="1" t="str">
        <f aca="false">TEXT(X202,"dd")</f>
        <v>30</v>
      </c>
      <c r="AP202" s="16" t="str">
        <f aca="false">INT(
  NETWORKDAYS(B202,V202)-1
  + IF(WEEKDAY(V202,2)&lt;6,MOD(V202+W202,1),0)
  - IF(WEEKDAY(B202,2)&lt;6,MOD(B202+C202,1),0)
)
&amp; ":" &amp;
TEXT(HOUR(
  NETWORKDAYS(B202,V202)-1
  + IF(WEEKDAY(V202,2)&lt;6,MOD(V202+W202,1),0)
  - IF(WEEKDAY(B202,2)&lt;6,MOD(B202+C202,1),0)
),"00")
&amp; ":" &amp;
TEXT(MINUTE(
  NETWORKDAYS(B202,V202)-1
  + IF(WEEKDAY(V202,2)&lt;6,MOD(V202+W202,1),0)
  - IF(WEEKDAY(B202,2)&lt;6,MOD(B202+C202,1),0)
),"00")</f>
        <v>41:21:16</v>
      </c>
      <c r="AQ202" s="0" t="n">
        <f aca="false">IFERROR(
LEFT(AP202,FIND(":",AP202)-1)
+ MID(AP202,FIND(":",AP202)+1,2)/24
+ RIGHT(AP202,2)/1440,
"")</f>
        <v>41.8861111111111</v>
      </c>
      <c r="AR202" s="0" t="n">
        <f aca="false">WEEKNUM(B202,1)</f>
        <v>10</v>
      </c>
      <c r="AS202" s="17" t="n">
        <f aca="false">IF(B202&gt;0, (B202+C202)-TIME(13,30,0), "")</f>
        <v>46083.5229166667</v>
      </c>
      <c r="AT202" s="18" t="n">
        <f aca="false">IF(B202&gt;0, (B202+C202)-TIME(13,30,0), "")</f>
        <v>46083.5229166667</v>
      </c>
      <c r="AU202" s="17" t="n">
        <f aca="false">IF(V202&gt;0, (V202+W202)-TIME(13,30,0), "")</f>
        <v>46141.4097222222</v>
      </c>
      <c r="AV202" s="18" t="n">
        <f aca="false">IF(V202&gt;0, (V202+W202)-TIME(13,30,0), "")</f>
        <v>46141.4097222222</v>
      </c>
      <c r="AW202" s="19" t="n">
        <f aca="false">24*(
MAX(0,
IF(NETWORKDAYS(AS202,AU202)=1,
MIN(MOD(AV202,1),TIME(17,30,0)) - MAX(MOD(AT202,1),TIME(8,30,0)),
(TIME(17,30,0)-MAX(MOD(AT202,1),TIME(8,30,0)))
+ (MIN(MOD(AV202,1),TIME(17,30,0))-TIME(8,30,0))
+ (NETWORKDAYS(AS202,AU202)-2)*9/24
)
)
)</f>
        <v>375.283333333333</v>
      </c>
      <c r="AX202" s="19" t="n">
        <f aca="false">24*(
MAX(0,
IF(NETWORKDAYS(AS202,AU202)=1,
MIN(MOD(AV202,1),TIME(17,30,0)) - MAX(MOD(AT202,1),TIME(8,30,0)),
(TIME(17,30,0)-MAX(MOD(AT202,1),TIME(8,30,0)))
+ (MIN(MOD(AV202,1),TIME(17,30,0))-TIME(8,30,0))
+ (NETWORKDAYS(AS202,AU202)-2)* (TIME(17,30,0)-TIME(8,30,0))
)
)
)</f>
        <v>375.283333333333</v>
      </c>
      <c r="AY202" s="20" t="n">
        <f aca="false">ROUND(
IF(AS202=AU202,
MAX(0,
(MIN(MOD(AV202,1),TIME(17,30,0))-
MAX(MOD(AT202,1),TIME(8,30,0)))*24
),
(
(MAX(0,TIME(17,30,0)-MAX(MOD(AT202,1),TIME(8,30,0)))*24)
+
(MAX(0,MIN(MOD(AV202,1),TIME(17,30,0))-TIME(8,30,0))*24)
+
(MAX(0,NETWORKDAYS(AS202+1,AU202-1))*9)
)
),
2)</f>
        <v>375.28</v>
      </c>
      <c r="AZ202" s="0" t="n">
        <f aca="false" t="array" ref="AZ202:AZ202">_xlfn.XLOOKUP(J202,{"Low","Medium","High"},{270,72,24})</f>
        <v>270</v>
      </c>
      <c r="BA202" s="0" t="str">
        <f aca="false">IF(AW202&gt;AZ202,"Not Met","Met")</f>
        <v>Not Met</v>
      </c>
      <c r="BB202" s="21" t="str">
        <f aca="false">IF(AS202="","",TEXT(AS202,"MMM")&amp;"'"&amp;TEXT(AS202,"yy"))</f>
        <v>Mar'26</v>
      </c>
      <c r="BC202" s="0" t="str">
        <f aca="false">IF(AU202="","",TEXT(AU202,"MMM")&amp;"'"&amp;TEXT(AU202,"yy"))</f>
        <v>Apr'26</v>
      </c>
    </row>
    <row r="203" customFormat="false" ht="15" hidden="false" customHeight="false" outlineLevel="0" collapsed="false">
      <c r="A203" s="1" t="s">
        <v>751</v>
      </c>
      <c r="B203" s="11" t="n">
        <v>46084</v>
      </c>
      <c r="C203" s="12" t="n">
        <v>0.228472222222222</v>
      </c>
      <c r="D203" s="13" t="str">
        <f aca="false">IF(B203="","",TEXT(B203,"MMM")&amp;"'"&amp;TEXT(B203,"yy"))</f>
        <v>Mar'26</v>
      </c>
      <c r="E203" s="1" t="s">
        <v>55</v>
      </c>
      <c r="F203" s="1" t="s">
        <v>39</v>
      </c>
      <c r="G203" s="46" t="str">
        <f aca="false">IF(F203="Closed","Closed","Pending")</f>
        <v>Closed</v>
      </c>
      <c r="H203" s="1" t="s">
        <v>81</v>
      </c>
      <c r="I203" s="1" t="s">
        <v>82</v>
      </c>
      <c r="J203" s="1" t="s">
        <v>58</v>
      </c>
      <c r="K203" s="1" t="s">
        <v>59</v>
      </c>
      <c r="L203" s="35" t="s">
        <v>752</v>
      </c>
      <c r="M203" s="1" t="s">
        <v>752</v>
      </c>
      <c r="N203" s="1" t="s">
        <v>65</v>
      </c>
      <c r="O203" s="1" t="s">
        <v>106</v>
      </c>
      <c r="Q203" s="1" t="s">
        <v>65</v>
      </c>
      <c r="R203" s="1" t="s">
        <v>490</v>
      </c>
      <c r="U203" s="25" t="n">
        <v>46084.9680555556</v>
      </c>
      <c r="V203" s="11" t="n">
        <v>46086</v>
      </c>
      <c r="W203" s="12" t="n">
        <v>0.938888888888889</v>
      </c>
      <c r="X203" s="11" t="n">
        <v>46086</v>
      </c>
      <c r="Y203" s="12" t="n">
        <v>0.972222222222222</v>
      </c>
      <c r="Z203" s="1" t="s">
        <v>108</v>
      </c>
      <c r="AA203" s="1" t="s">
        <v>68</v>
      </c>
      <c r="AB203" s="2" t="n">
        <v>0.739583333333333</v>
      </c>
      <c r="AC203" s="14" t="n">
        <f aca="false">(V203+W203)-(B203+C203)</f>
        <v>2.71041666666667</v>
      </c>
      <c r="AD203" s="4" t="str">
        <f aca="false">INT((V203+W203)-(B203+C203)) &amp; ":" &amp;
TEXT(HOUR((V203+W203)-(B203+C203)), "00") &amp; ":" &amp;
TEXT(MINUTE((V203+W203)-(B203+C203)), "00")</f>
        <v>2:17:03</v>
      </c>
      <c r="AE203" s="1" t="n">
        <f aca="false">IFERROR(
LEFT(AD203,FIND(":",AD203)-1)
+ MID(AD203,FIND(":",AD203)+1,2)/24
+ RIGHT(AD203,2)/1440,
"")</f>
        <v>2.71041666666667</v>
      </c>
      <c r="AF203" s="4" t="str">
        <f aca="false">INT((X203+Y203)-(B203+C203)) &amp; ":" &amp;
TEXT(HOUR((X203+Y203)-(B203+C203)), "00") &amp; ":" &amp;
TEXT(MINUTE((X203+Y203)-(B203+C203)), "00")</f>
        <v>2:17:51</v>
      </c>
      <c r="AG203" s="4" t="str">
        <f aca="false" t="array" ref="AG203:AG203">INT(_xlfn.XLOOKUP(J203,{"Low","Medium","High","Urgent"},{48,24,12,8})/24) &amp; ":" &amp;
TEXT(MOD(_xlfn.XLOOKUP(J203,{"Low","Medium","High","Urgent"},{48,24,12,8}),24)/24,"hh:mm")</f>
        <v>1:00:00</v>
      </c>
      <c r="AH203" s="4" t="str">
        <f aca="false">IF(AD203&gt;AG203,"Not Met","Met")</f>
        <v>Not Met</v>
      </c>
      <c r="AI203" s="4" t="str">
        <f aca="false">IF(AB203&lt;TIME(0,30,0),"Met","Not Met")</f>
        <v>Not Met</v>
      </c>
      <c r="AN203" s="1" t="str">
        <f aca="false">TEXT(B203,"dd")</f>
        <v>03</v>
      </c>
      <c r="AO203" s="1" t="str">
        <f aca="false">TEXT(X203,"dd")</f>
        <v>05</v>
      </c>
      <c r="AP203" s="16" t="str">
        <f aca="false">INT(
  NETWORKDAYS(B203,V203)-1
  + IF(WEEKDAY(V203,2)&lt;6,MOD(V203+W203,1),0)
  - IF(WEEKDAY(B203,2)&lt;6,MOD(B203+C203,1),0)
)
&amp; ":" &amp;
TEXT(HOUR(
  NETWORKDAYS(B203,V203)-1
  + IF(WEEKDAY(V203,2)&lt;6,MOD(V203+W203,1),0)
  - IF(WEEKDAY(B203,2)&lt;6,MOD(B203+C203,1),0)
),"00")
&amp; ":" &amp;
TEXT(MINUTE(
  NETWORKDAYS(B203,V203)-1
  + IF(WEEKDAY(V203,2)&lt;6,MOD(V203+W203,1),0)
  - IF(WEEKDAY(B203,2)&lt;6,MOD(B203+C203,1),0)
),"00")</f>
        <v>2:17:02</v>
      </c>
      <c r="AR203" s="0" t="n">
        <f aca="false">WEEKNUM(B203,1)</f>
        <v>10</v>
      </c>
      <c r="AS203" s="17" t="n">
        <f aca="false">IF(B203&gt;0, (B203+C203)-TIME(13,30,0), "")</f>
        <v>46083.6659722222</v>
      </c>
      <c r="AT203" s="18" t="n">
        <f aca="false">IF(B203&gt;0, (B203+C203)-TIME(13,30,0), "")</f>
        <v>46083.6659722222</v>
      </c>
      <c r="AU203" s="17" t="n">
        <f aca="false">IF(V203&gt;0, (V203+W203)-TIME(13,30,0), "")</f>
        <v>46086.3763888889</v>
      </c>
      <c r="AV203" s="18" t="n">
        <f aca="false">IF(V203&gt;0, (V203+W203)-TIME(13,30,0), "")</f>
        <v>46086.3763888889</v>
      </c>
      <c r="AW203" s="19" t="n">
        <f aca="false">24*(
MAX(0,
IF(NETWORKDAYS(AS203,AU203)=1,
MIN(MOD(AV203,1),TIME(17,30,0)) - MAX(MOD(AT203,1),TIME(8,30,0)),
(TIME(17,30,0)-MAX(MOD(AT203,1),TIME(8,30,0)))
+ (MIN(MOD(AV203,1),TIME(17,30,0))-TIME(8,30,0))
+ (NETWORKDAYS(AS203,AU203)-2)*9/24
)
)
)</f>
        <v>20.05</v>
      </c>
      <c r="AX203" s="19" t="n">
        <f aca="false">24*(
MAX(0,
IF(NETWORKDAYS(AS203,AU203)=1,
MIN(MOD(AV203,1),TIME(17,30,0)) - MAX(MOD(AT203,1),TIME(8,30,0)),
(TIME(17,30,0)-MAX(MOD(AT203,1),TIME(8,30,0)))
+ (MIN(MOD(AV203,1),TIME(17,30,0))-TIME(8,30,0))
+ (NETWORKDAYS(AS203,AU203)-2)* (TIME(17,30,0)-TIME(8,30,0))
)
)
)</f>
        <v>20.05</v>
      </c>
      <c r="AY203" s="20" t="n">
        <f aca="false">ROUND(
IF(AS203=AU203,
MAX(0,
(MIN(MOD(AV203,1),TIME(17,30,0))-
MAX(MOD(AT203,1),TIME(8,30,0)))*24
),
(
(MAX(0,TIME(17,30,0)-MAX(MOD(AT203,1),TIME(8,30,0)))*24)
+
(MAX(0,MIN(MOD(AV203,1),TIME(17,30,0))-TIME(8,30,0))*24)
+
(MAX(0,NETWORKDAYS(AS203+1,AU203-1))*9)
)
),
2)</f>
        <v>20.05</v>
      </c>
      <c r="AZ203" s="0" t="n">
        <f aca="false" t="array" ref="AZ203:AZ203">_xlfn.XLOOKUP(J203,{"Low","Medium","High"},{270,72,24})</f>
        <v>72</v>
      </c>
      <c r="BA203" s="0" t="str">
        <f aca="false">IF(AW203&gt;AZ203,"Not Met","Met")</f>
        <v>Met</v>
      </c>
      <c r="BB203" s="21" t="str">
        <f aca="false">IF(AS203="","",TEXT(AS203,"MMM")&amp;"'"&amp;TEXT(AS203,"yy"))</f>
        <v>Mar'26</v>
      </c>
      <c r="BC203" s="0" t="str">
        <f aca="false">IF(AU203="","",TEXT(AU203,"MMM")&amp;"'"&amp;TEXT(AU203,"yy"))</f>
        <v>Mar'26</v>
      </c>
    </row>
    <row r="204" customFormat="false" ht="15" hidden="false" customHeight="false" outlineLevel="0" collapsed="false">
      <c r="A204" s="1" t="s">
        <v>753</v>
      </c>
      <c r="B204" s="11" t="n">
        <v>46084</v>
      </c>
      <c r="C204" s="12" t="n">
        <v>0.897916666666667</v>
      </c>
      <c r="D204" s="13" t="str">
        <f aca="false">IF(B204="","",TEXT(B204,"MMM")&amp;"'"&amp;TEXT(B204,"yy"))</f>
        <v>Mar'26</v>
      </c>
      <c r="E204" s="1" t="s">
        <v>55</v>
      </c>
      <c r="F204" s="1" t="s">
        <v>39</v>
      </c>
      <c r="G204" s="46" t="str">
        <f aca="false">IF(F204="Closed","Closed","Pending")</f>
        <v>Closed</v>
      </c>
      <c r="H204" s="1" t="s">
        <v>72</v>
      </c>
      <c r="I204" s="1" t="s">
        <v>73</v>
      </c>
      <c r="J204" s="1" t="s">
        <v>93</v>
      </c>
      <c r="K204" s="1" t="s">
        <v>59</v>
      </c>
      <c r="L204" s="35" t="s">
        <v>754</v>
      </c>
      <c r="M204" s="1" t="s">
        <v>755</v>
      </c>
      <c r="N204" s="1" t="s">
        <v>62</v>
      </c>
      <c r="O204" s="1" t="s">
        <v>63</v>
      </c>
      <c r="Q204" s="1" t="s">
        <v>229</v>
      </c>
      <c r="R204" s="1" t="s">
        <v>622</v>
      </c>
      <c r="U204" s="12" t="n">
        <v>0.915277777777778</v>
      </c>
      <c r="V204" s="11" t="n">
        <v>46086</v>
      </c>
      <c r="W204" s="12" t="n">
        <v>0.486111111111111</v>
      </c>
      <c r="X204" s="11" t="n">
        <v>46092</v>
      </c>
      <c r="Y204" s="12" t="n">
        <v>0.939583333333333</v>
      </c>
      <c r="Z204" s="1" t="s">
        <v>108</v>
      </c>
      <c r="AA204" s="1" t="s">
        <v>68</v>
      </c>
      <c r="AB204" s="2" t="e">
        <f aca="false">U204-#REF!</f>
        <v>#REF!</v>
      </c>
      <c r="AC204" s="14" t="n">
        <f aca="false">(V204+W204)-(B204+C204)</f>
        <v>1.58819444444444</v>
      </c>
      <c r="AD204" s="4" t="str">
        <f aca="false">INT((V204+W204)-(B204+C204)) &amp; ":" &amp;
TEXT(HOUR((V204+W204)-(B204+C204)), "00") &amp; ":" &amp;
TEXT(MINUTE((V204+W204)-(B204+C204)), "00")</f>
        <v>1:14:07</v>
      </c>
      <c r="AE204" s="1" t="n">
        <f aca="false">IFERROR(
LEFT(AD204,FIND(":",AD204)-1)
+ MID(AD204,FIND(":",AD204)+1,2)/24
+ RIGHT(AD204,2)/1440,
"")</f>
        <v>1.58819444444444</v>
      </c>
      <c r="AF204" s="4" t="str">
        <f aca="false">INT((X204+Y204)-(B204+C204)) &amp; ":" &amp;
TEXT(HOUR((X204+Y204)-(B204+C204)), "00") &amp; ":" &amp;
TEXT(MINUTE((X204+Y204)-(B204+C204)), "00")</f>
        <v>8:01:00</v>
      </c>
      <c r="AG204" s="4" t="str">
        <f aca="false" t="array" ref="AG204:AG204">INT(_xlfn.XLOOKUP(J204,{"Low","Medium","High","Urgent"},{48,24,12,8})/24) &amp; ":" &amp;
TEXT(MOD(_xlfn.XLOOKUP(J204,{"Low","Medium","High","Urgent"},{48,24,12,8}),24)/24,"hh:mm")</f>
        <v>0:12:00</v>
      </c>
      <c r="AH204" s="4" t="str">
        <f aca="false">IF(AD204&gt;AG204,"Not Met","Met")</f>
        <v>Not Met</v>
      </c>
      <c r="AI204" s="4" t="e">
        <f aca="false">IF(AB204&lt;TIME(0,30,0),"Met","Not Met")</f>
        <v>#REF!</v>
      </c>
      <c r="AN204" s="1" t="str">
        <f aca="false">TEXT(B204,"dd")</f>
        <v>03</v>
      </c>
      <c r="AO204" s="1" t="str">
        <f aca="false">TEXT(X204,"dd")</f>
        <v>11</v>
      </c>
      <c r="AP204" s="16" t="str">
        <f aca="false">INT(
  NETWORKDAYS(B204,V204)-1
  + IF(WEEKDAY(V204,2)&lt;6,MOD(V204+W204,1),0)
  - IF(WEEKDAY(B204,2)&lt;6,MOD(B204+C204,1),0)
)
&amp; ":" &amp;
TEXT(HOUR(
  NETWORKDAYS(B204,V204)-1
  + IF(WEEKDAY(V204,2)&lt;6,MOD(V204+W204,1),0)
  - IF(WEEKDAY(B204,2)&lt;6,MOD(B204+C204,1),0)
),"00")
&amp; ":" &amp;
TEXT(MINUTE(
  NETWORKDAYS(B204,V204)-1
  + IF(WEEKDAY(V204,2)&lt;6,MOD(V204+W204,1),0)
  - IF(WEEKDAY(B204,2)&lt;6,MOD(B204+C204,1),0)
),"00")</f>
        <v>1:14:06</v>
      </c>
      <c r="AQ204" s="0" t="n">
        <f aca="false">IFERROR(
LEFT(AP204,FIND(":",AP204)-1)
+ MID(AP204,FIND(":",AP204)+1,2)/24
+ RIGHT(AP204,2)/1440,
"")</f>
        <v>1.5875</v>
      </c>
      <c r="AR204" s="0" t="n">
        <f aca="false">WEEKNUM(B204,1)</f>
        <v>10</v>
      </c>
      <c r="AS204" s="17" t="n">
        <f aca="false">IF(B204&gt;0, (B204+C204)-TIME(13,30,0), "")</f>
        <v>46084.3354166667</v>
      </c>
      <c r="AT204" s="18" t="n">
        <f aca="false">IF(B204&gt;0, (B204+C204)-TIME(13,30,0), "")</f>
        <v>46084.3354166667</v>
      </c>
      <c r="AU204" s="17" t="n">
        <f aca="false">IF(V204&gt;0, (V204+W204)-TIME(13,30,0), "")</f>
        <v>46085.9236111111</v>
      </c>
      <c r="AV204" s="18" t="n">
        <f aca="false">IF(V204&gt;0, (V204+W204)-TIME(13,30,0), "")</f>
        <v>46085.9236111111</v>
      </c>
      <c r="AW204" s="19" t="n">
        <f aca="false">24*(
MAX(0,
IF(NETWORKDAYS(AS204,AU204)=1,
MIN(MOD(AV204,1),TIME(17,30,0)) - MAX(MOD(AT204,1),TIME(8,30,0)),
(TIME(17,30,0)-MAX(MOD(AT204,1),TIME(8,30,0)))
+ (MIN(MOD(AV204,1),TIME(17,30,0))-TIME(8,30,0))
+ (NETWORKDAYS(AS204,AU204)-2)*9/24
)
)
)</f>
        <v>18</v>
      </c>
      <c r="AX204" s="19" t="n">
        <f aca="false">24*(
MAX(0,
IF(NETWORKDAYS(AS204,AU204)=1,
MIN(MOD(AV204,1),TIME(17,30,0)) - MAX(MOD(AT204,1),TIME(8,30,0)),
(TIME(17,30,0)-MAX(MOD(AT204,1),TIME(8,30,0)))
+ (MIN(MOD(AV204,1),TIME(17,30,0))-TIME(8,30,0))
+ (NETWORKDAYS(AS204,AU204)-2)* (TIME(17,30,0)-TIME(8,30,0))
)
)
)</f>
        <v>18</v>
      </c>
      <c r="AY204" s="20" t="n">
        <f aca="false">ROUND(
IF(AS204=AU204,
MAX(0,
(MIN(MOD(AV204,1),TIME(17,30,0))-
MAX(MOD(AT204,1),TIME(8,30,0)))*24
),
(
(MAX(0,TIME(17,30,0)-MAX(MOD(AT204,1),TIME(8,30,0)))*24)
+
(MAX(0,MIN(MOD(AV204,1),TIME(17,30,0))-TIME(8,30,0))*24)
+
(MAX(0,NETWORKDAYS(AS204+1,AU204-1))*9)
)
),
2)</f>
        <v>18</v>
      </c>
      <c r="AZ204" s="0" t="n">
        <f aca="false" t="array" ref="AZ204:AZ204">_xlfn.XLOOKUP(J204,{"Low","Medium","High"},{270,72,24})</f>
        <v>24</v>
      </c>
      <c r="BA204" s="0" t="str">
        <f aca="false">IF(AW204&gt;AZ204,"Not Met","Met")</f>
        <v>Met</v>
      </c>
      <c r="BB204" s="21" t="str">
        <f aca="false">IF(AS204="","",TEXT(AS204,"MMM")&amp;"'"&amp;TEXT(AS204,"yy"))</f>
        <v>Mar'26</v>
      </c>
      <c r="BC204" s="0" t="str">
        <f aca="false">IF(AU204="","",TEXT(AU204,"MMM")&amp;"'"&amp;TEXT(AU204,"yy"))</f>
        <v>Mar'26</v>
      </c>
    </row>
    <row r="205" customFormat="false" ht="15" hidden="false" customHeight="false" outlineLevel="0" collapsed="false">
      <c r="A205" s="1" t="s">
        <v>756</v>
      </c>
      <c r="B205" s="11" t="n">
        <v>46084</v>
      </c>
      <c r="C205" s="12" t="n">
        <v>0.934722222222222</v>
      </c>
      <c r="D205" s="13" t="str">
        <f aca="false">IF(B205="","",TEXT(B205,"MMM")&amp;"'"&amp;TEXT(B205,"yy"))</f>
        <v>Mar'26</v>
      </c>
      <c r="E205" s="1" t="s">
        <v>55</v>
      </c>
      <c r="F205" s="1" t="s">
        <v>39</v>
      </c>
      <c r="G205" s="46" t="str">
        <f aca="false">IF(F205="Closed","Closed","Pending")</f>
        <v>Closed</v>
      </c>
      <c r="H205" s="1" t="s">
        <v>56</v>
      </c>
      <c r="I205" s="1" t="s">
        <v>82</v>
      </c>
      <c r="J205" s="1" t="s">
        <v>74</v>
      </c>
      <c r="K205" s="1" t="s">
        <v>59</v>
      </c>
      <c r="L205" s="35" t="s">
        <v>757</v>
      </c>
      <c r="M205" s="1" t="s">
        <v>758</v>
      </c>
      <c r="N205" s="1" t="s">
        <v>62</v>
      </c>
      <c r="O205" s="1" t="s">
        <v>63</v>
      </c>
      <c r="Q205" s="1" t="s">
        <v>229</v>
      </c>
      <c r="R205" s="1" t="s">
        <v>66</v>
      </c>
      <c r="U205" s="12" t="n">
        <v>0.938888888888889</v>
      </c>
      <c r="V205" s="11" t="n">
        <v>46087</v>
      </c>
      <c r="W205" s="12" t="n">
        <v>0.985416666666667</v>
      </c>
      <c r="X205" s="11" t="n">
        <v>46088</v>
      </c>
      <c r="Y205" s="12" t="n">
        <v>0.0701388888888889</v>
      </c>
      <c r="Z205" s="1" t="s">
        <v>108</v>
      </c>
      <c r="AA205" s="1" t="s">
        <v>68</v>
      </c>
      <c r="AB205" s="2" t="e">
        <f aca="false">U205-#REF!</f>
        <v>#REF!</v>
      </c>
      <c r="AC205" s="14" t="n">
        <f aca="false">(V205+W205)-(B205+C205)</f>
        <v>3.05069444444444</v>
      </c>
      <c r="AD205" s="4" t="str">
        <f aca="false">INT((V205+W205)-(B205+C205)) &amp; ":" &amp;
TEXT(HOUR((V205+W205)-(B205+C205)), "00") &amp; ":" &amp;
TEXT(MINUTE((V205+W205)-(B205+C205)), "00")</f>
        <v>3:01:13</v>
      </c>
      <c r="AE205" s="1" t="n">
        <f aca="false">IFERROR(
LEFT(AD205,FIND(":",AD205)-1)
+ MID(AD205,FIND(":",AD205)+1,2)/24
+ RIGHT(AD205,2)/1440,
"")</f>
        <v>3.05069444444444</v>
      </c>
      <c r="AF205" s="4" t="str">
        <f aca="false">INT((X205+Y205)-(B205+C205)) &amp; ":" &amp;
TEXT(HOUR((X205+Y205)-(B205+C205)), "00") &amp; ":" &amp;
TEXT(MINUTE((X205+Y205)-(B205+C205)), "00")</f>
        <v>3:03:15</v>
      </c>
      <c r="AG205" s="4" t="str">
        <f aca="false" t="array" ref="AG205:AG205">INT(_xlfn.XLOOKUP(J205,{"Low","Medium","High","Urgent"},{48,24,12,8})/24) &amp; ":" &amp;
TEXT(MOD(_xlfn.XLOOKUP(J205,{"Low","Medium","High","Urgent"},{48,24,12,8}),24)/24,"hh:mm")</f>
        <v>2:00:00</v>
      </c>
      <c r="AH205" s="4" t="str">
        <f aca="false">IF(AD205&gt;AG205,"Not Met","Met")</f>
        <v>Not Met</v>
      </c>
      <c r="AI205" s="4" t="e">
        <f aca="false">IF(AB205&lt;TIME(0,30,0),"Met","Not Met")</f>
        <v>#REF!</v>
      </c>
      <c r="AN205" s="1" t="str">
        <f aca="false">TEXT(B205,"dd")</f>
        <v>03</v>
      </c>
      <c r="AO205" s="1" t="str">
        <f aca="false">TEXT(X205,"dd")</f>
        <v>07</v>
      </c>
      <c r="AP205" s="16" t="str">
        <f aca="false">INT(
  NETWORKDAYS(B205,V205)-1
  + IF(WEEKDAY(V205,2)&lt;6,MOD(V205+W205,1),0)
  - IF(WEEKDAY(B205,2)&lt;6,MOD(B205+C205,1),0)
)
&amp; ":" &amp;
TEXT(HOUR(
  NETWORKDAYS(B205,V205)-1
  + IF(WEEKDAY(V205,2)&lt;6,MOD(V205+W205,1),0)
  - IF(WEEKDAY(B205,2)&lt;6,MOD(B205+C205,1),0)
),"00")
&amp; ":" &amp;
TEXT(MINUTE(
  NETWORKDAYS(B205,V205)-1
  + IF(WEEKDAY(V205,2)&lt;6,MOD(V205+W205,1),0)
  - IF(WEEKDAY(B205,2)&lt;6,MOD(B205+C205,1),0)
),"00")</f>
        <v>3:01:13</v>
      </c>
      <c r="AR205" s="0" t="n">
        <f aca="false">WEEKNUM(B205,1)</f>
        <v>10</v>
      </c>
      <c r="AS205" s="17" t="n">
        <f aca="false">IF(B205&gt;0, (B205+C205)-TIME(13,30,0), "")</f>
        <v>46084.3722222222</v>
      </c>
      <c r="AT205" s="18" t="n">
        <f aca="false">IF(B205&gt;0, (B205+C205)-TIME(13,30,0), "")</f>
        <v>46084.3722222222</v>
      </c>
      <c r="AU205" s="17" t="n">
        <f aca="false">IF(V205&gt;0, (V205+W205)-TIME(13,30,0), "")</f>
        <v>46087.4229166667</v>
      </c>
      <c r="AV205" s="18" t="n">
        <f aca="false">IF(V205&gt;0, (V205+W205)-TIME(13,30,0), "")</f>
        <v>46087.4229166667</v>
      </c>
      <c r="AW205" s="19" t="n">
        <f aca="false">24*(
MAX(0,
IF(NETWORKDAYS(AS205,AU205)=1,
MIN(MOD(AV205,1),TIME(17,30,0)) - MAX(MOD(AT205,1),TIME(8,30,0)),
(TIME(17,30,0)-MAX(MOD(AT205,1),TIME(8,30,0)))
+ (MIN(MOD(AV205,1),TIME(17,30,0))-TIME(8,30,0))
+ (NETWORKDAYS(AS205,AU205)-2)*9/24
)
)
)</f>
        <v>28.2166666666667</v>
      </c>
      <c r="AX205" s="19" t="n">
        <f aca="false">24*(
MAX(0,
IF(NETWORKDAYS(AS205,AU205)=1,
MIN(MOD(AV205,1),TIME(17,30,0)) - MAX(MOD(AT205,1),TIME(8,30,0)),
(TIME(17,30,0)-MAX(MOD(AT205,1),TIME(8,30,0)))
+ (MIN(MOD(AV205,1),TIME(17,30,0))-TIME(8,30,0))
+ (NETWORKDAYS(AS205,AU205)-2)* (TIME(17,30,0)-TIME(8,30,0))
)
)
)</f>
        <v>28.2166666666667</v>
      </c>
      <c r="AY205" s="20" t="n">
        <f aca="false">ROUND(
IF(AS205=AU205,
MAX(0,
(MIN(MOD(AV205,1),TIME(17,30,0))-
MAX(MOD(AT205,1),TIME(8,30,0)))*24
),
(
(MAX(0,TIME(17,30,0)-MAX(MOD(AT205,1),TIME(8,30,0)))*24)
+
(MAX(0,MIN(MOD(AV205,1),TIME(17,30,0))-TIME(8,30,0))*24)
+
(MAX(0,NETWORKDAYS(AS205+1,AU205-1))*9)
)
),
2)</f>
        <v>28.22</v>
      </c>
      <c r="AZ205" s="0" t="n">
        <f aca="false" t="array" ref="AZ205:AZ205">_xlfn.XLOOKUP(J205,{"Low","Medium","High"},{270,72,24})</f>
        <v>270</v>
      </c>
      <c r="BA205" s="0" t="str">
        <f aca="false">IF(AW205&gt;AZ205,"Not Met","Met")</f>
        <v>Met</v>
      </c>
      <c r="BB205" s="21" t="str">
        <f aca="false">IF(AS205="","",TEXT(AS205,"MMM")&amp;"'"&amp;TEXT(AS205,"yy"))</f>
        <v>Mar'26</v>
      </c>
      <c r="BC205" s="0" t="str">
        <f aca="false">IF(AU205="","",TEXT(AU205,"MMM")&amp;"'"&amp;TEXT(AU205,"yy"))</f>
        <v>Mar'26</v>
      </c>
    </row>
    <row r="206" customFormat="false" ht="15" hidden="false" customHeight="false" outlineLevel="0" collapsed="false">
      <c r="A206" s="1" t="s">
        <v>759</v>
      </c>
      <c r="B206" s="11" t="n">
        <v>46085</v>
      </c>
      <c r="C206" s="12" t="n">
        <v>0.159027777777778</v>
      </c>
      <c r="D206" s="13" t="str">
        <f aca="false">IF(B206="","",TEXT(B206,"MMM")&amp;"'"&amp;TEXT(B206,"yy"))</f>
        <v>Mar'26</v>
      </c>
      <c r="E206" s="1" t="s">
        <v>55</v>
      </c>
      <c r="F206" s="1" t="s">
        <v>39</v>
      </c>
      <c r="G206" s="46" t="str">
        <f aca="false">IF(F206="Closed","Closed","Pending")</f>
        <v>Closed</v>
      </c>
      <c r="H206" s="1" t="s">
        <v>185</v>
      </c>
      <c r="I206" s="1" t="s">
        <v>223</v>
      </c>
      <c r="J206" s="1" t="s">
        <v>74</v>
      </c>
      <c r="K206" s="1" t="s">
        <v>59</v>
      </c>
      <c r="L206" s="35" t="s">
        <v>760</v>
      </c>
      <c r="M206" s="1" t="s">
        <v>761</v>
      </c>
      <c r="N206" s="1" t="s">
        <v>65</v>
      </c>
      <c r="O206" s="1" t="s">
        <v>106</v>
      </c>
      <c r="Q206" s="1" t="s">
        <v>65</v>
      </c>
      <c r="R206" s="1" t="s">
        <v>87</v>
      </c>
      <c r="U206" s="12" t="n">
        <v>0.169444444444444</v>
      </c>
      <c r="V206" s="11" t="n">
        <v>46086</v>
      </c>
      <c r="W206" s="12" t="n">
        <v>0.940277777777778</v>
      </c>
      <c r="X206" s="11" t="n">
        <v>46087</v>
      </c>
      <c r="Y206" s="12" t="n">
        <v>0.05625</v>
      </c>
      <c r="Z206" s="1" t="s">
        <v>67</v>
      </c>
      <c r="AA206" s="1" t="s">
        <v>68</v>
      </c>
      <c r="AB206" s="2" t="e">
        <f aca="false">U206-#REF!</f>
        <v>#REF!</v>
      </c>
      <c r="AC206" s="14" t="n">
        <f aca="false">(V206+W206)-(B206+C206)</f>
        <v>1.78125</v>
      </c>
      <c r="AD206" s="4" t="str">
        <f aca="false">INT((V206+W206)-(B206+C206)) &amp; ":" &amp;
TEXT(HOUR((V206+W206)-(B206+C206)), "00") &amp; ":" &amp;
TEXT(MINUTE((V206+W206)-(B206+C206)), "00")</f>
        <v>1:18:45</v>
      </c>
      <c r="AE206" s="1" t="n">
        <f aca="false">IFERROR(
LEFT(AD206,FIND(":",AD206)-1)
+ MID(AD206,FIND(":",AD206)+1,2)/24
+ RIGHT(AD206,2)/1440,
"")</f>
        <v>1.78125</v>
      </c>
      <c r="AF206" s="4" t="str">
        <f aca="false">INT((X206+Y206)-(B206+C206)) &amp; ":" &amp;
TEXT(HOUR((X206+Y206)-(B206+C206)), "00") &amp; ":" &amp;
TEXT(MINUTE((X206+Y206)-(B206+C206)), "00")</f>
        <v>1:21:32</v>
      </c>
      <c r="AG206" s="4" t="str">
        <f aca="false" t="array" ref="AG206:AG206">INT(_xlfn.XLOOKUP(J206,{"Low","Medium","High","Urgent"},{48,24,12,8})/24) &amp; ":" &amp;
TEXT(MOD(_xlfn.XLOOKUP(J206,{"Low","Medium","High","Urgent"},{48,24,12,8}),24)/24,"hh:mm")</f>
        <v>2:00:00</v>
      </c>
      <c r="AH206" s="4" t="str">
        <f aca="false">IF(AD206&gt;AG206,"Not Met","Met")</f>
        <v>Met</v>
      </c>
      <c r="AI206" s="4" t="e">
        <f aca="false">IF(AB206&lt;TIME(0,30,0),"Met","Not Met")</f>
        <v>#REF!</v>
      </c>
      <c r="AN206" s="1" t="str">
        <f aca="false">TEXT(B206,"dd")</f>
        <v>04</v>
      </c>
      <c r="AO206" s="1" t="str">
        <f aca="false">TEXT(X206,"dd")</f>
        <v>06</v>
      </c>
      <c r="AP206" s="16" t="str">
        <f aca="false">INT(
  NETWORKDAYS(B206,V206)-1
  + IF(WEEKDAY(V206,2)&lt;6,MOD(V206+W206,1),0)
  - IF(WEEKDAY(B206,2)&lt;6,MOD(B206+C206,1),0)
)
&amp; ":" &amp;
TEXT(HOUR(
  NETWORKDAYS(B206,V206)-1
  + IF(WEEKDAY(V206,2)&lt;6,MOD(V206+W206,1),0)
  - IF(WEEKDAY(B206,2)&lt;6,MOD(B206+C206,1),0)
),"00")
&amp; ":" &amp;
TEXT(MINUTE(
  NETWORKDAYS(B206,V206)-1
  + IF(WEEKDAY(V206,2)&lt;6,MOD(V206+W206,1),0)
  - IF(WEEKDAY(B206,2)&lt;6,MOD(B206+C206,1),0)
),"00")</f>
        <v>1:18:45</v>
      </c>
      <c r="AR206" s="0" t="n">
        <f aca="false">WEEKNUM(B206,1)</f>
        <v>10</v>
      </c>
      <c r="AS206" s="17" t="n">
        <f aca="false">IF(B206&gt;0, (B206+C206)-TIME(13,30,0), "")</f>
        <v>46084.5965277778</v>
      </c>
      <c r="AT206" s="18" t="n">
        <f aca="false">IF(B206&gt;0, (B206+C206)-TIME(13,30,0), "")</f>
        <v>46084.5965277778</v>
      </c>
      <c r="AU206" s="17" t="n">
        <f aca="false">IF(V206&gt;0, (V206+W206)-TIME(13,30,0), "")</f>
        <v>46086.3777777778</v>
      </c>
      <c r="AV206" s="18" t="n">
        <f aca="false">IF(V206&gt;0, (V206+W206)-TIME(13,30,0), "")</f>
        <v>46086.3777777778</v>
      </c>
      <c r="AW206" s="19" t="n">
        <f aca="false">24*(
MAX(0,
IF(NETWORKDAYS(AS206,AU206)=1,
MIN(MOD(AV206,1),TIME(17,30,0)) - MAX(MOD(AT206,1),TIME(8,30,0)),
(TIME(17,30,0)-MAX(MOD(AT206,1),TIME(8,30,0)))
+ (MIN(MOD(AV206,1),TIME(17,30,0))-TIME(8,30,0))
+ (NETWORKDAYS(AS206,AU206)-2)*9/24
)
)
)</f>
        <v>12.75</v>
      </c>
      <c r="AX206" s="19" t="n">
        <f aca="false">24*(
MAX(0,
IF(NETWORKDAYS(AS206,AU206)=1,
MIN(MOD(AV206,1),TIME(17,30,0)) - MAX(MOD(AT206,1),TIME(8,30,0)),
(TIME(17,30,0)-MAX(MOD(AT206,1),TIME(8,30,0)))
+ (MIN(MOD(AV206,1),TIME(17,30,0))-TIME(8,30,0))
+ (NETWORKDAYS(AS206,AU206)-2)* (TIME(17,30,0)-TIME(8,30,0))
)
)
)</f>
        <v>12.75</v>
      </c>
      <c r="AY206" s="20" t="n">
        <f aca="false">ROUND(
IF(AS206=AU206,
MAX(0,
(MIN(MOD(AV206,1),TIME(17,30,0))-
MAX(MOD(AT206,1),TIME(8,30,0)))*24
),
(
(MAX(0,TIME(17,30,0)-MAX(MOD(AT206,1),TIME(8,30,0)))*24)
+
(MAX(0,MIN(MOD(AV206,1),TIME(17,30,0))-TIME(8,30,0))*24)
+
(MAX(0,NETWORKDAYS(AS206+1,AU206-1))*9)
)
),
2)</f>
        <v>12.75</v>
      </c>
      <c r="AZ206" s="0" t="n">
        <f aca="false" t="array" ref="AZ206:AZ206">_xlfn.XLOOKUP(J206,{"Low","Medium","High"},{270,72,24})</f>
        <v>270</v>
      </c>
      <c r="BA206" s="0" t="str">
        <f aca="false">IF(AW206&gt;AZ206,"Not Met","Met")</f>
        <v>Met</v>
      </c>
      <c r="BB206" s="21" t="str">
        <f aca="false">IF(AS206="","",TEXT(AS206,"MMM")&amp;"'"&amp;TEXT(AS206,"yy"))</f>
        <v>Mar'26</v>
      </c>
      <c r="BC206" s="0" t="str">
        <f aca="false">IF(AU206="","",TEXT(AU206,"MMM")&amp;"'"&amp;TEXT(AU206,"yy"))</f>
        <v>Mar'26</v>
      </c>
    </row>
    <row r="207" customFormat="false" ht="15" hidden="false" customHeight="false" outlineLevel="0" collapsed="false">
      <c r="A207" s="1" t="s">
        <v>762</v>
      </c>
      <c r="B207" s="11" t="n">
        <v>46085</v>
      </c>
      <c r="C207" s="12" t="n">
        <v>0.238194444444444</v>
      </c>
      <c r="D207" s="13" t="str">
        <f aca="false">IF(B207="","",TEXT(B207,"MMM")&amp;"'"&amp;TEXT(B207,"yy"))</f>
        <v>Mar'26</v>
      </c>
      <c r="E207" s="1" t="s">
        <v>55</v>
      </c>
      <c r="F207" s="1" t="s">
        <v>39</v>
      </c>
      <c r="G207" s="46" t="str">
        <f aca="false">IF(F207="Closed","Closed","Pending")</f>
        <v>Closed</v>
      </c>
      <c r="H207" s="1" t="s">
        <v>81</v>
      </c>
      <c r="I207" s="1" t="s">
        <v>82</v>
      </c>
      <c r="J207" s="1" t="s">
        <v>74</v>
      </c>
      <c r="K207" s="1" t="s">
        <v>59</v>
      </c>
      <c r="L207" s="35" t="s">
        <v>763</v>
      </c>
      <c r="M207" s="1" t="s">
        <v>761</v>
      </c>
      <c r="N207" s="1" t="s">
        <v>65</v>
      </c>
      <c r="O207" s="1" t="s">
        <v>106</v>
      </c>
      <c r="Q207" s="1" t="s">
        <v>65</v>
      </c>
      <c r="R207" s="1" t="s">
        <v>87</v>
      </c>
      <c r="U207" s="12" t="n">
        <v>0.272916666666667</v>
      </c>
      <c r="V207" s="11" t="n">
        <v>46086</v>
      </c>
      <c r="W207" s="12" t="n">
        <v>0.966666666666667</v>
      </c>
      <c r="X207" s="11" t="n">
        <v>46086</v>
      </c>
      <c r="Y207" s="12" t="n">
        <v>0.9875</v>
      </c>
      <c r="Z207" s="1" t="s">
        <v>67</v>
      </c>
      <c r="AA207" s="1" t="s">
        <v>68</v>
      </c>
      <c r="AB207" s="2" t="e">
        <f aca="false">U207-#REF!</f>
        <v>#REF!</v>
      </c>
      <c r="AC207" s="14" t="n">
        <f aca="false">(V207+W207)-(B207+C207)</f>
        <v>1.72847222222222</v>
      </c>
      <c r="AD207" s="4" t="str">
        <f aca="false">INT((V207+W207)-(B207+C207)) &amp; ":" &amp;
TEXT(HOUR((V207+W207)-(B207+C207)), "00") &amp; ":" &amp;
TEXT(MINUTE((V207+W207)-(B207+C207)), "00")</f>
        <v>1:17:29</v>
      </c>
      <c r="AE207" s="1" t="n">
        <f aca="false">IFERROR(
LEFT(AD207,FIND(":",AD207)-1)
+ MID(AD207,FIND(":",AD207)+1,2)/24
+ RIGHT(AD207,2)/1440,
"")</f>
        <v>1.72847222222222</v>
      </c>
      <c r="AF207" s="4" t="str">
        <f aca="false">INT((X207+Y207)-(B207+C207)) &amp; ":" &amp;
TEXT(HOUR((X207+Y207)-(B207+C207)), "00") &amp; ":" &amp;
TEXT(MINUTE((X207+Y207)-(B207+C207)), "00")</f>
        <v>1:17:59</v>
      </c>
      <c r="AG207" s="4" t="str">
        <f aca="false" t="array" ref="AG207:AG207">INT(_xlfn.XLOOKUP(J207,{"Low","Medium","High","Urgent"},{48,24,12,8})/24) &amp; ":" &amp;
TEXT(MOD(_xlfn.XLOOKUP(J207,{"Low","Medium","High","Urgent"},{48,24,12,8}),24)/24,"hh:mm")</f>
        <v>2:00:00</v>
      </c>
      <c r="AH207" s="4" t="str">
        <f aca="false">IF(AD207&gt;AG207,"Not Met","Met")</f>
        <v>Met</v>
      </c>
      <c r="AI207" s="4" t="e">
        <f aca="false">IF(AB207&lt;TIME(0,30,0),"Met","Not Met")</f>
        <v>#REF!</v>
      </c>
      <c r="AN207" s="1" t="str">
        <f aca="false">TEXT(B207,"dd")</f>
        <v>04</v>
      </c>
      <c r="AO207" s="1" t="str">
        <f aca="false">TEXT(X207,"dd")</f>
        <v>05</v>
      </c>
      <c r="AP207" s="16" t="str">
        <f aca="false">INT(
  NETWORKDAYS(B207,V207)-1
  + IF(WEEKDAY(V207,2)&lt;6,MOD(V207+W207,1),0)
  - IF(WEEKDAY(B207,2)&lt;6,MOD(B207+C207,1),0)
)
&amp; ":" &amp;
TEXT(HOUR(
  NETWORKDAYS(B207,V207)-1
  + IF(WEEKDAY(V207,2)&lt;6,MOD(V207+W207,1),0)
  - IF(WEEKDAY(B207,2)&lt;6,MOD(B207+C207,1),0)
),"00")
&amp; ":" &amp;
TEXT(MINUTE(
  NETWORKDAYS(B207,V207)-1
  + IF(WEEKDAY(V207,2)&lt;6,MOD(V207+W207,1),0)
  - IF(WEEKDAY(B207,2)&lt;6,MOD(B207+C207,1),0)
),"00")</f>
        <v>1:17:29</v>
      </c>
      <c r="AR207" s="0" t="n">
        <f aca="false">WEEKNUM(B207,1)</f>
        <v>10</v>
      </c>
      <c r="AS207" s="17" t="n">
        <f aca="false">IF(B207&gt;0, (B207+C207)-TIME(13,30,0), "")</f>
        <v>46084.6756944444</v>
      </c>
      <c r="AT207" s="18" t="n">
        <f aca="false">IF(B207&gt;0, (B207+C207)-TIME(13,30,0), "")</f>
        <v>46084.6756944444</v>
      </c>
      <c r="AU207" s="17" t="n">
        <f aca="false">IF(V207&gt;0, (V207+W207)-TIME(13,30,0), "")</f>
        <v>46086.4041666667</v>
      </c>
      <c r="AV207" s="18" t="n">
        <f aca="false">IF(V207&gt;0, (V207+W207)-TIME(13,30,0), "")</f>
        <v>46086.4041666667</v>
      </c>
      <c r="AW207" s="19" t="n">
        <f aca="false">24*(
MAX(0,
IF(NETWORKDAYS(AS207,AU207)=1,
MIN(MOD(AV207,1),TIME(17,30,0)) - MAX(MOD(AT207,1),TIME(8,30,0)),
(TIME(17,30,0)-MAX(MOD(AT207,1),TIME(8,30,0)))
+ (MIN(MOD(AV207,1),TIME(17,30,0))-TIME(8,30,0))
+ (NETWORKDAYS(AS207,AU207)-2)*9/24
)
)
)</f>
        <v>11.4833333333333</v>
      </c>
      <c r="AX207" s="19" t="n">
        <f aca="false">24*(
MAX(0,
IF(NETWORKDAYS(AS207,AU207)=1,
MIN(MOD(AV207,1),TIME(17,30,0)) - MAX(MOD(AT207,1),TIME(8,30,0)),
(TIME(17,30,0)-MAX(MOD(AT207,1),TIME(8,30,0)))
+ (MIN(MOD(AV207,1),TIME(17,30,0))-TIME(8,30,0))
+ (NETWORKDAYS(AS207,AU207)-2)* (TIME(17,30,0)-TIME(8,30,0))
)
)
)</f>
        <v>11.4833333333333</v>
      </c>
      <c r="AY207" s="20" t="n">
        <f aca="false">ROUND(
IF(AS207=AU207,
MAX(0,
(MIN(MOD(AV207,1),TIME(17,30,0))-
MAX(MOD(AT207,1),TIME(8,30,0)))*24
),
(
(MAX(0,TIME(17,30,0)-MAX(MOD(AT207,1),TIME(8,30,0)))*24)
+
(MAX(0,MIN(MOD(AV207,1),TIME(17,30,0))-TIME(8,30,0))*24)
+
(MAX(0,NETWORKDAYS(AS207+1,AU207-1))*9)
)
),
2)</f>
        <v>11.48</v>
      </c>
      <c r="AZ207" s="0" t="n">
        <f aca="false" t="array" ref="AZ207:AZ207">_xlfn.XLOOKUP(J207,{"Low","Medium","High"},{270,72,24})</f>
        <v>270</v>
      </c>
      <c r="BA207" s="0" t="str">
        <f aca="false">IF(AW207&gt;AZ207,"Not Met","Met")</f>
        <v>Met</v>
      </c>
      <c r="BB207" s="21" t="str">
        <f aca="false">IF(AS207="","",TEXT(AS207,"MMM")&amp;"'"&amp;TEXT(AS207,"yy"))</f>
        <v>Mar'26</v>
      </c>
      <c r="BC207" s="0" t="str">
        <f aca="false">IF(AU207="","",TEXT(AU207,"MMM")&amp;"'"&amp;TEXT(AU207,"yy"))</f>
        <v>Mar'26</v>
      </c>
    </row>
    <row r="208" customFormat="false" ht="15" hidden="false" customHeight="false" outlineLevel="0" collapsed="false">
      <c r="A208" s="1" t="s">
        <v>764</v>
      </c>
      <c r="B208" s="11" t="n">
        <v>46085</v>
      </c>
      <c r="C208" s="12" t="n">
        <v>0.984027777777778</v>
      </c>
      <c r="D208" s="13" t="str">
        <f aca="false">IF(B208="","",TEXT(B208,"MMM")&amp;"'"&amp;TEXT(B208,"yy"))</f>
        <v>Mar'26</v>
      </c>
      <c r="E208" s="1" t="s">
        <v>55</v>
      </c>
      <c r="F208" s="1" t="s">
        <v>39</v>
      </c>
      <c r="G208" s="46" t="str">
        <f aca="false">IF(F208="Closed","Closed","Pending")</f>
        <v>Closed</v>
      </c>
      <c r="H208" s="26" t="s">
        <v>72</v>
      </c>
      <c r="I208" s="26" t="s">
        <v>501</v>
      </c>
      <c r="J208" s="26" t="s">
        <v>74</v>
      </c>
      <c r="K208" s="26" t="s">
        <v>59</v>
      </c>
      <c r="L208" s="40" t="s">
        <v>765</v>
      </c>
      <c r="M208" s="26" t="s">
        <v>766</v>
      </c>
      <c r="N208" s="1" t="s">
        <v>62</v>
      </c>
      <c r="O208" s="1" t="s">
        <v>77</v>
      </c>
      <c r="Q208" s="1" t="s">
        <v>65</v>
      </c>
      <c r="R208" s="1" t="s">
        <v>87</v>
      </c>
      <c r="U208" s="25" t="n">
        <v>46086.9472222222</v>
      </c>
      <c r="V208" s="11" t="n">
        <v>46104</v>
      </c>
      <c r="W208" s="12" t="n">
        <v>0.975</v>
      </c>
      <c r="X208" s="11" t="n">
        <v>46108</v>
      </c>
      <c r="Y208" s="12" t="n">
        <v>0.908333333333333</v>
      </c>
      <c r="Z208" s="1" t="s">
        <v>67</v>
      </c>
      <c r="AA208" s="1" t="s">
        <v>68</v>
      </c>
      <c r="AB208" s="2" t="n">
        <v>0.0465277777777778</v>
      </c>
      <c r="AC208" s="14" t="n">
        <f aca="false">(V208+W208)-(B208+C208)</f>
        <v>18.9909722222222</v>
      </c>
      <c r="AD208" s="4" t="str">
        <f aca="false">INT((V208+W208)-(B208+C208)) &amp; ":" &amp;
TEXT(HOUR((V208+W208)-(B208+C208)), "00") &amp; ":" &amp;
TEXT(MINUTE((V208+W208)-(B208+C208)), "00")</f>
        <v>18:23:47</v>
      </c>
      <c r="AE208" s="1" t="n">
        <f aca="false">IFERROR(
LEFT(AD208,FIND(":",AD208)-1)
+ MID(AD208,FIND(":",AD208)+1,2)/24
+ RIGHT(AD208,2)/1440,
"")</f>
        <v>18.9909722222222</v>
      </c>
      <c r="AF208" s="4" t="str">
        <f aca="false">INT((X208+Y208)-(B208+C208)) &amp; ":" &amp;
TEXT(HOUR((X208+Y208)-(B208+C208)), "00") &amp; ":" &amp;
TEXT(MINUTE((X208+Y208)-(B208+C208)), "00")</f>
        <v>22:22:11</v>
      </c>
      <c r="AG208" s="4" t="str">
        <f aca="false" t="array" ref="AG208:AG208">INT(_xlfn.XLOOKUP(J208,{"Low","Medium","High","Urgent"},{48,24,12,8})/24) &amp; ":" &amp;
TEXT(MOD(_xlfn.XLOOKUP(J208,{"Low","Medium","High","Urgent"},{48,24,12,8}),24)/24,"hh:mm")</f>
        <v>2:00:00</v>
      </c>
      <c r="AH208" s="4" t="str">
        <f aca="false">IF(AD208&gt;AG208,"Not Met","Met")</f>
        <v>Met</v>
      </c>
      <c r="AI208" s="4" t="str">
        <f aca="false">IF(AB208&lt;TIME(0,30,0),"Met","Not Met")</f>
        <v>Not Met</v>
      </c>
      <c r="AN208" s="1" t="str">
        <f aca="false">TEXT(B208,"dd")</f>
        <v>04</v>
      </c>
      <c r="AO208" s="1" t="str">
        <f aca="false">TEXT(X208,"dd")</f>
        <v>27</v>
      </c>
      <c r="AP208" s="16" t="str">
        <f aca="false">INT(
  NETWORKDAYS(B208,V208)-1
  + IF(WEEKDAY(V208,2)&lt;6,MOD(V208+W208,1),0)
  - IF(WEEKDAY(B208,2)&lt;6,MOD(B208+C208,1),0)
)
&amp; ":" &amp;
TEXT(HOUR(
  NETWORKDAYS(B208,V208)-1
  + IF(WEEKDAY(V208,2)&lt;6,MOD(V208+W208,1),0)
  - IF(WEEKDAY(B208,2)&lt;6,MOD(B208+C208,1),0)
),"00")
&amp; ":" &amp;
TEXT(MINUTE(
  NETWORKDAYS(B208,V208)-1
  + IF(WEEKDAY(V208,2)&lt;6,MOD(V208+W208,1),0)
  - IF(WEEKDAY(B208,2)&lt;6,MOD(B208+C208,1),0)
),"00")</f>
        <v>12:23:46</v>
      </c>
      <c r="AQ208" s="0" t="n">
        <f aca="false">IFERROR(
LEFT(AP208,FIND(":",AP208)-1)
+ MID(AP208,FIND(":",AP208)+1,2)/24
+ RIGHT(AP208,2)/1440,
"")</f>
        <v>12.9902777777778</v>
      </c>
      <c r="AR208" s="0" t="n">
        <f aca="false">WEEKNUM(B208,1)</f>
        <v>10</v>
      </c>
      <c r="AS208" s="17" t="n">
        <f aca="false">IF(B208&gt;0, (B208+C208)-TIME(13,30,0), "")</f>
        <v>46085.4215277778</v>
      </c>
      <c r="AT208" s="18" t="n">
        <f aca="false">IF(B208&gt;0, (B208+C208)-TIME(13,30,0), "")</f>
        <v>46085.4215277778</v>
      </c>
      <c r="AU208" s="17" t="n">
        <f aca="false">IF(V208&gt;0, (V208+W208)-TIME(13,30,0), "")</f>
        <v>46104.4125</v>
      </c>
      <c r="AV208" s="18" t="n">
        <f aca="false">IF(V208&gt;0, (V208+W208)-TIME(13,30,0), "")</f>
        <v>46104.4125</v>
      </c>
      <c r="AW208" s="19" t="n">
        <f aca="false">24*(
MAX(0,
IF(NETWORKDAYS(AS208,AU208)=1,
MIN(MOD(AV208,1),TIME(17,30,0)) - MAX(MOD(AT208,1),TIME(8,30,0)),
(TIME(17,30,0)-MAX(MOD(AT208,1),TIME(8,30,0)))
+ (MIN(MOD(AV208,1),TIME(17,30,0))-TIME(8,30,0))
+ (NETWORKDAYS(AS208,AU208)-2)*9/24
)
)
)</f>
        <v>116.783333333333</v>
      </c>
      <c r="AX208" s="19" t="n">
        <f aca="false">24*(
MAX(0,
IF(NETWORKDAYS(AS208,AU208)=1,
MIN(MOD(AV208,1),TIME(17,30,0)) - MAX(MOD(AT208,1),TIME(8,30,0)),
(TIME(17,30,0)-MAX(MOD(AT208,1),TIME(8,30,0)))
+ (MIN(MOD(AV208,1),TIME(17,30,0))-TIME(8,30,0))
+ (NETWORKDAYS(AS208,AU208)-2)* (TIME(17,30,0)-TIME(8,30,0))
)
)
)</f>
        <v>116.783333333333</v>
      </c>
      <c r="AY208" s="20" t="n">
        <f aca="false">ROUND(
IF(AS208=AU208,
MAX(0,
(MIN(MOD(AV208,1),TIME(17,30,0))-
MAX(MOD(AT208,1),TIME(8,30,0)))*24
),
(
(MAX(0,TIME(17,30,0)-MAX(MOD(AT208,1),TIME(8,30,0)))*24)
+
(MAX(0,MIN(MOD(AV208,1),TIME(17,30,0))-TIME(8,30,0))*24)
+
(MAX(0,NETWORKDAYS(AS208+1,AU208-1))*9)
)
),
2)</f>
        <v>116.78</v>
      </c>
      <c r="AZ208" s="0" t="n">
        <f aca="false" t="array" ref="AZ208:AZ208">_xlfn.XLOOKUP(J208,{"Low","Medium","High"},{270,72,24})</f>
        <v>270</v>
      </c>
      <c r="BA208" s="0" t="str">
        <f aca="false">IF(AW208&gt;AZ208,"Not Met","Met")</f>
        <v>Met</v>
      </c>
      <c r="BB208" s="21" t="str">
        <f aca="false">IF(AS208="","",TEXT(AS208,"MMM")&amp;"'"&amp;TEXT(AS208,"yy"))</f>
        <v>Mar'26</v>
      </c>
      <c r="BC208" s="0" t="str">
        <f aca="false">IF(AU208="","",TEXT(AU208,"MMM")&amp;"'"&amp;TEXT(AU208,"yy"))</f>
        <v>Mar'26</v>
      </c>
    </row>
    <row r="209" customFormat="false" ht="15" hidden="false" customHeight="false" outlineLevel="0" collapsed="false">
      <c r="A209" s="1" t="s">
        <v>767</v>
      </c>
      <c r="B209" s="11" t="n">
        <v>46086</v>
      </c>
      <c r="C209" s="12" t="n">
        <v>0.875</v>
      </c>
      <c r="D209" s="13" t="str">
        <f aca="false">IF(B209="","",TEXT(B209,"MMM")&amp;"'"&amp;TEXT(B209,"yy"))</f>
        <v>Mar'26</v>
      </c>
      <c r="E209" s="1" t="s">
        <v>55</v>
      </c>
      <c r="F209" s="1" t="s">
        <v>39</v>
      </c>
      <c r="G209" s="46" t="str">
        <f aca="false">IF(F209="Closed","Closed","Pending")</f>
        <v>Closed</v>
      </c>
      <c r="H209" s="1" t="s">
        <v>120</v>
      </c>
      <c r="I209" s="1" t="s">
        <v>210</v>
      </c>
      <c r="J209" s="1" t="s">
        <v>74</v>
      </c>
      <c r="K209" s="1" t="s">
        <v>59</v>
      </c>
      <c r="L209" s="1" t="s">
        <v>768</v>
      </c>
      <c r="M209" s="1" t="s">
        <v>769</v>
      </c>
      <c r="N209" s="35" t="s">
        <v>62</v>
      </c>
      <c r="O209" s="1" t="s">
        <v>77</v>
      </c>
      <c r="Q209" s="1" t="s">
        <v>86</v>
      </c>
      <c r="R209" s="1" t="s">
        <v>66</v>
      </c>
      <c r="U209" s="12" t="n">
        <v>0.929861111111111</v>
      </c>
      <c r="V209" s="11" t="n">
        <v>46091</v>
      </c>
      <c r="W209" s="12" t="n">
        <v>0.911805555555556</v>
      </c>
      <c r="X209" s="11" t="n">
        <v>46097</v>
      </c>
      <c r="Y209" s="12" t="n">
        <v>0.986805555555556</v>
      </c>
      <c r="Z209" s="1" t="s">
        <v>108</v>
      </c>
      <c r="AA209" s="1" t="s">
        <v>68</v>
      </c>
      <c r="AB209" s="2" t="e">
        <f aca="false">U209-#REF!</f>
        <v>#REF!</v>
      </c>
      <c r="AC209" s="14" t="n">
        <f aca="false">(V209+W209)-(B209+C209)</f>
        <v>5.03680555555556</v>
      </c>
      <c r="AD209" s="4" t="str">
        <f aca="false">INT((V209+W209)-(B209+C209)) &amp; ":" &amp;
TEXT(HOUR((V209+W209)-(B209+C209)), "00") &amp; ":" &amp;
TEXT(MINUTE((V209+W209)-(B209+C209)), "00")</f>
        <v>5:00:53</v>
      </c>
      <c r="AE209" s="1" t="n">
        <f aca="false">IFERROR(
LEFT(AD209,FIND(":",AD209)-1)
+ MID(AD209,FIND(":",AD209)+1,2)/24
+ RIGHT(AD209,2)/1440,
"")</f>
        <v>5.03680555555556</v>
      </c>
      <c r="AF209" s="4" t="str">
        <f aca="false">INT((X209+Y209)-(B209+C209)) &amp; ":" &amp;
TEXT(HOUR((X209+Y209)-(B209+C209)), "00") &amp; ":" &amp;
TEXT(MINUTE((X209+Y209)-(B209+C209)), "00")</f>
        <v>11:02:41</v>
      </c>
      <c r="AG209" s="4" t="str">
        <f aca="false" t="array" ref="AG209:AG209">INT(_xlfn.XLOOKUP(J209,{"Low","Medium","High","Urgent"},{48,24,12,8})/24) &amp; ":" &amp;
TEXT(MOD(_xlfn.XLOOKUP(J209,{"Low","Medium","High","Urgent"},{48,24,12,8}),24)/24,"hh:mm")</f>
        <v>2:00:00</v>
      </c>
      <c r="AH209" s="4" t="str">
        <f aca="false">IF(AD209&gt;AG209,"Not Met","Met")</f>
        <v>Not Met</v>
      </c>
      <c r="AI209" s="4" t="e">
        <f aca="false">IF(AB209&lt;TIME(0,30,0),"Met","Not Met")</f>
        <v>#REF!</v>
      </c>
      <c r="AN209" s="1" t="str">
        <f aca="false">TEXT(B209,"dd")</f>
        <v>05</v>
      </c>
      <c r="AO209" s="1" t="str">
        <f aca="false">TEXT(X209,"dd")</f>
        <v>16</v>
      </c>
      <c r="AP209" s="16" t="str">
        <f aca="false">INT(
  NETWORKDAYS(B209,V209)-1
  + IF(WEEKDAY(V209,2)&lt;6,MOD(V209+W209,1),0)
  - IF(WEEKDAY(B209,2)&lt;6,MOD(B209+C209,1),0)
)
&amp; ":" &amp;
TEXT(HOUR(
  NETWORKDAYS(B209,V209)-1
  + IF(WEEKDAY(V209,2)&lt;6,MOD(V209+W209,1),0)
  - IF(WEEKDAY(B209,2)&lt;6,MOD(B209+C209,1),0)
),"00")
&amp; ":" &amp;
TEXT(MINUTE(
  NETWORKDAYS(B209,V209)-1
  + IF(WEEKDAY(V209,2)&lt;6,MOD(V209+W209,1),0)
  - IF(WEEKDAY(B209,2)&lt;6,MOD(B209+C209,1),0)
),"00")</f>
        <v>3:00:53</v>
      </c>
      <c r="AQ209" s="0" t="n">
        <f aca="false">IFERROR(
LEFT(AP209,FIND(":",AP209)-1)
+ MID(AP209,FIND(":",AP209)+1,2)/24
+ RIGHT(AP209,2)/1440,
"")</f>
        <v>3.03680555555556</v>
      </c>
      <c r="AR209" s="0" t="n">
        <f aca="false">WEEKNUM(B209,1)</f>
        <v>10</v>
      </c>
      <c r="AS209" s="17" t="n">
        <f aca="false">IF(B209&gt;0, (B209+C209)-TIME(13,30,0), "")</f>
        <v>46086.3125</v>
      </c>
      <c r="AT209" s="18" t="n">
        <f aca="false">IF(B209&gt;0, (B209+C209)-TIME(13,30,0), "")</f>
        <v>46086.3125</v>
      </c>
      <c r="AU209" s="17" t="n">
        <f aca="false">IF(V209&gt;0, (V209+W209)-TIME(13,30,0), "")</f>
        <v>46091.3493055556</v>
      </c>
      <c r="AV209" s="18" t="n">
        <f aca="false">IF(V209&gt;0, (V209+W209)-TIME(13,30,0), "")</f>
        <v>46091.3493055556</v>
      </c>
      <c r="AW209" s="19" t="n">
        <f aca="false">24*(
MAX(0,
IF(NETWORKDAYS(AS209,AU209)=1,
MIN(MOD(AV209,1),TIME(17,30,0)) - MAX(MOD(AT209,1),TIME(8,30,0)),
(TIME(17,30,0)-MAX(MOD(AT209,1),TIME(8,30,0)))
+ (MIN(MOD(AV209,1),TIME(17,30,0))-TIME(8,30,0))
+ (NETWORKDAYS(AS209,AU209)-2)*9/24
)
)
)</f>
        <v>26.8833333334186</v>
      </c>
      <c r="AX209" s="19" t="n">
        <f aca="false">24*(
MAX(0,
IF(NETWORKDAYS(AS209,AU209)=1,
MIN(MOD(AV209,1),TIME(17,30,0)) - MAX(MOD(AT209,1),TIME(8,30,0)),
(TIME(17,30,0)-MAX(MOD(AT209,1),TIME(8,30,0)))
+ (MIN(MOD(AV209,1),TIME(17,30,0))-TIME(8,30,0))
+ (NETWORKDAYS(AS209,AU209)-2)* (TIME(17,30,0)-TIME(8,30,0))
)
)
)</f>
        <v>26.8833333334186</v>
      </c>
      <c r="AY209" s="20" t="n">
        <f aca="false">ROUND(
IF(AS209=AU209,
MAX(0,
(MIN(MOD(AV209,1),TIME(17,30,0))-
MAX(MOD(AT209,1),TIME(8,30,0)))*24
),
(
(MAX(0,TIME(17,30,0)-MAX(MOD(AT209,1),TIME(8,30,0)))*24)
+
(MAX(0,MIN(MOD(AV209,1),TIME(17,30,0))-TIME(8,30,0))*24)
+
(MAX(0,NETWORKDAYS(AS209+1,AU209-1))*9)
)
),
2)</f>
        <v>27</v>
      </c>
      <c r="AZ209" s="0" t="n">
        <f aca="false" t="array" ref="AZ209:AZ209">_xlfn.XLOOKUP(J209,{"Low","Medium","High"},{270,72,24})</f>
        <v>270</v>
      </c>
      <c r="BA209" s="0" t="str">
        <f aca="false">IF(AW209&gt;AZ209,"Not Met","Met")</f>
        <v>Met</v>
      </c>
      <c r="BB209" s="21" t="str">
        <f aca="false">IF(AS209="","",TEXT(AS209,"MMM")&amp;"'"&amp;TEXT(AS209,"yy"))</f>
        <v>Mar'26</v>
      </c>
      <c r="BC209" s="0" t="str">
        <f aca="false">IF(AU209="","",TEXT(AU209,"MMM")&amp;"'"&amp;TEXT(AU209,"yy"))</f>
        <v>Mar'26</v>
      </c>
    </row>
    <row r="210" customFormat="false" ht="15" hidden="false" customHeight="false" outlineLevel="0" collapsed="false">
      <c r="A210" s="1" t="s">
        <v>770</v>
      </c>
      <c r="B210" s="11" t="n">
        <v>46087</v>
      </c>
      <c r="C210" s="12" t="n">
        <v>0.0256944444444444</v>
      </c>
      <c r="D210" s="13" t="str">
        <f aca="false">IF(B210="","",TEXT(B210,"MMM")&amp;"'"&amp;TEXT(B210,"yy"))</f>
        <v>Mar'26</v>
      </c>
      <c r="E210" s="1" t="s">
        <v>55</v>
      </c>
      <c r="F210" s="1" t="s">
        <v>39</v>
      </c>
      <c r="G210" s="46" t="str">
        <f aca="false">IF(F210="Closed","Closed","Pending")</f>
        <v>Closed</v>
      </c>
      <c r="H210" s="1" t="s">
        <v>405</v>
      </c>
      <c r="I210" s="1" t="s">
        <v>771</v>
      </c>
      <c r="J210" s="1" t="s">
        <v>74</v>
      </c>
      <c r="K210" s="1" t="s">
        <v>59</v>
      </c>
      <c r="L210" s="1" t="s">
        <v>772</v>
      </c>
      <c r="M210" s="1" t="s">
        <v>722</v>
      </c>
      <c r="N210" s="35" t="s">
        <v>65</v>
      </c>
      <c r="O210" s="1" t="s">
        <v>106</v>
      </c>
      <c r="Q210" s="1" t="s">
        <v>65</v>
      </c>
      <c r="R210" s="1" t="s">
        <v>87</v>
      </c>
      <c r="U210" s="12" t="n">
        <v>0.0576388888888889</v>
      </c>
      <c r="V210" s="11" t="n">
        <v>46091</v>
      </c>
      <c r="W210" s="12" t="n">
        <v>0.915277777777778</v>
      </c>
      <c r="X210" s="11" t="n">
        <v>46091</v>
      </c>
      <c r="Y210" s="12" t="n">
        <v>0.972916666666667</v>
      </c>
      <c r="Z210" s="1" t="s">
        <v>67</v>
      </c>
      <c r="AA210" s="1" t="s">
        <v>68</v>
      </c>
      <c r="AB210" s="2" t="e">
        <f aca="false">U210-#REF!</f>
        <v>#REF!</v>
      </c>
      <c r="AC210" s="14" t="n">
        <f aca="false">(V210+W210)-(B210+C210)</f>
        <v>4.88958333333333</v>
      </c>
      <c r="AD210" s="4" t="str">
        <f aca="false">INT((V210+W210)-(B210+C210)) &amp; ":" &amp;
TEXT(HOUR((V210+W210)-(B210+C210)), "00") &amp; ":" &amp;
TEXT(MINUTE((V210+W210)-(B210+C210)), "00")</f>
        <v>4:21:21</v>
      </c>
      <c r="AE210" s="1" t="n">
        <f aca="false">IFERROR(
LEFT(AD210,FIND(":",AD210)-1)
+ MID(AD210,FIND(":",AD210)+1,2)/24
+ RIGHT(AD210,2)/1440,
"")</f>
        <v>4.88958333333333</v>
      </c>
      <c r="AF210" s="4" t="str">
        <f aca="false">INT((X210+Y210)-(B210+C210)) &amp; ":" &amp;
TEXT(HOUR((X210+Y210)-(B210+C210)), "00") &amp; ":" &amp;
TEXT(MINUTE((X210+Y210)-(B210+C210)), "00")</f>
        <v>4:22:44</v>
      </c>
      <c r="AG210" s="4" t="str">
        <f aca="false" t="array" ref="AG210:AG210">INT(_xlfn.XLOOKUP(J210,{"Low","Medium","High","Urgent"},{48,24,12,8})/24) &amp; ":" &amp;
TEXT(MOD(_xlfn.XLOOKUP(J210,{"Low","Medium","High","Urgent"},{48,24,12,8}),24)/24,"hh:mm")</f>
        <v>2:00:00</v>
      </c>
      <c r="AH210" s="4" t="str">
        <f aca="false">IF(AD210&gt;AG210,"Not Met","Met")</f>
        <v>Not Met</v>
      </c>
      <c r="AI210" s="4" t="e">
        <f aca="false">IF(AB210&lt;TIME(0,30,0),"Met","Not Met")</f>
        <v>#REF!</v>
      </c>
      <c r="AN210" s="1" t="str">
        <f aca="false">TEXT(B210,"dd")</f>
        <v>06</v>
      </c>
      <c r="AO210" s="1" t="str">
        <f aca="false">TEXT(X210,"dd")</f>
        <v>10</v>
      </c>
      <c r="AP210" s="16" t="str">
        <f aca="false">INT(
  NETWORKDAYS(B210,V210)-1
  + IF(WEEKDAY(V210,2)&lt;6,MOD(V210+W210,1),0)
  - IF(WEEKDAY(B210,2)&lt;6,MOD(B210+C210,1),0)
)
&amp; ":" &amp;
TEXT(HOUR(
  NETWORKDAYS(B210,V210)-1
  + IF(WEEKDAY(V210,2)&lt;6,MOD(V210+W210,1),0)
  - IF(WEEKDAY(B210,2)&lt;6,MOD(B210+C210,1),0)
),"00")
&amp; ":" &amp;
TEXT(MINUTE(
  NETWORKDAYS(B210,V210)-1
  + IF(WEEKDAY(V210,2)&lt;6,MOD(V210+W210,1),0)
  - IF(WEEKDAY(B210,2)&lt;6,MOD(B210+C210,1),0)
),"00")</f>
        <v>2:21:21</v>
      </c>
      <c r="AR210" s="0" t="n">
        <f aca="false">WEEKNUM(B210,1)</f>
        <v>10</v>
      </c>
      <c r="AS210" s="17" t="n">
        <f aca="false">IF(B210&gt;0, (B210+C210)-TIME(13,30,0), "")</f>
        <v>46086.4631944444</v>
      </c>
      <c r="AT210" s="18" t="n">
        <f aca="false">IF(B210&gt;0, (B210+C210)-TIME(13,30,0), "")</f>
        <v>46086.4631944444</v>
      </c>
      <c r="AU210" s="17" t="n">
        <f aca="false">IF(V210&gt;0, (V210+W210)-TIME(13,30,0), "")</f>
        <v>46091.3527777778</v>
      </c>
      <c r="AV210" s="18" t="n">
        <f aca="false">IF(V210&gt;0, (V210+W210)-TIME(13,30,0), "")</f>
        <v>46091.3527777778</v>
      </c>
      <c r="AW210" s="19" t="n">
        <f aca="false">24*(
MAX(0,
IF(NETWORKDAYS(AS210,AU210)=1,
MIN(MOD(AV210,1),TIME(17,30,0)) - MAX(MOD(AT210,1),TIME(8,30,0)),
(TIME(17,30,0)-MAX(MOD(AT210,1),TIME(8,30,0)))
+ (MIN(MOD(AV210,1),TIME(17,30,0))-TIME(8,30,0))
+ (NETWORKDAYS(AS210,AU210)-2)*9/24
)
)
)</f>
        <v>24.350000000085</v>
      </c>
      <c r="AX210" s="19" t="n">
        <f aca="false">24*(
MAX(0,
IF(NETWORKDAYS(AS210,AU210)=1,
MIN(MOD(AV210,1),TIME(17,30,0)) - MAX(MOD(AT210,1),TIME(8,30,0)),
(TIME(17,30,0)-MAX(MOD(AT210,1),TIME(8,30,0)))
+ (MIN(MOD(AV210,1),TIME(17,30,0))-TIME(8,30,0))
+ (NETWORKDAYS(AS210,AU210)-2)* (TIME(17,30,0)-TIME(8,30,0))
)
)
)</f>
        <v>24.350000000085</v>
      </c>
      <c r="AY210" s="20" t="n">
        <f aca="false">ROUND(
IF(AS210=AU210,
MAX(0,
(MIN(MOD(AV210,1),TIME(17,30,0))-
MAX(MOD(AT210,1),TIME(8,30,0)))*24
),
(
(MAX(0,TIME(17,30,0)-MAX(MOD(AT210,1),TIME(8,30,0)))*24)
+
(MAX(0,MIN(MOD(AV210,1),TIME(17,30,0))-TIME(8,30,0))*24)
+
(MAX(0,NETWORKDAYS(AS210+1,AU210-1))*9)
)
),
2)</f>
        <v>24.38</v>
      </c>
      <c r="AZ210" s="0" t="n">
        <f aca="false" t="array" ref="AZ210:AZ210">_xlfn.XLOOKUP(J210,{"Low","Medium","High"},{270,72,24})</f>
        <v>270</v>
      </c>
      <c r="BA210" s="0" t="str">
        <f aca="false">IF(AW210&gt;AZ210,"Not Met","Met")</f>
        <v>Met</v>
      </c>
      <c r="BB210" s="21" t="str">
        <f aca="false">IF(AS210="","",TEXT(AS210,"MMM")&amp;"'"&amp;TEXT(AS210,"yy"))</f>
        <v>Mar'26</v>
      </c>
      <c r="BC210" s="0" t="str">
        <f aca="false">IF(AU210="","",TEXT(AU210,"MMM")&amp;"'"&amp;TEXT(AU210,"yy"))</f>
        <v>Mar'26</v>
      </c>
    </row>
    <row r="211" customFormat="false" ht="15" hidden="false" customHeight="false" outlineLevel="0" collapsed="false">
      <c r="A211" s="26" t="s">
        <v>773</v>
      </c>
      <c r="B211" s="56" t="n">
        <v>46087</v>
      </c>
      <c r="C211" s="32" t="n">
        <v>0.05625</v>
      </c>
      <c r="D211" s="57" t="str">
        <f aca="false">IF(B211="","",TEXT(B211,"MMM")&amp;"'"&amp;TEXT(B211,"yy"))</f>
        <v>Mar'26</v>
      </c>
      <c r="E211" s="26" t="s">
        <v>55</v>
      </c>
      <c r="F211" s="26" t="s">
        <v>39</v>
      </c>
      <c r="G211" s="62" t="str">
        <f aca="false">IF(F211="Closed","Closed","Pending")</f>
        <v>Closed</v>
      </c>
      <c r="H211" s="26" t="s">
        <v>157</v>
      </c>
      <c r="I211" s="26" t="s">
        <v>158</v>
      </c>
      <c r="J211" s="26" t="s">
        <v>74</v>
      </c>
      <c r="K211" s="26" t="s">
        <v>59</v>
      </c>
      <c r="L211" s="26" t="s">
        <v>774</v>
      </c>
      <c r="M211" s="1" t="s">
        <v>775</v>
      </c>
      <c r="N211" s="35" t="s">
        <v>65</v>
      </c>
      <c r="O211" s="1" t="s">
        <v>106</v>
      </c>
      <c r="Q211" s="1" t="s">
        <v>65</v>
      </c>
      <c r="R211" s="1" t="s">
        <v>230</v>
      </c>
      <c r="U211" s="12" t="n">
        <v>0.0583333333333333</v>
      </c>
      <c r="V211" s="11" t="n">
        <v>46087</v>
      </c>
      <c r="W211" s="12" t="n">
        <v>0.993055555555556</v>
      </c>
      <c r="X211" s="11" t="n">
        <v>46088</v>
      </c>
      <c r="Y211" s="12" t="n">
        <v>0.176388888888889</v>
      </c>
      <c r="Z211" s="1" t="s">
        <v>67</v>
      </c>
      <c r="AA211" s="1" t="s">
        <v>68</v>
      </c>
      <c r="AB211" s="2" t="e">
        <f aca="false">U211-#REF!</f>
        <v>#REF!</v>
      </c>
      <c r="AC211" s="14" t="n">
        <f aca="false">(V211+W211)-(B211+C211)</f>
        <v>0.936805555555556</v>
      </c>
      <c r="AD211" s="4" t="str">
        <f aca="false">INT((V211+W211)-(B211+C211)) &amp; ":" &amp;
TEXT(HOUR((V211+W211)-(B211+C211)), "00") &amp; ":" &amp;
TEXT(MINUTE((V211+W211)-(B211+C211)), "00")</f>
        <v>0:22:29</v>
      </c>
      <c r="AE211" s="1" t="n">
        <f aca="false">IFERROR(
LEFT(AD211,FIND(":",AD211)-1)
+ MID(AD211,FIND(":",AD211)+1,2)/24
+ RIGHT(AD211,2)/1440,
"")</f>
        <v>0.936805555555556</v>
      </c>
      <c r="AF211" s="4" t="str">
        <f aca="false">INT((X211+Y211)-(B211+C211)) &amp; ":" &amp;
TEXT(HOUR((X211+Y211)-(B211+C211)), "00") &amp; ":" &amp;
TEXT(MINUTE((X211+Y211)-(B211+C211)), "00")</f>
        <v>1:02:53</v>
      </c>
      <c r="AG211" s="4" t="str">
        <f aca="false" t="array" ref="AG211:AG211">INT(_xlfn.XLOOKUP(J211,{"Low","Medium","High","Urgent"},{48,24,12,8})/24) &amp; ":" &amp;
TEXT(MOD(_xlfn.XLOOKUP(J211,{"Low","Medium","High","Urgent"},{48,24,12,8}),24)/24,"hh:mm")</f>
        <v>2:00:00</v>
      </c>
      <c r="AH211" s="4" t="str">
        <f aca="false">IF(AD211&gt;AG211,"Not Met","Met")</f>
        <v>Met</v>
      </c>
      <c r="AI211" s="4" t="e">
        <f aca="false">IF(AB211&lt;TIME(0,30,0),"Met","Not Met")</f>
        <v>#REF!</v>
      </c>
      <c r="AN211" s="1" t="str">
        <f aca="false">TEXT(B211,"dd")</f>
        <v>06</v>
      </c>
      <c r="AO211" s="1" t="str">
        <f aca="false">TEXT(X211,"dd")</f>
        <v>07</v>
      </c>
      <c r="AP211" s="16" t="str">
        <f aca="false">INT(
  NETWORKDAYS(B211,V211)-1
  + IF(WEEKDAY(V211,2)&lt;6,MOD(V211+W211,1),0)
  - IF(WEEKDAY(B211,2)&lt;6,MOD(B211+C211,1),0)
)
&amp; ":" &amp;
TEXT(HOUR(
  NETWORKDAYS(B211,V211)-1
  + IF(WEEKDAY(V211,2)&lt;6,MOD(V211+W211,1),0)
  - IF(WEEKDAY(B211,2)&lt;6,MOD(B211+C211,1),0)
),"00")
&amp; ":" &amp;
TEXT(MINUTE(
  NETWORKDAYS(B211,V211)-1
  + IF(WEEKDAY(V211,2)&lt;6,MOD(V211+W211,1),0)
  - IF(WEEKDAY(B211,2)&lt;6,MOD(B211+C211,1),0)
),"00")</f>
        <v>0:22:28</v>
      </c>
      <c r="AR211" s="0" t="n">
        <f aca="false">WEEKNUM(B211,1)</f>
        <v>10</v>
      </c>
      <c r="AS211" s="17" t="n">
        <f aca="false">IF(B211&gt;0, (B211+C211)-TIME(13,30,0), "")</f>
        <v>46086.49375</v>
      </c>
      <c r="AT211" s="18" t="n">
        <f aca="false">IF(B211&gt;0, (B211+C211)-TIME(13,30,0), "")</f>
        <v>46086.49375</v>
      </c>
      <c r="AU211" s="17" t="n">
        <f aca="false">IF(V211&gt;0, (V211+W211)-TIME(13,30,0), "")</f>
        <v>46087.4305555556</v>
      </c>
      <c r="AV211" s="18" t="n">
        <f aca="false">IF(V211&gt;0, (V211+W211)-TIME(13,30,0), "")</f>
        <v>46087.4305555556</v>
      </c>
      <c r="AW211" s="19" t="n">
        <f aca="false">24*(
MAX(0,
IF(NETWORKDAYS(AS211,AU211)=1,
MIN(MOD(AV211,1),TIME(17,30,0)) - MAX(MOD(AT211,1),TIME(8,30,0)),
(TIME(17,30,0)-MAX(MOD(AT211,1),TIME(8,30,0)))
+ (MIN(MOD(AV211,1),TIME(17,30,0))-TIME(8,30,0))
+ (NETWORKDAYS(AS211,AU211)-2)*9/24
)
)
)</f>
        <v>7.48333333333333</v>
      </c>
      <c r="AX211" s="19" t="n">
        <f aca="false">24*(
MAX(0,
IF(NETWORKDAYS(AS211,AU211)=1,
MIN(MOD(AV211,1),TIME(17,30,0)) - MAX(MOD(AT211,1),TIME(8,30,0)),
(TIME(17,30,0)-MAX(MOD(AT211,1),TIME(8,30,0)))
+ (MIN(MOD(AV211,1),TIME(17,30,0))-TIME(8,30,0))
+ (NETWORKDAYS(AS211,AU211)-2)* (TIME(17,30,0)-TIME(8,30,0))
)
)
)</f>
        <v>7.48333333333333</v>
      </c>
      <c r="AY211" s="20" t="n">
        <f aca="false">ROUND(
IF(AS211=AU211,
MAX(0,
(MIN(MOD(AV211,1),TIME(17,30,0))-
MAX(MOD(AT211,1),TIME(8,30,0)))*24
),
(
(MAX(0,TIME(17,30,0)-MAX(MOD(AT211,1),TIME(8,30,0)))*24)
+
(MAX(0,MIN(MOD(AV211,1),TIME(17,30,0))-TIME(8,30,0))*24)
+
(MAX(0,NETWORKDAYS(AS211+1,AU211-1))*9)
)
),
2)</f>
        <v>7.48</v>
      </c>
      <c r="AZ211" s="0" t="n">
        <f aca="false" t="array" ref="AZ211:AZ211">_xlfn.XLOOKUP(J211,{"Low","Medium","High"},{270,72,24})</f>
        <v>270</v>
      </c>
      <c r="BA211" s="0" t="str">
        <f aca="false">IF(AW211&gt;AZ211,"Not Met","Met")</f>
        <v>Met</v>
      </c>
      <c r="BB211" s="21" t="str">
        <f aca="false">IF(AS211="","",TEXT(AS211,"MMM")&amp;"'"&amp;TEXT(AS211,"yy"))</f>
        <v>Mar'26</v>
      </c>
      <c r="BC211" s="0" t="str">
        <f aca="false">IF(AU211="","",TEXT(AU211,"MMM")&amp;"'"&amp;TEXT(AU211,"yy"))</f>
        <v>Mar'26</v>
      </c>
    </row>
    <row r="212" customFormat="false" ht="15" hidden="false" customHeight="false" outlineLevel="0" collapsed="false">
      <c r="A212" s="52" t="s">
        <v>776</v>
      </c>
      <c r="B212" s="11" t="n">
        <v>46087</v>
      </c>
      <c r="C212" s="12" t="n">
        <v>0.922222222222222</v>
      </c>
      <c r="D212" s="13" t="str">
        <f aca="false">IF(B212="","",TEXT(B212,"MMM")&amp;"'"&amp;TEXT(B212,"yy"))</f>
        <v>Mar'26</v>
      </c>
      <c r="E212" s="1" t="s">
        <v>55</v>
      </c>
      <c r="F212" s="1" t="s">
        <v>39</v>
      </c>
      <c r="G212" s="1" t="str">
        <f aca="false">IF(F212="Closed","Closed","Pending")</f>
        <v>Closed</v>
      </c>
      <c r="H212" s="1" t="s">
        <v>120</v>
      </c>
      <c r="I212" s="1" t="s">
        <v>401</v>
      </c>
      <c r="J212" s="1" t="s">
        <v>58</v>
      </c>
      <c r="K212" s="1" t="s">
        <v>59</v>
      </c>
      <c r="L212" s="1" t="s">
        <v>777</v>
      </c>
      <c r="M212" s="50" t="s">
        <v>778</v>
      </c>
      <c r="N212" s="1" t="s">
        <v>143</v>
      </c>
      <c r="O212" s="1" t="s">
        <v>143</v>
      </c>
      <c r="Q212" s="1" t="s">
        <v>143</v>
      </c>
      <c r="R212" s="1" t="s">
        <v>66</v>
      </c>
      <c r="U212" s="12" t="n">
        <v>0.997222222222222</v>
      </c>
      <c r="V212" s="11" t="n">
        <v>46146</v>
      </c>
      <c r="W212" s="12" t="n">
        <v>0.954166666666667</v>
      </c>
      <c r="X212" s="11" t="n">
        <v>46149</v>
      </c>
      <c r="Y212" s="12" t="n">
        <v>0.966666666666667</v>
      </c>
      <c r="Z212" s="1" t="s">
        <v>108</v>
      </c>
      <c r="AA212" s="1" t="s">
        <v>68</v>
      </c>
      <c r="AB212" s="2" t="e">
        <f aca="false">U212-#REF!</f>
        <v>#REF!</v>
      </c>
      <c r="AC212" s="14" t="n">
        <f aca="false">(V212+W212)-(B212+C212)</f>
        <v>59.0319444444444</v>
      </c>
      <c r="AD212" s="4" t="str">
        <f aca="false">INT((V212+W212)-(B212+C212)) &amp; ":" &amp;
TEXT(HOUR((V212+W212)-(B212+C212)), "00") &amp; ":" &amp;
TEXT(MINUTE((V212+W212)-(B212+C212)), "00")</f>
        <v>59:00:46</v>
      </c>
      <c r="AE212" s="1" t="n">
        <f aca="false">IFERROR(
LEFT(AD212,FIND(":",AD212)-1)
+ MID(AD212,FIND(":",AD212)+1,2)/24
+ RIGHT(AD212,2)/1440,
"")</f>
        <v>59.0319444444444</v>
      </c>
      <c r="AF212" s="4" t="str">
        <f aca="false">INT((X212+Y212)-(B212+C212)) &amp; ":" &amp;
TEXT(HOUR((X212+Y212)-(B212+C212)), "00") &amp; ":" &amp;
TEXT(MINUTE((X212+Y212)-(B212+C212)), "00")</f>
        <v>62:01:04</v>
      </c>
      <c r="AG212" s="4" t="str">
        <f aca="false" t="array" ref="AG212:AG212">INT(_xlfn.XLOOKUP(J212,{"Low","Medium","High","Urgent"},{48,24,12,8})/24) &amp; ":" &amp;
TEXT(MOD(_xlfn.XLOOKUP(J212,{"Low","Medium","High","Urgent"},{48,24,12,8}),24)/24,"hh:mm")</f>
        <v>1:00:00</v>
      </c>
      <c r="AH212" s="4" t="str">
        <f aca="false">IF(AD212&gt;AG212,"Not Met","Met")</f>
        <v>Not Met</v>
      </c>
      <c r="AI212" s="4" t="e">
        <f aca="false">IF(AB212&lt;TIME(0,30,0),"Met","Not Met")</f>
        <v>#REF!</v>
      </c>
      <c r="AN212" s="1" t="str">
        <f aca="false">TEXT(B212,"dd")</f>
        <v>06</v>
      </c>
      <c r="AO212" s="1" t="str">
        <f aca="false">TEXT(X212,"dd")</f>
        <v>07</v>
      </c>
      <c r="AP212" s="16" t="str">
        <f aca="false">INT(
  NETWORKDAYS(B212,V212)-1
  + IF(WEEKDAY(V212,2)&lt;6,MOD(V212+W212,1),0)
  - IF(WEEKDAY(B212,2)&lt;6,MOD(B212+C212,1),0)
)
&amp; ":" &amp;
TEXT(HOUR(
  NETWORKDAYS(B212,V212)-1
  + IF(WEEKDAY(V212,2)&lt;6,MOD(V212+W212,1),0)
  - IF(WEEKDAY(B212,2)&lt;6,MOD(B212+C212,1),0)
),"00")
&amp; ":" &amp;
TEXT(MINUTE(
  NETWORKDAYS(B212,V212)-1
  + IF(WEEKDAY(V212,2)&lt;6,MOD(V212+W212,1),0)
  - IF(WEEKDAY(B212,2)&lt;6,MOD(B212+C212,1),0)
),"00")</f>
        <v>41:00:46</v>
      </c>
      <c r="AQ212" s="0" t="n">
        <f aca="false">IFERROR(
LEFT(AP212,FIND(":",AP212)-1)
+ MID(AP212,FIND(":",AP212)+1,2)/24
+ RIGHT(AP212,2)/1440,
"")</f>
        <v>41.0319444444444</v>
      </c>
      <c r="AR212" s="0" t="n">
        <f aca="false">WEEKNUM(B212,1)</f>
        <v>10</v>
      </c>
      <c r="AS212" s="17" t="n">
        <f aca="false">IF(B212&gt;0, (B212+C212)-TIME(13,30,0), "")</f>
        <v>46087.3597222222</v>
      </c>
      <c r="AT212" s="18" t="n">
        <f aca="false">IF(B212&gt;0, (B212+C212)-TIME(13,30,0), "")</f>
        <v>46087.3597222222</v>
      </c>
      <c r="AU212" s="17" t="n">
        <f aca="false">IF(V212&gt;0, (V212+W212)-TIME(13,30,0), "")</f>
        <v>46146.3916666667</v>
      </c>
      <c r="AV212" s="18" t="n">
        <f aca="false">IF(V212&gt;0, (V212+W212)-TIME(13,30,0), "")</f>
        <v>46146.3916666667</v>
      </c>
      <c r="AW212" s="19" t="n">
        <f aca="false">24*(
MAX(0,
IF(NETWORKDAYS(AS212,AU212)=1,
MIN(MOD(AV212,1),TIME(17,30,0)) - MAX(MOD(AT212,1),TIME(8,30,0)),
(TIME(17,30,0)-MAX(MOD(AT212,1),TIME(8,30,0)))
+ (MIN(MOD(AV212,1),TIME(17,30,0))-TIME(8,30,0))
+ (NETWORKDAYS(AS212,AU212)-2)*9/24
)
)
)</f>
        <v>369.766666666667</v>
      </c>
      <c r="AX212" s="19" t="n">
        <f aca="false">24*(
MAX(0,
IF(NETWORKDAYS(AS212,AU212)=1,
MIN(MOD(AV212,1),TIME(17,30,0)) - MAX(MOD(AT212,1),TIME(8,30,0)),
(TIME(17,30,0)-MAX(MOD(AT212,1),TIME(8,30,0)))
+ (MIN(MOD(AV212,1),TIME(17,30,0))-TIME(8,30,0))
+ (NETWORKDAYS(AS212,AU212)-2)* (TIME(17,30,0)-TIME(8,30,0))
)
)
)</f>
        <v>369.766666666667</v>
      </c>
      <c r="AY212" s="20" t="n">
        <f aca="false">ROUND(
IF(AS212=AU212,
MAX(0,
(MIN(MOD(AV212,1),TIME(17,30,0))-
MAX(MOD(AT212,1),TIME(8,30,0)))*24
),
(
(MAX(0,TIME(17,30,0)-MAX(MOD(AT212,1),TIME(8,30,0)))*24)
+
(MAX(0,MIN(MOD(AV212,1),TIME(17,30,0))-TIME(8,30,0))*24)
+
(MAX(0,NETWORKDAYS(AS212+1,AU212-1))*9)
)
),
2)</f>
        <v>369.77</v>
      </c>
      <c r="AZ212" s="0" t="n">
        <f aca="false" t="array" ref="AZ212:AZ212">_xlfn.XLOOKUP(J212,{"Low","Medium","High"},{270,72,24})</f>
        <v>72</v>
      </c>
      <c r="BA212" s="0" t="str">
        <f aca="false">IF(AW212&gt;AZ212,"Not Met","Met")</f>
        <v>Not Met</v>
      </c>
      <c r="BB212" s="21" t="str">
        <f aca="false">IF(AS212="","",TEXT(AS212,"MMM")&amp;"'"&amp;TEXT(AS212,"yy"))</f>
        <v>Mar'26</v>
      </c>
      <c r="BC212" s="0" t="str">
        <f aca="false">IF(AU212="","",TEXT(AU212,"MMM")&amp;"'"&amp;TEXT(AU212,"yy"))</f>
        <v>May'26</v>
      </c>
    </row>
    <row r="213" customFormat="false" ht="15" hidden="false" customHeight="false" outlineLevel="0" collapsed="false">
      <c r="A213" s="1" t="s">
        <v>779</v>
      </c>
      <c r="B213" s="11" t="n">
        <v>46088</v>
      </c>
      <c r="C213" s="12" t="n">
        <v>0.00555555555555556</v>
      </c>
      <c r="D213" s="13" t="str">
        <f aca="false">IF(B213="","",TEXT(B213,"MMM")&amp;"'"&amp;TEXT(B213,"yy"))</f>
        <v>Mar'26</v>
      </c>
      <c r="E213" s="1" t="s">
        <v>55</v>
      </c>
      <c r="F213" s="1" t="s">
        <v>39</v>
      </c>
      <c r="G213" s="1" t="str">
        <f aca="false">IF(F213="Closed","Closed","Pending")</f>
        <v>Closed</v>
      </c>
      <c r="H213" s="1" t="s">
        <v>120</v>
      </c>
      <c r="I213" s="1" t="s">
        <v>401</v>
      </c>
      <c r="J213" s="1" t="s">
        <v>58</v>
      </c>
      <c r="K213" s="1" t="s">
        <v>59</v>
      </c>
      <c r="L213" s="1" t="s">
        <v>780</v>
      </c>
      <c r="M213" s="35" t="s">
        <v>781</v>
      </c>
      <c r="N213" s="1" t="s">
        <v>65</v>
      </c>
      <c r="O213" s="1" t="s">
        <v>77</v>
      </c>
      <c r="Q213" s="1" t="s">
        <v>65</v>
      </c>
      <c r="R213" s="1" t="s">
        <v>66</v>
      </c>
      <c r="U213" s="12" t="n">
        <v>0.0173611111111111</v>
      </c>
      <c r="V213" s="11" t="n">
        <v>46091</v>
      </c>
      <c r="W213" s="12" t="n">
        <v>0.920833333333333</v>
      </c>
      <c r="X213" s="11" t="n">
        <v>46091</v>
      </c>
      <c r="Y213" s="12" t="n">
        <v>0.940277777777778</v>
      </c>
      <c r="Z213" s="1" t="s">
        <v>108</v>
      </c>
      <c r="AA213" s="1" t="s">
        <v>68</v>
      </c>
      <c r="AB213" s="2" t="e">
        <f aca="false">U213-#REF!</f>
        <v>#REF!</v>
      </c>
      <c r="AC213" s="14" t="n">
        <f aca="false">(V213+W213)-(B213+C213)</f>
        <v>3.91527777777778</v>
      </c>
      <c r="AD213" s="4" t="str">
        <f aca="false">INT((V213+W213)-(B213+C213)) &amp; ":" &amp;
TEXT(HOUR((V213+W213)-(B213+C213)), "00") &amp; ":" &amp;
TEXT(MINUTE((V213+W213)-(B213+C213)), "00")</f>
        <v>3:21:58</v>
      </c>
      <c r="AE213" s="1" t="n">
        <f aca="false">IFERROR(
LEFT(AD213,FIND(":",AD213)-1)
+ MID(AD213,FIND(":",AD213)+1,2)/24
+ RIGHT(AD213,2)/1440,
"")</f>
        <v>3.91527777777778</v>
      </c>
      <c r="AF213" s="4" t="str">
        <f aca="false">INT((X213+Y213)-(B213+C213)) &amp; ":" &amp;
TEXT(HOUR((X213+Y213)-(B213+C213)), "00") &amp; ":" &amp;
TEXT(MINUTE((X213+Y213)-(B213+C213)), "00")</f>
        <v>3:22:26</v>
      </c>
      <c r="AG213" s="4" t="str">
        <f aca="false" t="array" ref="AG213:AG213">INT(_xlfn.XLOOKUP(J213,{"Low","Medium","High","Urgent"},{48,24,12,8})/24) &amp; ":" &amp;
TEXT(MOD(_xlfn.XLOOKUP(J213,{"Low","Medium","High","Urgent"},{48,24,12,8}),24)/24,"hh:mm")</f>
        <v>1:00:00</v>
      </c>
      <c r="AH213" s="4" t="str">
        <f aca="false">IF(AD213&gt;AG213,"Not Met","Met")</f>
        <v>Not Met</v>
      </c>
      <c r="AI213" s="4" t="e">
        <f aca="false">IF(AB213&lt;TIME(0,30,0),"Met","Not Met")</f>
        <v>#REF!</v>
      </c>
      <c r="AN213" s="1" t="str">
        <f aca="false">TEXT(B213,"dd")</f>
        <v>07</v>
      </c>
      <c r="AO213" s="1" t="str">
        <f aca="false">TEXT(X213,"dd")</f>
        <v>10</v>
      </c>
      <c r="AP213" s="16" t="str">
        <f aca="false">INT(
  NETWORKDAYS(B213,V213)-1
  + IF(WEEKDAY(V213,2)&lt;6,MOD(V213+W213,1),0)
  - IF(WEEKDAY(B213,2)&lt;6,MOD(B213+C213,1),0)
)
&amp; ":" &amp;
TEXT(HOUR(
  NETWORKDAYS(B213,V213)-1
  + IF(WEEKDAY(V213,2)&lt;6,MOD(V213+W213,1),0)
  - IF(WEEKDAY(B213,2)&lt;6,MOD(B213+C213,1),0)
),"00")
&amp; ":" &amp;
TEXT(MINUTE(
  NETWORKDAYS(B213,V213)-1
  + IF(WEEKDAY(V213,2)&lt;6,MOD(V213+W213,1),0)
  - IF(WEEKDAY(B213,2)&lt;6,MOD(B213+C213,1),0)
),"00")</f>
        <v>1:22:05</v>
      </c>
      <c r="AR213" s="0" t="n">
        <f aca="false">WEEKNUM(B213,1)</f>
        <v>10</v>
      </c>
      <c r="AS213" s="17" t="n">
        <f aca="false">IF(B213&gt;0, (B213+C213)-TIME(13,30,0), "")</f>
        <v>46087.4430555556</v>
      </c>
      <c r="AT213" s="18" t="n">
        <f aca="false">IF(B213&gt;0, (B213+C213)-TIME(13,30,0), "")</f>
        <v>46087.4430555556</v>
      </c>
      <c r="AU213" s="17" t="n">
        <f aca="false">IF(V213&gt;0, (V213+W213)-TIME(13,30,0), "")</f>
        <v>46091.3583333333</v>
      </c>
      <c r="AV213" s="18" t="n">
        <f aca="false">IF(V213&gt;0, (V213+W213)-TIME(13,30,0), "")</f>
        <v>46091.3583333333</v>
      </c>
      <c r="AW213" s="19" t="n">
        <f aca="false">24*(
MAX(0,
IF(NETWORKDAYS(AS213,AU213)=1,
MIN(MOD(AV213,1),TIME(17,30,0)) - MAX(MOD(AT213,1),TIME(8,30,0)),
(TIME(17,30,0)-MAX(MOD(AT213,1),TIME(8,30,0)))
+ (MIN(MOD(AV213,1),TIME(17,30,0))-TIME(8,30,0))
+ (NETWORKDAYS(AS213,AU213)-2)*9/24
)
)
)</f>
        <v>15.9666666665808</v>
      </c>
      <c r="AX213" s="19" t="n">
        <f aca="false">24*(
MAX(0,
IF(NETWORKDAYS(AS213,AU213)=1,
MIN(MOD(AV213,1),TIME(17,30,0)) - MAX(MOD(AT213,1),TIME(8,30,0)),
(TIME(17,30,0)-MAX(MOD(AT213,1),TIME(8,30,0)))
+ (MIN(MOD(AV213,1),TIME(17,30,0))-TIME(8,30,0))
+ (NETWORKDAYS(AS213,AU213)-2)* (TIME(17,30,0)-TIME(8,30,0))
)
)
)</f>
        <v>15.9666666665808</v>
      </c>
      <c r="AY213" s="20" t="n">
        <f aca="false">ROUND(
IF(AS213=AU213,
MAX(0,
(MIN(MOD(AV213,1),TIME(17,30,0))-
MAX(MOD(AT213,1),TIME(8,30,0)))*24
),
(
(MAX(0,TIME(17,30,0)-MAX(MOD(AT213,1),TIME(8,30,0)))*24)
+
(MAX(0,MIN(MOD(AV213,1),TIME(17,30,0))-TIME(8,30,0))*24)
+
(MAX(0,NETWORKDAYS(AS213+1,AU213-1))*9)
)
),
2)</f>
        <v>15.97</v>
      </c>
      <c r="AZ213" s="0" t="n">
        <f aca="false" t="array" ref="AZ213:AZ213">_xlfn.XLOOKUP(J213,{"Low","Medium","High"},{270,72,24})</f>
        <v>72</v>
      </c>
      <c r="BA213" s="0" t="str">
        <f aca="false">IF(AW213&gt;AZ213,"Not Met","Met")</f>
        <v>Met</v>
      </c>
      <c r="BB213" s="21" t="str">
        <f aca="false">IF(AS213="","",TEXT(AS213,"MMM")&amp;"'"&amp;TEXT(AS213,"yy"))</f>
        <v>Mar'26</v>
      </c>
      <c r="BC213" s="0" t="str">
        <f aca="false">IF(AU213="","",TEXT(AU213,"MMM")&amp;"'"&amp;TEXT(AU213,"yy"))</f>
        <v>Mar'26</v>
      </c>
    </row>
    <row r="214" customFormat="false" ht="15" hidden="false" customHeight="false" outlineLevel="0" collapsed="false">
      <c r="A214" s="26" t="s">
        <v>782</v>
      </c>
      <c r="B214" s="56" t="n">
        <v>46088</v>
      </c>
      <c r="C214" s="32" t="n">
        <v>0.0493055555555556</v>
      </c>
      <c r="D214" s="57" t="str">
        <f aca="false">IF(B214="","",TEXT(B214,"MMM")&amp;"'"&amp;TEXT(B214,"yy"))</f>
        <v>Mar'26</v>
      </c>
      <c r="E214" s="26" t="s">
        <v>55</v>
      </c>
      <c r="F214" s="26" t="s">
        <v>39</v>
      </c>
      <c r="G214" s="33" t="str">
        <f aca="false">IF(F214="Closed","Closed","Pending")</f>
        <v>Closed</v>
      </c>
      <c r="H214" s="26" t="s">
        <v>72</v>
      </c>
      <c r="I214" s="26" t="s">
        <v>783</v>
      </c>
      <c r="J214" s="26" t="s">
        <v>74</v>
      </c>
      <c r="K214" s="26" t="s">
        <v>59</v>
      </c>
      <c r="L214" s="26" t="s">
        <v>784</v>
      </c>
      <c r="M214" s="40" t="s">
        <v>785</v>
      </c>
      <c r="N214" s="26" t="s">
        <v>65</v>
      </c>
      <c r="O214" s="26" t="s">
        <v>77</v>
      </c>
      <c r="Q214" s="1" t="s">
        <v>65</v>
      </c>
      <c r="R214" s="1" t="s">
        <v>87</v>
      </c>
      <c r="U214" s="12" t="n">
        <v>0.0708333333333333</v>
      </c>
      <c r="V214" s="11" t="n">
        <v>46136</v>
      </c>
      <c r="W214" s="12" t="n">
        <v>0.873611111111111</v>
      </c>
      <c r="X214" s="11" t="n">
        <v>46140</v>
      </c>
      <c r="Y214" s="12" t="n">
        <v>0.938194444444444</v>
      </c>
      <c r="Z214" s="1" t="s">
        <v>108</v>
      </c>
      <c r="AA214" s="1" t="s">
        <v>68</v>
      </c>
      <c r="AB214" s="2" t="e">
        <f aca="false">U214-#REF!</f>
        <v>#REF!</v>
      </c>
      <c r="AC214" s="14" t="n">
        <f aca="false">(V214+W214)-(B214+C214)</f>
        <v>48.8243055555556</v>
      </c>
      <c r="AD214" s="4" t="str">
        <f aca="false">INT((V214+W214)-(B214+C214)) &amp; ":" &amp;
TEXT(HOUR((V214+W214)-(B214+C214)), "00") &amp; ":" &amp;
TEXT(MINUTE((V214+W214)-(B214+C214)), "00")</f>
        <v>48:19:47</v>
      </c>
      <c r="AE214" s="1" t="n">
        <f aca="false">IFERROR(
LEFT(AD214,FIND(":",AD214)-1)
+ MID(AD214,FIND(":",AD214)+1,2)/24
+ RIGHT(AD214,2)/1440,
"")</f>
        <v>48.8243055555556</v>
      </c>
      <c r="AF214" s="4" t="str">
        <f aca="false">INT((X214+Y214)-(B214+C214)) &amp; ":" &amp;
TEXT(HOUR((X214+Y214)-(B214+C214)), "00") &amp; ":" &amp;
TEXT(MINUTE((X214+Y214)-(B214+C214)), "00")</f>
        <v>52:21:20</v>
      </c>
      <c r="AG214" s="4" t="str">
        <f aca="false" t="array" ref="AG214:AG214">INT(_xlfn.XLOOKUP(J214,{"Low","Medium","High","Urgent"},{48,24,12,8})/24) &amp; ":" &amp;
TEXT(MOD(_xlfn.XLOOKUP(J214,{"Low","Medium","High","Urgent"},{48,24,12,8}),24)/24,"hh:mm")</f>
        <v>2:00:00</v>
      </c>
      <c r="AH214" s="4" t="str">
        <f aca="false">IF(AD214&gt;AG214,"Not Met","Met")</f>
        <v>Not Met</v>
      </c>
      <c r="AI214" s="4" t="e">
        <f aca="false">IF(AB214&lt;TIME(0,30,0),"Met","Not Met")</f>
        <v>#REF!</v>
      </c>
      <c r="AN214" s="1" t="str">
        <f aca="false">TEXT(B214,"dd")</f>
        <v>07</v>
      </c>
      <c r="AO214" s="1" t="str">
        <f aca="false">TEXT(X214,"dd")</f>
        <v>28</v>
      </c>
      <c r="AP214" s="16" t="str">
        <f aca="false">INT(
  NETWORKDAYS(B214,V214)-1
  + IF(WEEKDAY(V214,2)&lt;6,MOD(V214+W214,1),0)
  - IF(WEEKDAY(B214,2)&lt;6,MOD(B214+C214,1),0)
)
&amp; ":" &amp;
TEXT(HOUR(
  NETWORKDAYS(B214,V214)-1
  + IF(WEEKDAY(V214,2)&lt;6,MOD(V214+W214,1),0)
  - IF(WEEKDAY(B214,2)&lt;6,MOD(B214+C214,1),0)
),"00")
&amp; ":" &amp;
TEXT(MINUTE(
  NETWORKDAYS(B214,V214)-1
  + IF(WEEKDAY(V214,2)&lt;6,MOD(V214+W214,1),0)
  - IF(WEEKDAY(B214,2)&lt;6,MOD(B214+C214,1),0)
),"00")</f>
        <v>34:20:58</v>
      </c>
      <c r="AQ214" s="0" t="n">
        <f aca="false">IFERROR(
LEFT(AP214,FIND(":",AP214)-1)
+ MID(AP214,FIND(":",AP214)+1,2)/24
+ RIGHT(AP214,2)/1440,
"")</f>
        <v>34.8736111111111</v>
      </c>
      <c r="AR214" s="0" t="n">
        <f aca="false">WEEKNUM(B214,1)</f>
        <v>10</v>
      </c>
      <c r="AS214" s="17" t="n">
        <f aca="false">IF(B214&gt;0, (B214+C214)-TIME(13,30,0), "")</f>
        <v>46087.4868055556</v>
      </c>
      <c r="AT214" s="18" t="n">
        <f aca="false">IF(B214&gt;0, (B214+C214)-TIME(13,30,0), "")</f>
        <v>46087.4868055556</v>
      </c>
      <c r="AU214" s="17" t="n">
        <f aca="false">IF(V214&gt;0, (V214+W214)-TIME(13,30,0), "")</f>
        <v>46136.3111111111</v>
      </c>
      <c r="AV214" s="18" t="n">
        <f aca="false">IF(V214&gt;0, (V214+W214)-TIME(13,30,0), "")</f>
        <v>46136.3111111111</v>
      </c>
      <c r="AW214" s="19" t="n">
        <f aca="false">24*(
MAX(0,
IF(NETWORKDAYS(AS214,AU214)=1,
MIN(MOD(AV214,1),TIME(17,30,0)) - MAX(MOD(AT214,1),TIME(8,30,0)),
(TIME(17,30,0)-MAX(MOD(AT214,1),TIME(8,30,0)))
+ (MIN(MOD(AV214,1),TIME(17,30,0))-TIME(8,30,0))
+ (NETWORKDAYS(AS214,AU214)-2)*9/24
)
)
)</f>
        <v>310.783333333333</v>
      </c>
      <c r="AX214" s="19" t="n">
        <f aca="false">24*(
MAX(0,
IF(NETWORKDAYS(AS214,AU214)=1,
MIN(MOD(AV214,1),TIME(17,30,0)) - MAX(MOD(AT214,1),TIME(8,30,0)),
(TIME(17,30,0)-MAX(MOD(AT214,1),TIME(8,30,0)))
+ (MIN(MOD(AV214,1),TIME(17,30,0))-TIME(8,30,0))
+ (NETWORKDAYS(AS214,AU214)-2)* (TIME(17,30,0)-TIME(8,30,0))
)
)
)</f>
        <v>310.783333333333</v>
      </c>
      <c r="AY214" s="20" t="n">
        <f aca="false">ROUND(
IF(AS214=AU214,
MAX(0,
(MIN(MOD(AV214,1),TIME(17,30,0))-
MAX(MOD(AT214,1),TIME(8,30,0)))*24
),
(
(MAX(0,TIME(17,30,0)-MAX(MOD(AT214,1),TIME(8,30,0)))*24)
+
(MAX(0,MIN(MOD(AV214,1),TIME(17,30,0))-TIME(8,30,0))*24)
+
(MAX(0,NETWORKDAYS(AS214+1,AU214-1))*9)
)
),
2)</f>
        <v>311.82</v>
      </c>
      <c r="AZ214" s="0" t="n">
        <f aca="false" t="array" ref="AZ214:AZ214">_xlfn.XLOOKUP(J214,{"Low","Medium","High"},{270,72,24})</f>
        <v>270</v>
      </c>
      <c r="BA214" s="0" t="str">
        <f aca="false">IF(AW214&gt;AZ214,"Not Met","Met")</f>
        <v>Not Met</v>
      </c>
      <c r="BB214" s="21" t="str">
        <f aca="false">IF(AS214="","",TEXT(AS214,"MMM")&amp;"'"&amp;TEXT(AS214,"yy"))</f>
        <v>Mar'26</v>
      </c>
      <c r="BC214" s="0" t="str">
        <f aca="false">IF(AU214="","",TEXT(AU214,"MMM")&amp;"'"&amp;TEXT(AU214,"yy"))</f>
        <v>Apr'26</v>
      </c>
    </row>
    <row r="215" customFormat="false" ht="15" hidden="false" customHeight="false" outlineLevel="0" collapsed="false">
      <c r="A215" s="1" t="s">
        <v>786</v>
      </c>
      <c r="B215" s="11" t="n">
        <v>46090</v>
      </c>
      <c r="C215" s="12" t="n">
        <v>0.958333333333333</v>
      </c>
      <c r="D215" s="13" t="str">
        <f aca="false">IF(B215="","",TEXT(B215,"MMM")&amp;"'"&amp;TEXT(B215,"yy"))</f>
        <v>Mar'26</v>
      </c>
      <c r="E215" s="1" t="s">
        <v>55</v>
      </c>
      <c r="F215" s="1" t="s">
        <v>39</v>
      </c>
      <c r="G215" s="1" t="str">
        <f aca="false">IF(F215="Closed","Closed","Pending")</f>
        <v>Closed</v>
      </c>
      <c r="H215" s="1" t="s">
        <v>157</v>
      </c>
      <c r="I215" s="1" t="s">
        <v>639</v>
      </c>
      <c r="J215" s="1" t="s">
        <v>74</v>
      </c>
      <c r="K215" s="1" t="s">
        <v>59</v>
      </c>
      <c r="L215" s="1" t="s">
        <v>787</v>
      </c>
      <c r="M215" s="1" t="s">
        <v>788</v>
      </c>
      <c r="N215" s="1" t="s">
        <v>65</v>
      </c>
      <c r="O215" s="1" t="s">
        <v>106</v>
      </c>
      <c r="P215" s="35"/>
      <c r="Q215" s="1" t="s">
        <v>65</v>
      </c>
      <c r="R215" s="1" t="s">
        <v>87</v>
      </c>
      <c r="U215" s="12" t="n">
        <v>0.970138888888889</v>
      </c>
      <c r="V215" s="11" t="n">
        <v>46091</v>
      </c>
      <c r="W215" s="12" t="n">
        <v>0.93125</v>
      </c>
      <c r="X215" s="11" t="n">
        <v>46091</v>
      </c>
      <c r="Y215" s="12" t="n">
        <v>0.972222222222222</v>
      </c>
      <c r="Z215" s="1" t="s">
        <v>108</v>
      </c>
      <c r="AA215" s="1" t="s">
        <v>68</v>
      </c>
      <c r="AB215" s="2" t="e">
        <f aca="false">U215-#REF!</f>
        <v>#REF!</v>
      </c>
      <c r="AC215" s="14" t="n">
        <f aca="false">(V215+W215)-(B215+C215)</f>
        <v>0.972916666666667</v>
      </c>
      <c r="AD215" s="4" t="str">
        <f aca="false">INT((V215+W215)-(B215+C215)) &amp; ":" &amp;
TEXT(HOUR((V215+W215)-(B215+C215)), "00") &amp; ":" &amp;
TEXT(MINUTE((V215+W215)-(B215+C215)), "00")</f>
        <v>0:23:21</v>
      </c>
      <c r="AE215" s="1" t="n">
        <f aca="false">IFERROR(
LEFT(AD215,FIND(":",AD215)-1)
+ MID(AD215,FIND(":",AD215)+1,2)/24
+ RIGHT(AD215,2)/1440,
"")</f>
        <v>0.972916666666667</v>
      </c>
      <c r="AF215" s="4" t="str">
        <f aca="false">INT((X215+Y215)-(B215+C215)) &amp; ":" &amp;
TEXT(HOUR((X215+Y215)-(B215+C215)), "00") &amp; ":" &amp;
TEXT(MINUTE((X215+Y215)-(B215+C215)), "00")</f>
        <v>1:00:20</v>
      </c>
      <c r="AG215" s="4" t="str">
        <f aca="false" t="array" ref="AG215:AG215">INT(_xlfn.XLOOKUP(J215,{"Low","Medium","High","Urgent"},{48,24,12,8})/24) &amp; ":" &amp;
TEXT(MOD(_xlfn.XLOOKUP(J215,{"Low","Medium","High","Urgent"},{48,24,12,8}),24)/24,"hh:mm")</f>
        <v>2:00:00</v>
      </c>
      <c r="AH215" s="4" t="str">
        <f aca="false">IF(AD215&gt;AG215,"Not Met","Met")</f>
        <v>Met</v>
      </c>
      <c r="AI215" s="4" t="e">
        <f aca="false">IF(AB215&lt;TIME(0,30,0),"Met","Not Met")</f>
        <v>#REF!</v>
      </c>
      <c r="AN215" s="1" t="str">
        <f aca="false">TEXT(B215,"dd")</f>
        <v>09</v>
      </c>
      <c r="AO215" s="1" t="str">
        <f aca="false">TEXT(X215,"dd")</f>
        <v>10</v>
      </c>
      <c r="AP215" s="16" t="str">
        <f aca="false">INT(
  NETWORKDAYS(B215,V215)-1
  + IF(WEEKDAY(V215,2)&lt;6,MOD(V215+W215,1),0)
  - IF(WEEKDAY(B215,2)&lt;6,MOD(B215+C215,1),0)
)
&amp; ":" &amp;
TEXT(HOUR(
  NETWORKDAYS(B215,V215)-1
  + IF(WEEKDAY(V215,2)&lt;6,MOD(V215+W215,1),0)
  - IF(WEEKDAY(B215,2)&lt;6,MOD(B215+C215,1),0)
),"00")
&amp; ":" &amp;
TEXT(MINUTE(
  NETWORKDAYS(B215,V215)-1
  + IF(WEEKDAY(V215,2)&lt;6,MOD(V215+W215,1),0)
  - IF(WEEKDAY(B215,2)&lt;6,MOD(B215+C215,1),0)
),"00")</f>
        <v>0:23:20</v>
      </c>
      <c r="AR215" s="0" t="n">
        <f aca="false">WEEKNUM(B215,1)</f>
        <v>11</v>
      </c>
      <c r="AS215" s="17" t="n">
        <f aca="false">IF(B215&gt;0, (B215+C215)-TIME(13,30,0), "")</f>
        <v>46090.3958333333</v>
      </c>
      <c r="AT215" s="18" t="n">
        <f aca="false">IF(B215&gt;0, (B215+C215)-TIME(13,30,0), "")</f>
        <v>46090.3958333333</v>
      </c>
      <c r="AU215" s="17" t="n">
        <f aca="false">IF(V215&gt;0, (V215+W215)-TIME(13,30,0), "")</f>
        <v>46091.36875</v>
      </c>
      <c r="AV215" s="18" t="n">
        <f aca="false">IF(V215&gt;0, (V215+W215)-TIME(13,30,0), "")</f>
        <v>46091.36875</v>
      </c>
      <c r="AW215" s="19" t="n">
        <f aca="false">24*(
MAX(0,
IF(NETWORKDAYS(AS215,AU215)=1,
MIN(MOD(AV215,1),TIME(17,30,0)) - MAX(MOD(AT215,1),TIME(8,30,0)),
(TIME(17,30,0)-MAX(MOD(AT215,1),TIME(8,30,0)))
+ (MIN(MOD(AV215,1),TIME(17,30,0))-TIME(8,30,0))
+ (NETWORKDAYS(AS215,AU215)-2)*9/24
)
)
)</f>
        <v>8.35</v>
      </c>
      <c r="AX215" s="19" t="n">
        <f aca="false">24*(
MAX(0,
IF(NETWORKDAYS(AS215,AU215)=1,
MIN(MOD(AV215,1),TIME(17,30,0)) - MAX(MOD(AT215,1),TIME(8,30,0)),
(TIME(17,30,0)-MAX(MOD(AT215,1),TIME(8,30,0)))
+ (MIN(MOD(AV215,1),TIME(17,30,0))-TIME(8,30,0))
+ (NETWORKDAYS(AS215,AU215)-2)* (TIME(17,30,0)-TIME(8,30,0))
)
)
)</f>
        <v>8.35</v>
      </c>
      <c r="AY215" s="20" t="n">
        <f aca="false">ROUND(
IF(AS215=AU215,
MAX(0,
(MIN(MOD(AV215,1),TIME(17,30,0))-
MAX(MOD(AT215,1),TIME(8,30,0)))*24
),
(
(MAX(0,TIME(17,30,0)-MAX(MOD(AT215,1),TIME(8,30,0)))*24)
+
(MAX(0,MIN(MOD(AV215,1),TIME(17,30,0))-TIME(8,30,0))*24)
+
(MAX(0,NETWORKDAYS(AS215+1,AU215-1))*9)
)
),
2)</f>
        <v>8.35</v>
      </c>
      <c r="AZ215" s="0" t="n">
        <f aca="false" t="array" ref="AZ215:AZ215">_xlfn.XLOOKUP(J215,{"Low","Medium","High"},{270,72,24})</f>
        <v>270</v>
      </c>
      <c r="BA215" s="0" t="str">
        <f aca="false">IF(AW215&gt;AZ215,"Not Met","Met")</f>
        <v>Met</v>
      </c>
      <c r="BB215" s="21" t="str">
        <f aca="false">IF(AS215="","",TEXT(AS215,"MMM")&amp;"'"&amp;TEXT(AS215,"yy"))</f>
        <v>Mar'26</v>
      </c>
      <c r="BC215" s="0" t="str">
        <f aca="false">IF(AU215="","",TEXT(AU215,"MMM")&amp;"'"&amp;TEXT(AU215,"yy"))</f>
        <v>Mar'26</v>
      </c>
    </row>
    <row r="216" customFormat="false" ht="15" hidden="false" customHeight="false" outlineLevel="0" collapsed="false">
      <c r="A216" s="1" t="s">
        <v>789</v>
      </c>
      <c r="B216" s="11" t="n">
        <v>46091</v>
      </c>
      <c r="C216" s="12" t="n">
        <v>0.186805555555556</v>
      </c>
      <c r="D216" s="13" t="str">
        <f aca="false">IF(B216="","",TEXT(B216,"MMM")&amp;"'"&amp;TEXT(B216,"yy"))</f>
        <v>Mar'26</v>
      </c>
      <c r="E216" s="1" t="s">
        <v>55</v>
      </c>
      <c r="F216" s="1" t="s">
        <v>39</v>
      </c>
      <c r="G216" s="33" t="str">
        <f aca="false">IF(F216="Closed","Closed","Pending")</f>
        <v>Closed</v>
      </c>
      <c r="H216" s="26" t="s">
        <v>56</v>
      </c>
      <c r="I216" s="26" t="s">
        <v>517</v>
      </c>
      <c r="J216" s="26" t="s">
        <v>58</v>
      </c>
      <c r="K216" s="26" t="s">
        <v>59</v>
      </c>
      <c r="L216" s="1" t="s">
        <v>582</v>
      </c>
      <c r="M216" s="1" t="s">
        <v>790</v>
      </c>
      <c r="N216" s="1" t="s">
        <v>65</v>
      </c>
      <c r="O216" s="1" t="s">
        <v>106</v>
      </c>
      <c r="P216" s="35"/>
      <c r="Q216" s="1" t="s">
        <v>65</v>
      </c>
      <c r="R216" s="1" t="s">
        <v>87</v>
      </c>
      <c r="U216" s="25" t="n">
        <v>46091.9326388889</v>
      </c>
      <c r="V216" s="11" t="n">
        <v>46092</v>
      </c>
      <c r="W216" s="12" t="n">
        <v>0.91875</v>
      </c>
      <c r="X216" s="11" t="n">
        <v>46092</v>
      </c>
      <c r="Y216" s="12" t="n">
        <v>0.940972222222222</v>
      </c>
      <c r="Z216" s="1" t="s">
        <v>108</v>
      </c>
      <c r="AA216" s="1" t="s">
        <v>68</v>
      </c>
      <c r="AB216" s="2" t="n">
        <v>0.745833333333333</v>
      </c>
      <c r="AC216" s="14" t="n">
        <f aca="false">(V216+W216)-(B216+C216)</f>
        <v>1.73194444444444</v>
      </c>
      <c r="AD216" s="4" t="str">
        <f aca="false">INT((V216+W216)-(B216+C216)) &amp; ":" &amp;
TEXT(HOUR((V216+W216)-(B216+C216)), "00") &amp; ":" &amp;
TEXT(MINUTE((V216+W216)-(B216+C216)), "00")</f>
        <v>1:17:34</v>
      </c>
      <c r="AE216" s="1" t="n">
        <f aca="false">IFERROR(
LEFT(AD216,FIND(":",AD216)-1)
+ MID(AD216,FIND(":",AD216)+1,2)/24
+ RIGHT(AD216,2)/1440,
"")</f>
        <v>1.73194444444444</v>
      </c>
      <c r="AF216" s="4" t="str">
        <f aca="false">INT((X216+Y216)-(B216+C216)) &amp; ":" &amp;
TEXT(HOUR((X216+Y216)-(B216+C216)), "00") &amp; ":" &amp;
TEXT(MINUTE((X216+Y216)-(B216+C216)), "00")</f>
        <v>1:18:06</v>
      </c>
      <c r="AG216" s="4" t="str">
        <f aca="false" t="array" ref="AG216:AG216">INT(_xlfn.XLOOKUP(J216,{"Low","Medium","High","Urgent"},{48,24,12,8})/24) &amp; ":" &amp;
TEXT(MOD(_xlfn.XLOOKUP(J216,{"Low","Medium","High","Urgent"},{48,24,12,8}),24)/24,"hh:mm")</f>
        <v>1:00:00</v>
      </c>
      <c r="AH216" s="4" t="str">
        <f aca="false">IF(AD216&gt;AG216,"Not Met","Met")</f>
        <v>Not Met</v>
      </c>
      <c r="AI216" s="4" t="str">
        <f aca="false">IF(AB216&lt;TIME(0,30,0),"Met","Not Met")</f>
        <v>Not Met</v>
      </c>
      <c r="AN216" s="1" t="str">
        <f aca="false">TEXT(B216,"dd")</f>
        <v>10</v>
      </c>
      <c r="AO216" s="1" t="str">
        <f aca="false">TEXT(X216,"dd")</f>
        <v>11</v>
      </c>
      <c r="AP216" s="16" t="str">
        <f aca="false">INT(
  NETWORKDAYS(B216,V216)-1
  + IF(WEEKDAY(V216,2)&lt;6,MOD(V216+W216,1),0)
  - IF(WEEKDAY(B216,2)&lt;6,MOD(B216+C216,1),0)
)
&amp; ":" &amp;
TEXT(HOUR(
  NETWORKDAYS(B216,V216)-1
  + IF(WEEKDAY(V216,2)&lt;6,MOD(V216+W216,1),0)
  - IF(WEEKDAY(B216,2)&lt;6,MOD(B216+C216,1),0)
),"00")
&amp; ":" &amp;
TEXT(MINUTE(
  NETWORKDAYS(B216,V216)-1
  + IF(WEEKDAY(V216,2)&lt;6,MOD(V216+W216,1),0)
  - IF(WEEKDAY(B216,2)&lt;6,MOD(B216+C216,1),0)
),"00")</f>
        <v>1:17:33</v>
      </c>
      <c r="AQ216" s="0" t="n">
        <f aca="false">IFERROR(
LEFT(AP216,FIND(":",AP216)-1)
+ MID(AP216,FIND(":",AP216)+1,2)/24
+ RIGHT(AP216,2)/1440,
"")</f>
        <v>1.73125</v>
      </c>
      <c r="AR216" s="0" t="n">
        <f aca="false">WEEKNUM(B216,1)</f>
        <v>11</v>
      </c>
      <c r="AS216" s="17" t="n">
        <f aca="false">IF(B216&gt;0, (B216+C216)-TIME(13,30,0), "")</f>
        <v>46090.6243055556</v>
      </c>
      <c r="AT216" s="18" t="n">
        <f aca="false">IF(B216&gt;0, (B216+C216)-TIME(13,30,0), "")</f>
        <v>46090.6243055556</v>
      </c>
      <c r="AU216" s="17" t="n">
        <f aca="false">IF(V216&gt;0, (V216+W216)-TIME(13,30,0), "")</f>
        <v>46092.35625</v>
      </c>
      <c r="AV216" s="18" t="n">
        <f aca="false">IF(V216&gt;0, (V216+W216)-TIME(13,30,0), "")</f>
        <v>46092.35625</v>
      </c>
      <c r="AW216" s="19" t="n">
        <f aca="false">24*(
MAX(0,
IF(NETWORKDAYS(AS216,AU216)=1,
MIN(MOD(AV216,1),TIME(17,30,0)) - MAX(MOD(AT216,1),TIME(8,30,0)),
(TIME(17,30,0)-MAX(MOD(AT216,1),TIME(8,30,0)))
+ (MIN(MOD(AV216,1),TIME(17,30,0))-TIME(8,30,0))
+ (NETWORKDAYS(AS216,AU216)-2)*9/24
)
)
)</f>
        <v>11.5666666666667</v>
      </c>
      <c r="AX216" s="19" t="n">
        <f aca="false">24*(
MAX(0,
IF(NETWORKDAYS(AS216,AU216)=1,
MIN(MOD(AV216,1),TIME(17,30,0)) - MAX(MOD(AT216,1),TIME(8,30,0)),
(TIME(17,30,0)-MAX(MOD(AT216,1),TIME(8,30,0)))
+ (MIN(MOD(AV216,1),TIME(17,30,0))-TIME(8,30,0))
+ (NETWORKDAYS(AS216,AU216)-2)* (TIME(17,30,0)-TIME(8,30,0))
)
)
)</f>
        <v>11.5666666666667</v>
      </c>
      <c r="AY216" s="20" t="n">
        <f aca="false">ROUND(
IF(AS216=AU216,
MAX(0,
(MIN(MOD(AV216,1),TIME(17,30,0))-
MAX(MOD(AT216,1),TIME(8,30,0)))*24
),
(
(MAX(0,TIME(17,30,0)-MAX(MOD(AT216,1),TIME(8,30,0)))*24)
+
(MAX(0,MIN(MOD(AV216,1),TIME(17,30,0))-TIME(8,30,0))*24)
+
(MAX(0,NETWORKDAYS(AS216+1,AU216-1))*9)
)
),
2)</f>
        <v>11.57</v>
      </c>
      <c r="AZ216" s="0" t="n">
        <f aca="false" t="array" ref="AZ216:AZ216">_xlfn.XLOOKUP(J216,{"Low","Medium","High"},{270,72,24})</f>
        <v>72</v>
      </c>
      <c r="BA216" s="0" t="str">
        <f aca="false">IF(AW216&gt;AZ216,"Not Met","Met")</f>
        <v>Met</v>
      </c>
      <c r="BB216" s="21" t="str">
        <f aca="false">IF(AS216="","",TEXT(AS216,"MMM")&amp;"'"&amp;TEXT(AS216,"yy"))</f>
        <v>Mar'26</v>
      </c>
      <c r="BC216" s="0" t="str">
        <f aca="false">IF(AU216="","",TEXT(AU216,"MMM")&amp;"'"&amp;TEXT(AU216,"yy"))</f>
        <v>Mar'26</v>
      </c>
    </row>
    <row r="217" customFormat="false" ht="15" hidden="false" customHeight="false" outlineLevel="0" collapsed="false">
      <c r="A217" s="29" t="s">
        <v>791</v>
      </c>
      <c r="B217" s="60" t="n">
        <v>46091</v>
      </c>
      <c r="C217" s="37" t="n">
        <v>0.823611111111111</v>
      </c>
      <c r="D217" s="13" t="str">
        <f aca="false">IF(B217="","",TEXT(B217,"MMM")&amp;"'"&amp;TEXT(B217,"yy"))</f>
        <v>Mar'26</v>
      </c>
      <c r="E217" s="1" t="s">
        <v>55</v>
      </c>
      <c r="F217" s="27" t="s">
        <v>39</v>
      </c>
      <c r="G217" s="1" t="str">
        <f aca="false">IF(F217="Closed","Closed","Pending")</f>
        <v>Closed</v>
      </c>
      <c r="H217" s="1" t="s">
        <v>72</v>
      </c>
      <c r="I217" s="1" t="s">
        <v>792</v>
      </c>
      <c r="J217" s="1" t="s">
        <v>74</v>
      </c>
      <c r="K217" s="1" t="s">
        <v>59</v>
      </c>
      <c r="L217" s="50" t="s">
        <v>793</v>
      </c>
      <c r="M217" s="29" t="s">
        <v>794</v>
      </c>
      <c r="N217" s="29" t="s">
        <v>65</v>
      </c>
      <c r="O217" s="1" t="s">
        <v>106</v>
      </c>
      <c r="Q217" s="1" t="s">
        <v>65</v>
      </c>
      <c r="R217" s="1" t="s">
        <v>87</v>
      </c>
      <c r="U217" s="12" t="n">
        <v>0.903472222222222</v>
      </c>
      <c r="V217" s="11" t="n">
        <v>46092</v>
      </c>
      <c r="W217" s="12" t="n">
        <v>0.927083333333333</v>
      </c>
      <c r="X217" s="11" t="n">
        <v>46092</v>
      </c>
      <c r="Y217" s="12" t="n">
        <v>0.935416666666667</v>
      </c>
      <c r="Z217" s="1" t="s">
        <v>108</v>
      </c>
      <c r="AA217" s="1" t="s">
        <v>68</v>
      </c>
      <c r="AB217" s="2" t="e">
        <f aca="false">U217-#REF!</f>
        <v>#REF!</v>
      </c>
      <c r="AC217" s="14" t="n">
        <f aca="false">(V217+W217)-(B217+C217)</f>
        <v>1.10347222222222</v>
      </c>
      <c r="AD217" s="4" t="str">
        <f aca="false">INT((V217+W217)-(B217+C217)) &amp; ":" &amp;
TEXT(HOUR((V217+W217)-(B217+C217)), "00") &amp; ":" &amp;
TEXT(MINUTE((V217+W217)-(B217+C217)), "00")</f>
        <v>1:02:29</v>
      </c>
      <c r="AE217" s="1" t="n">
        <f aca="false">IFERROR(
LEFT(AD217,FIND(":",AD217)-1)
+ MID(AD217,FIND(":",AD217)+1,2)/24
+ RIGHT(AD217,2)/1440,
"")</f>
        <v>1.10347222222222</v>
      </c>
      <c r="AF217" s="4" t="str">
        <f aca="false">INT((X217+Y217)-(B217+C217)) &amp; ":" &amp;
TEXT(HOUR((X217+Y217)-(B217+C217)), "00") &amp; ":" &amp;
TEXT(MINUTE((X217+Y217)-(B217+C217)), "00")</f>
        <v>1:02:41</v>
      </c>
      <c r="AG217" s="4" t="str">
        <f aca="false" t="array" ref="AG217:AG217">INT(_xlfn.XLOOKUP(J217,{"Low","Medium","High","Urgent"},{48,24,12,8})/24) &amp; ":" &amp;
TEXT(MOD(_xlfn.XLOOKUP(J217,{"Low","Medium","High","Urgent"},{48,24,12,8}),24)/24,"hh:mm")</f>
        <v>2:00:00</v>
      </c>
      <c r="AH217" s="4" t="str">
        <f aca="false">IF(AD217&gt;AG217,"Not Met","Met")</f>
        <v>Met</v>
      </c>
      <c r="AI217" s="4" t="e">
        <f aca="false">IF(AB217&lt;TIME(0,30,0),"Met","Not Met")</f>
        <v>#REF!</v>
      </c>
      <c r="AN217" s="1" t="str">
        <f aca="false">TEXT(B217,"dd")</f>
        <v>10</v>
      </c>
      <c r="AO217" s="1" t="str">
        <f aca="false">TEXT(X217,"dd")</f>
        <v>11</v>
      </c>
      <c r="AP217" s="16" t="str">
        <f aca="false">INT(
  NETWORKDAYS(B217,V217)-1
  + IF(WEEKDAY(V217,2)&lt;6,MOD(V217+W217,1),0)
  - IF(WEEKDAY(B217,2)&lt;6,MOD(B217+C217,1),0)
)
&amp; ":" &amp;
TEXT(HOUR(
  NETWORKDAYS(B217,V217)-1
  + IF(WEEKDAY(V217,2)&lt;6,MOD(V217+W217,1),0)
  - IF(WEEKDAY(B217,2)&lt;6,MOD(B217+C217,1),0)
),"00")
&amp; ":" &amp;
TEXT(MINUTE(
  NETWORKDAYS(B217,V217)-1
  + IF(WEEKDAY(V217,2)&lt;6,MOD(V217+W217,1),0)
  - IF(WEEKDAY(B217,2)&lt;6,MOD(B217+C217,1),0)
),"00")</f>
        <v>1:02:29</v>
      </c>
      <c r="AQ217" s="0" t="n">
        <f aca="false">IFERROR(
LEFT(AP217,FIND(":",AP217)-1)
+ MID(AP217,FIND(":",AP217)+1,2)/24
+ RIGHT(AP217,2)/1440,
"")</f>
        <v>1.10347222222222</v>
      </c>
      <c r="AR217" s="0" t="n">
        <f aca="false">WEEKNUM(B217,1)</f>
        <v>11</v>
      </c>
      <c r="AS217" s="17" t="n">
        <f aca="false">IF(B217&gt;0, (B217+C217)-TIME(13,30,0), "")</f>
        <v>46091.2611111111</v>
      </c>
      <c r="AT217" s="18" t="n">
        <f aca="false">IF(B217&gt;0, (B217+C217)-TIME(13,30,0), "")</f>
        <v>46091.2611111111</v>
      </c>
      <c r="AU217" s="17" t="n">
        <f aca="false">IF(V217&gt;0, (V217+W217)-TIME(13,30,0), "")</f>
        <v>46092.3645833333</v>
      </c>
      <c r="AV217" s="18" t="n">
        <f aca="false">IF(V217&gt;0, (V217+W217)-TIME(13,30,0), "")</f>
        <v>46092.3645833333</v>
      </c>
      <c r="AW217" s="19" t="n">
        <f aca="false">24*(
MAX(0,
IF(NETWORKDAYS(AS217,AU217)=1,
MIN(MOD(AV217,1),TIME(17,30,0)) - MAX(MOD(AT217,1),TIME(8,30,0)),
(TIME(17,30,0)-MAX(MOD(AT217,1),TIME(8,30,0)))
+ (MIN(MOD(AV217,1),TIME(17,30,0))-TIME(8,30,0))
+ (NETWORKDAYS(AS217,AU217)-2)*9/24
)
)
)</f>
        <v>9.25</v>
      </c>
      <c r="AX217" s="19" t="n">
        <f aca="false">24*(
MAX(0,
IF(NETWORKDAYS(AS217,AU217)=1,
MIN(MOD(AV217,1),TIME(17,30,0)) - MAX(MOD(AT217,1),TIME(8,30,0)),
(TIME(17,30,0)-MAX(MOD(AT217,1),TIME(8,30,0)))
+ (MIN(MOD(AV217,1),TIME(17,30,0))-TIME(8,30,0))
+ (NETWORKDAYS(AS217,AU217)-2)* (TIME(17,30,0)-TIME(8,30,0))
)
)
)</f>
        <v>9.25</v>
      </c>
      <c r="AY217" s="20" t="n">
        <f aca="false">ROUND(
IF(AS217=AU217,
MAX(0,
(MIN(MOD(AV217,1),TIME(17,30,0))-
MAX(MOD(AT217,1),TIME(8,30,0)))*24
),
(
(MAX(0,TIME(17,30,0)-MAX(MOD(AT217,1),TIME(8,30,0)))*24)
+
(MAX(0,MIN(MOD(AV217,1),TIME(17,30,0))-TIME(8,30,0))*24)
+
(MAX(0,NETWORKDAYS(AS217+1,AU217-1))*9)
)
),
2)</f>
        <v>9.25</v>
      </c>
      <c r="AZ217" s="0" t="n">
        <f aca="false" t="array" ref="AZ217:AZ217">_xlfn.XLOOKUP(J217,{"Low","Medium","High"},{270,72,24})</f>
        <v>270</v>
      </c>
      <c r="BA217" s="0" t="str">
        <f aca="false">IF(AW217&gt;AZ217,"Not Met","Met")</f>
        <v>Met</v>
      </c>
      <c r="BB217" s="21" t="str">
        <f aca="false">IF(AS217="","",TEXT(AS217,"MMM")&amp;"'"&amp;TEXT(AS217,"yy"))</f>
        <v>Mar'26</v>
      </c>
      <c r="BC217" s="0" t="str">
        <f aca="false">IF(AU217="","",TEXT(AU217,"MMM")&amp;"'"&amp;TEXT(AU217,"yy"))</f>
        <v>Mar'26</v>
      </c>
    </row>
    <row r="218" customFormat="false" ht="15" hidden="false" customHeight="false" outlineLevel="0" collapsed="false">
      <c r="A218" s="1" t="s">
        <v>795</v>
      </c>
      <c r="B218" s="11" t="n">
        <v>46091</v>
      </c>
      <c r="C218" s="12" t="n">
        <v>0.998611111111111</v>
      </c>
      <c r="D218" s="13" t="str">
        <f aca="false">IF(B218="","",TEXT(B218,"MMM")&amp;"'"&amp;TEXT(B218,"yy"))</f>
        <v>Mar'26</v>
      </c>
      <c r="E218" s="1" t="s">
        <v>55</v>
      </c>
      <c r="F218" s="27" t="s">
        <v>39</v>
      </c>
      <c r="G218" s="1" t="str">
        <f aca="false">IF(F218="Closed","Closed","Pending")</f>
        <v>Closed</v>
      </c>
      <c r="H218" s="1" t="s">
        <v>72</v>
      </c>
      <c r="I218" s="1" t="s">
        <v>792</v>
      </c>
      <c r="J218" s="1" t="s">
        <v>74</v>
      </c>
      <c r="K218" s="1" t="s">
        <v>59</v>
      </c>
      <c r="L218" s="35" t="s">
        <v>796</v>
      </c>
      <c r="M218" s="29" t="s">
        <v>794</v>
      </c>
      <c r="N218" s="1" t="s">
        <v>65</v>
      </c>
      <c r="O218" s="1" t="s">
        <v>106</v>
      </c>
      <c r="Q218" s="1" t="s">
        <v>65</v>
      </c>
      <c r="R218" s="1" t="s">
        <v>87</v>
      </c>
      <c r="U218" s="25" t="n">
        <v>46092.0645833333</v>
      </c>
      <c r="V218" s="11" t="n">
        <v>46092</v>
      </c>
      <c r="W218" s="12" t="n">
        <v>0.928472222222222</v>
      </c>
      <c r="X218" s="11" t="n">
        <v>46092</v>
      </c>
      <c r="Y218" s="12" t="n">
        <v>0.940277777777778</v>
      </c>
      <c r="Z218" s="1" t="s">
        <v>108</v>
      </c>
      <c r="AA218" s="1" t="s">
        <v>68</v>
      </c>
      <c r="AB218" s="2" t="n">
        <v>0.0659722222222222</v>
      </c>
      <c r="AC218" s="14" t="n">
        <f aca="false">(V218+W218)-(B218+C218)</f>
        <v>0.929861111111111</v>
      </c>
      <c r="AD218" s="4" t="str">
        <f aca="false">INT((V218+W218)-(B218+C218)) &amp; ":" &amp;
TEXT(HOUR((V218+W218)-(B218+C218)), "00") &amp; ":" &amp;
TEXT(MINUTE((V218+W218)-(B218+C218)), "00")</f>
        <v>0:22:19</v>
      </c>
      <c r="AE218" s="1" t="n">
        <f aca="false">IFERROR(
LEFT(AD218,FIND(":",AD218)-1)
+ MID(AD218,FIND(":",AD218)+1,2)/24
+ RIGHT(AD218,2)/1440,
"")</f>
        <v>0.929861111111111</v>
      </c>
      <c r="AF218" s="4" t="str">
        <f aca="false">INT((X218+Y218)-(B218+C218)) &amp; ":" &amp;
TEXT(HOUR((X218+Y218)-(B218+C218)), "00") &amp; ":" &amp;
TEXT(MINUTE((X218+Y218)-(B218+C218)), "00")</f>
        <v>0:22:36</v>
      </c>
      <c r="AG218" s="4" t="str">
        <f aca="false" t="array" ref="AG218:AG218">INT(_xlfn.XLOOKUP(J218,{"Low","Medium","High","Urgent"},{48,24,12,8})/24) &amp; ":" &amp;
TEXT(MOD(_xlfn.XLOOKUP(J218,{"Low","Medium","High","Urgent"},{48,24,12,8}),24)/24,"hh:mm")</f>
        <v>2:00:00</v>
      </c>
      <c r="AH218" s="4" t="str">
        <f aca="false">IF(AD218&gt;AG218,"Not Met","Met")</f>
        <v>Met</v>
      </c>
      <c r="AI218" s="4" t="str">
        <f aca="false">IF(AB218&lt;TIME(0,30,0),"Met","Not Met")</f>
        <v>Not Met</v>
      </c>
      <c r="AN218" s="1" t="str">
        <f aca="false">TEXT(B218,"dd")</f>
        <v>10</v>
      </c>
      <c r="AO218" s="1" t="str">
        <f aca="false">TEXT(X218,"dd")</f>
        <v>11</v>
      </c>
      <c r="AP218" s="16" t="str">
        <f aca="false">INT(
  NETWORKDAYS(B218,V218)-1
  + IF(WEEKDAY(V218,2)&lt;6,MOD(V218+W218,1),0)
  - IF(WEEKDAY(B218,2)&lt;6,MOD(B218+C218,1),0)
)
&amp; ":" &amp;
TEXT(HOUR(
  NETWORKDAYS(B218,V218)-1
  + IF(WEEKDAY(V218,2)&lt;6,MOD(V218+W218,1),0)
  - IF(WEEKDAY(B218,2)&lt;6,MOD(B218+C218,1),0)
),"00")
&amp; ":" &amp;
TEXT(MINUTE(
  NETWORKDAYS(B218,V218)-1
  + IF(WEEKDAY(V218,2)&lt;6,MOD(V218+W218,1),0)
  - IF(WEEKDAY(B218,2)&lt;6,MOD(B218+C218,1),0)
),"00")</f>
        <v>0:22:18</v>
      </c>
      <c r="AQ218" s="0" t="n">
        <f aca="false">IFERROR(
LEFT(AP218,FIND(":",AP218)-1)
+ MID(AP218,FIND(":",AP218)+1,2)/24
+ RIGHT(AP218,2)/1440,
"")</f>
        <v>0.929166666666667</v>
      </c>
      <c r="AR218" s="0" t="n">
        <f aca="false">WEEKNUM(B218,1)</f>
        <v>11</v>
      </c>
      <c r="AS218" s="17" t="n">
        <f aca="false">IF(B218&gt;0, (B218+C218)-TIME(13,30,0), "")</f>
        <v>46091.4361111111</v>
      </c>
      <c r="AT218" s="18" t="n">
        <f aca="false">IF(B218&gt;0, (B218+C218)-TIME(13,30,0), "")</f>
        <v>46091.4361111111</v>
      </c>
      <c r="AU218" s="17" t="n">
        <f aca="false">IF(V218&gt;0, (V218+W218)-TIME(13,30,0), "")</f>
        <v>46092.3659722222</v>
      </c>
      <c r="AV218" s="18" t="n">
        <f aca="false">IF(V218&gt;0, (V218+W218)-TIME(13,30,0), "")</f>
        <v>46092.3659722222</v>
      </c>
      <c r="AW218" s="19" t="n">
        <f aca="false">24*(
MAX(0,
IF(NETWORKDAYS(AS218,AU218)=1,
MIN(MOD(AV218,1),TIME(17,30,0)) - MAX(MOD(AT218,1),TIME(8,30,0)),
(TIME(17,30,0)-MAX(MOD(AT218,1),TIME(8,30,0)))
+ (MIN(MOD(AV218,1),TIME(17,30,0))-TIME(8,30,0))
+ (NETWORKDAYS(AS218,AU218)-2)*9/24
)
)
)</f>
        <v>7.31666666666667</v>
      </c>
      <c r="AX218" s="19" t="n">
        <f aca="false">24*(
MAX(0,
IF(NETWORKDAYS(AS218,AU218)=1,
MIN(MOD(AV218,1),TIME(17,30,0)) - MAX(MOD(AT218,1),TIME(8,30,0)),
(TIME(17,30,0)-MAX(MOD(AT218,1),TIME(8,30,0)))
+ (MIN(MOD(AV218,1),TIME(17,30,0))-TIME(8,30,0))
+ (NETWORKDAYS(AS218,AU218)-2)* (TIME(17,30,0)-TIME(8,30,0))
)
)
)</f>
        <v>7.31666666666667</v>
      </c>
      <c r="AY218" s="20" t="n">
        <f aca="false">ROUND(
IF(AS218=AU218,
MAX(0,
(MIN(MOD(AV218,1),TIME(17,30,0))-
MAX(MOD(AT218,1),TIME(8,30,0)))*24
),
(
(MAX(0,TIME(17,30,0)-MAX(MOD(AT218,1),TIME(8,30,0)))*24)
+
(MAX(0,MIN(MOD(AV218,1),TIME(17,30,0))-TIME(8,30,0))*24)
+
(MAX(0,NETWORKDAYS(AS218+1,AU218-1))*9)
)
),
2)</f>
        <v>7.32</v>
      </c>
      <c r="AZ218" s="0" t="n">
        <f aca="false" t="array" ref="AZ218:AZ218">_xlfn.XLOOKUP(J218,{"Low","Medium","High"},{270,72,24})</f>
        <v>270</v>
      </c>
      <c r="BA218" s="0" t="str">
        <f aca="false">IF(AW218&gt;AZ218,"Not Met","Met")</f>
        <v>Met</v>
      </c>
      <c r="BB218" s="21" t="str">
        <f aca="false">IF(AS218="","",TEXT(AS218,"MMM")&amp;"'"&amp;TEXT(AS218,"yy"))</f>
        <v>Mar'26</v>
      </c>
      <c r="BC218" s="0" t="str">
        <f aca="false">IF(AU218="","",TEXT(AU218,"MMM")&amp;"'"&amp;TEXT(AU218,"yy"))</f>
        <v>Mar'26</v>
      </c>
    </row>
    <row r="219" customFormat="false" ht="15" hidden="false" customHeight="false" outlineLevel="0" collapsed="false">
      <c r="A219" s="1" t="s">
        <v>797</v>
      </c>
      <c r="B219" s="11" t="n">
        <v>46092</v>
      </c>
      <c r="C219" s="12" t="n">
        <v>0.00694444444444444</v>
      </c>
      <c r="D219" s="13" t="str">
        <f aca="false">IF(B219="","",TEXT(B219,"MMM")&amp;"'"&amp;TEXT(B219,"yy"))</f>
        <v>Mar'26</v>
      </c>
      <c r="E219" s="1" t="s">
        <v>55</v>
      </c>
      <c r="F219" s="58" t="s">
        <v>39</v>
      </c>
      <c r="G219" s="1" t="str">
        <f aca="false">IF(F219="Closed","Closed","Pending")</f>
        <v>Closed</v>
      </c>
      <c r="H219" s="1" t="s">
        <v>157</v>
      </c>
      <c r="I219" s="1" t="s">
        <v>639</v>
      </c>
      <c r="J219" s="1" t="s">
        <v>74</v>
      </c>
      <c r="K219" s="1" t="s">
        <v>59</v>
      </c>
      <c r="L219" s="35" t="s">
        <v>787</v>
      </c>
      <c r="M219" s="1" t="s">
        <v>282</v>
      </c>
      <c r="N219" s="1" t="s">
        <v>65</v>
      </c>
      <c r="O219" s="1" t="s">
        <v>106</v>
      </c>
      <c r="Q219" s="1" t="s">
        <v>65</v>
      </c>
      <c r="R219" s="1" t="s">
        <v>87</v>
      </c>
      <c r="U219" s="12" t="n">
        <v>0.0645833333333333</v>
      </c>
      <c r="V219" s="11" t="n">
        <v>46092</v>
      </c>
      <c r="W219" s="12" t="n">
        <v>0.928472222222222</v>
      </c>
      <c r="X219" s="11" t="n">
        <v>46093</v>
      </c>
      <c r="Y219" s="12" t="n">
        <v>0.075</v>
      </c>
      <c r="Z219" s="1" t="s">
        <v>108</v>
      </c>
      <c r="AA219" s="1" t="s">
        <v>68</v>
      </c>
      <c r="AB219" s="2" t="e">
        <f aca="false">U219-#REF!</f>
        <v>#REF!</v>
      </c>
      <c r="AC219" s="14" t="n">
        <f aca="false">(V219+W219)-(B219+C219)</f>
        <v>0.921527777777778</v>
      </c>
      <c r="AD219" s="4" t="str">
        <f aca="false">INT((V219+W219)-(B219+C219)) &amp; ":" &amp;
TEXT(HOUR((V219+W219)-(B219+C219)), "00") &amp; ":" &amp;
TEXT(MINUTE((V219+W219)-(B219+C219)), "00")</f>
        <v>0:22:07</v>
      </c>
      <c r="AE219" s="1" t="n">
        <f aca="false">IFERROR(
LEFT(AD219,FIND(":",AD219)-1)
+ MID(AD219,FIND(":",AD219)+1,2)/24
+ RIGHT(AD219,2)/1440,
"")</f>
        <v>0.921527777777778</v>
      </c>
      <c r="AF219" s="4" t="str">
        <f aca="false">INT((X219+Y219)-(B219+C219)) &amp; ":" &amp;
TEXT(HOUR((X219+Y219)-(B219+C219)), "00") &amp; ":" &amp;
TEXT(MINUTE((X219+Y219)-(B219+C219)), "00")</f>
        <v>1:01:38</v>
      </c>
      <c r="AG219" s="4" t="str">
        <f aca="false" t="array" ref="AG219:AG219">INT(_xlfn.XLOOKUP(J219,{"Low","Medium","High","Urgent"},{48,24,12,8})/24) &amp; ":" &amp;
TEXT(MOD(_xlfn.XLOOKUP(J219,{"Low","Medium","High","Urgent"},{48,24,12,8}),24)/24,"hh:mm")</f>
        <v>2:00:00</v>
      </c>
      <c r="AH219" s="4" t="str">
        <f aca="false">IF(AD219&gt;AG219,"Not Met","Met")</f>
        <v>Met</v>
      </c>
      <c r="AI219" s="4" t="e">
        <f aca="false">IF(AB219&lt;TIME(0,30,0),"Met","Not Met")</f>
        <v>#REF!</v>
      </c>
      <c r="AN219" s="1" t="str">
        <f aca="false">TEXT(B219,"dd")</f>
        <v>11</v>
      </c>
      <c r="AO219" s="1" t="str">
        <f aca="false">TEXT(X219,"dd")</f>
        <v>12</v>
      </c>
      <c r="AP219" s="16" t="str">
        <f aca="false">INT(
  NETWORKDAYS(B219,V219)-1
  + IF(WEEKDAY(V219,2)&lt;6,MOD(V219+W219,1),0)
  - IF(WEEKDAY(B219,2)&lt;6,MOD(B219+C219,1),0)
)
&amp; ":" &amp;
TEXT(HOUR(
  NETWORKDAYS(B219,V219)-1
  + IF(WEEKDAY(V219,2)&lt;6,MOD(V219+W219,1),0)
  - IF(WEEKDAY(B219,2)&lt;6,MOD(B219+C219,1),0)
),"00")
&amp; ":" &amp;
TEXT(MINUTE(
  NETWORKDAYS(B219,V219)-1
  + IF(WEEKDAY(V219,2)&lt;6,MOD(V219+W219,1),0)
  - IF(WEEKDAY(B219,2)&lt;6,MOD(B219+C219,1),0)
),"00")</f>
        <v>0:22:06</v>
      </c>
      <c r="AQ219" s="0" t="n">
        <f aca="false">IFERROR(
LEFT(AP219,FIND(":",AP219)-1)
+ MID(AP219,FIND(":",AP219)+1,2)/24
+ RIGHT(AP219,2)/1440,
"")</f>
        <v>0.920833333333333</v>
      </c>
      <c r="AR219" s="0" t="n">
        <f aca="false">WEEKNUM(B219,1)</f>
        <v>11</v>
      </c>
      <c r="AS219" s="17" t="n">
        <f aca="false">IF(B219&gt;0, (B219+C219)-TIME(13,30,0), "")</f>
        <v>46091.4444444444</v>
      </c>
      <c r="AT219" s="18" t="n">
        <f aca="false">IF(B219&gt;0, (B219+C219)-TIME(13,30,0), "")</f>
        <v>46091.4444444444</v>
      </c>
      <c r="AU219" s="17" t="n">
        <f aca="false">IF(V219&gt;0, (V219+W219)-TIME(13,30,0), "")</f>
        <v>46092.3659722222</v>
      </c>
      <c r="AV219" s="18" t="n">
        <f aca="false">IF(V219&gt;0, (V219+W219)-TIME(13,30,0), "")</f>
        <v>46092.3659722222</v>
      </c>
      <c r="AW219" s="19" t="n">
        <f aca="false">24*(
MAX(0,
IF(NETWORKDAYS(AS219,AU219)=1,
MIN(MOD(AV219,1),TIME(17,30,0)) - MAX(MOD(AT219,1),TIME(8,30,0)),
(TIME(17,30,0)-MAX(MOD(AT219,1),TIME(8,30,0)))
+ (MIN(MOD(AV219,1),TIME(17,30,0))-TIME(8,30,0))
+ (NETWORKDAYS(AS219,AU219)-2)*9/24
)
)
)</f>
        <v>7.11666666666667</v>
      </c>
      <c r="AX219" s="19" t="n">
        <f aca="false">24*(
MAX(0,
IF(NETWORKDAYS(AS219,AU219)=1,
MIN(MOD(AV219,1),TIME(17,30,0)) - MAX(MOD(AT219,1),TIME(8,30,0)),
(TIME(17,30,0)-MAX(MOD(AT219,1),TIME(8,30,0)))
+ (MIN(MOD(AV219,1),TIME(17,30,0))-TIME(8,30,0))
+ (NETWORKDAYS(AS219,AU219)-2)* (TIME(17,30,0)-TIME(8,30,0))
)
)
)</f>
        <v>7.11666666666667</v>
      </c>
      <c r="AY219" s="20" t="n">
        <f aca="false">ROUND(
IF(AS219=AU219,
MAX(0,
(MIN(MOD(AV219,1),TIME(17,30,0))-
MAX(MOD(AT219,1),TIME(8,30,0)))*24
),
(
(MAX(0,TIME(17,30,0)-MAX(MOD(AT219,1),TIME(8,30,0)))*24)
+
(MAX(0,MIN(MOD(AV219,1),TIME(17,30,0))-TIME(8,30,0))*24)
+
(MAX(0,NETWORKDAYS(AS219+1,AU219-1))*9)
)
),
2)</f>
        <v>7.12</v>
      </c>
      <c r="AZ219" s="0" t="n">
        <f aca="false" t="array" ref="AZ219:AZ219">_xlfn.XLOOKUP(J219,{"Low","Medium","High"},{270,72,24})</f>
        <v>270</v>
      </c>
      <c r="BA219" s="0" t="str">
        <f aca="false">IF(AW219&gt;AZ219,"Not Met","Met")</f>
        <v>Met</v>
      </c>
      <c r="BB219" s="21" t="str">
        <f aca="false">IF(AS219="","",TEXT(AS219,"MMM")&amp;"'"&amp;TEXT(AS219,"yy"))</f>
        <v>Mar'26</v>
      </c>
      <c r="BC219" s="0" t="str">
        <f aca="false">IF(AU219="","",TEXT(AU219,"MMM")&amp;"'"&amp;TEXT(AU219,"yy"))</f>
        <v>Mar'26</v>
      </c>
    </row>
    <row r="220" customFormat="false" ht="15" hidden="false" customHeight="false" outlineLevel="0" collapsed="false">
      <c r="A220" s="1" t="s">
        <v>798</v>
      </c>
      <c r="B220" s="11" t="n">
        <v>46092</v>
      </c>
      <c r="C220" s="12" t="n">
        <v>0.196527777777778</v>
      </c>
      <c r="D220" s="13" t="str">
        <f aca="false">IF(B220="","",TEXT(B220,"MMM")&amp;"'"&amp;TEXT(B220,"yy"))</f>
        <v>Mar'26</v>
      </c>
      <c r="E220" s="27" t="s">
        <v>55</v>
      </c>
      <c r="F220" s="1" t="s">
        <v>39</v>
      </c>
      <c r="G220" s="28" t="str">
        <f aca="false">IF(F220="Closed","Closed","Pending")</f>
        <v>Closed</v>
      </c>
      <c r="H220" s="26" t="s">
        <v>72</v>
      </c>
      <c r="I220" s="26" t="s">
        <v>799</v>
      </c>
      <c r="J220" s="26" t="s">
        <v>74</v>
      </c>
      <c r="K220" s="1" t="s">
        <v>59</v>
      </c>
      <c r="L220" s="35" t="s">
        <v>800</v>
      </c>
      <c r="M220" s="1" t="s">
        <v>801</v>
      </c>
      <c r="N220" s="1" t="s">
        <v>65</v>
      </c>
      <c r="O220" s="1" t="s">
        <v>106</v>
      </c>
      <c r="Q220" s="1" t="s">
        <v>65</v>
      </c>
      <c r="R220" s="1" t="s">
        <v>66</v>
      </c>
      <c r="U220" s="12" t="n">
        <v>0.203472222222222</v>
      </c>
      <c r="V220" s="11" t="n">
        <v>46202</v>
      </c>
      <c r="W220" s="12" t="n">
        <v>0.975</v>
      </c>
      <c r="X220" s="11" t="n">
        <v>46210</v>
      </c>
      <c r="Y220" s="12" t="n">
        <v>0.902083333333333</v>
      </c>
      <c r="Z220" s="1" t="s">
        <v>108</v>
      </c>
      <c r="AA220" s="1" t="s">
        <v>68</v>
      </c>
      <c r="AB220" s="2" t="e">
        <f aca="false">U220-#REF!</f>
        <v>#REF!</v>
      </c>
      <c r="AC220" s="14" t="n">
        <f aca="false">(V220+W220)-(B220+C220)</f>
        <v>110.778472222222</v>
      </c>
      <c r="AD220" s="4" t="str">
        <f aca="false">INT((V220+W220)-(B220+C220)) &amp; ":" &amp;
TEXT(HOUR((V220+W220)-(B220+C220)), "00") &amp; ":" &amp;
TEXT(MINUTE((V220+W220)-(B220+C220)), "00")</f>
        <v>110:18:41</v>
      </c>
      <c r="AE220" s="1" t="n">
        <f aca="false">IFERROR(
LEFT(AD220,FIND(":",AD220)-1)
+ MID(AD220,FIND(":",AD220)+1,2)/24
+ RIGHT(AD220,2)/1440,
"")</f>
        <v>110.778472222222</v>
      </c>
      <c r="AF220" s="4" t="str">
        <f aca="false">INT((X220+Y220)-(B220+C220)) &amp; ":" &amp;
TEXT(HOUR((X220+Y220)-(B220+C220)), "00") &amp; ":" &amp;
TEXT(MINUTE((X220+Y220)-(B220+C220)), "00")</f>
        <v>118:16:56</v>
      </c>
      <c r="AG220" s="4" t="str">
        <f aca="false" t="array" ref="AG220:AG220">INT(_xlfn.XLOOKUP(J220,{"Low","Medium","High","Urgent"},{48,24,12,8})/24) &amp; ":" &amp;
TEXT(MOD(_xlfn.XLOOKUP(J220,{"Low","Medium","High","Urgent"},{48,24,12,8}),24)/24,"hh:mm")</f>
        <v>2:00:00</v>
      </c>
      <c r="AH220" s="4" t="str">
        <f aca="false">IF(AD220&gt;AG220,"Not Met","Met")</f>
        <v>Met</v>
      </c>
      <c r="AI220" s="4" t="e">
        <f aca="false">IF(AB220&lt;TIME(0,30,0),"Met","Not Met")</f>
        <v>#REF!</v>
      </c>
      <c r="AN220" s="1" t="str">
        <f aca="false">TEXT(B220,"dd")</f>
        <v>11</v>
      </c>
      <c r="AO220" s="1" t="str">
        <f aca="false">TEXT(X220,"dd")</f>
        <v>07</v>
      </c>
      <c r="AP220" s="16" t="str">
        <f aca="false">INT(
  NETWORKDAYS(B220,V220)-1
  + IF(WEEKDAY(V220,2)&lt;6,MOD(V220+W220,1),0)
  - IF(WEEKDAY(B220,2)&lt;6,MOD(B220+C220,1),0)
)
&amp; ":" &amp;
TEXT(HOUR(
  NETWORKDAYS(B220,V220)-1
  + IF(WEEKDAY(V220,2)&lt;6,MOD(V220+W220,1),0)
  - IF(WEEKDAY(B220,2)&lt;6,MOD(B220+C220,1),0)
),"00")
&amp; ":" &amp;
TEXT(MINUTE(
  NETWORKDAYS(B220,V220)-1
  + IF(WEEKDAY(V220,2)&lt;6,MOD(V220+W220,1),0)
  - IF(WEEKDAY(B220,2)&lt;6,MOD(B220+C220,1),0)
),"00")</f>
        <v>78:18:40</v>
      </c>
      <c r="AQ220" s="0" t="n">
        <f aca="false">IFERROR(
LEFT(AP220,FIND(":",AP220)-1)
+ MID(AP220,FIND(":",AP220)+1,2)/24
+ RIGHT(AP220,2)/1440,
"")</f>
        <v>78.7777777777778</v>
      </c>
      <c r="AR220" s="0" t="n">
        <f aca="false">WEEKNUM(B220,1)</f>
        <v>11</v>
      </c>
      <c r="AS220" s="17" t="n">
        <f aca="false">IF(B220&gt;0, (B220+C220)-TIME(13,30,0), "")</f>
        <v>46091.6340277778</v>
      </c>
      <c r="AT220" s="18" t="n">
        <f aca="false">IF(B220&gt;0, (B220+C220)-TIME(13,30,0), "")</f>
        <v>46091.6340277778</v>
      </c>
      <c r="AU220" s="17" t="n">
        <f aca="false">IF(V220&gt;0, (V220+W220)-TIME(13,30,0), "")</f>
        <v>46202.4125</v>
      </c>
      <c r="AV220" s="18" t="n">
        <f aca="false">IF(V220&gt;0, (V220+W220)-TIME(13,30,0), "")</f>
        <v>46202.4125</v>
      </c>
      <c r="AW220" s="19" t="n">
        <f aca="false">24*(
MAX(0,
IF(NETWORKDAYS(AS220,AU220)=1,
MIN(MOD(AV220,1),TIME(17,30,0)) - MAX(MOD(AT220,1),TIME(8,30,0)),
(TIME(17,30,0)-MAX(MOD(AT220,1),TIME(8,30,0)))
+ (MIN(MOD(AV220,1),TIME(17,30,0))-TIME(8,30,0))
+ (NETWORKDAYS(AS220,AU220)-2)*9/24
)
)
)</f>
        <v>705.683333333333</v>
      </c>
      <c r="AX220" s="19" t="n">
        <f aca="false">24*(
MAX(0,
IF(NETWORKDAYS(AS220,AU220)=1,
MIN(MOD(AV220,1),TIME(17,30,0)) - MAX(MOD(AT220,1),TIME(8,30,0)),
(TIME(17,30,0)-MAX(MOD(AT220,1),TIME(8,30,0)))
+ (MIN(MOD(AV220,1),TIME(17,30,0))-TIME(8,30,0))
+ (NETWORKDAYS(AS220,AU220)-2)* (TIME(17,30,0)-TIME(8,30,0))
)
)
)</f>
        <v>705.683333333333</v>
      </c>
      <c r="AY220" s="20" t="n">
        <f aca="false">ROUND(
IF(AS220=AU220,
MAX(0,
(MIN(MOD(AV220,1),TIME(17,30,0))-
MAX(MOD(AT220,1),TIME(8,30,0)))*24
),
(
(MAX(0,TIME(17,30,0)-MAX(MOD(AT220,1),TIME(8,30,0)))*24)
+
(MAX(0,MIN(MOD(AV220,1),TIME(17,30,0))-TIME(8,30,0))*24)
+
(MAX(0,NETWORKDAYS(AS220+1,AU220-1))*9)
)
),
2)</f>
        <v>705.68</v>
      </c>
      <c r="AZ220" s="0" t="n">
        <f aca="false" t="array" ref="AZ220:AZ220">_xlfn.XLOOKUP(J220,{"Low","Medium","High"},{270,72,24})</f>
        <v>270</v>
      </c>
      <c r="BA220" s="0" t="str">
        <f aca="false">IF(AW220&gt;AZ220,"Not Met","Met")</f>
        <v>Not Met</v>
      </c>
      <c r="BB220" s="21" t="str">
        <f aca="false">IF(AS220="","",TEXT(AS220,"MMM")&amp;"'"&amp;TEXT(AS220,"yy"))</f>
        <v>Mar'26</v>
      </c>
      <c r="BC220" s="0" t="str">
        <f aca="false">IF(AU220="","",TEXT(AU220,"MMM")&amp;"'"&amp;TEXT(AU220,"yy"))</f>
        <v>Jun'26</v>
      </c>
      <c r="BE220" s="0" t="s">
        <v>144</v>
      </c>
    </row>
    <row r="221" customFormat="false" ht="15" hidden="false" customHeight="false" outlineLevel="0" collapsed="false">
      <c r="A221" s="1" t="s">
        <v>802</v>
      </c>
      <c r="B221" s="11" t="n">
        <v>46092</v>
      </c>
      <c r="C221" s="12" t="n">
        <v>0.874305555555556</v>
      </c>
      <c r="D221" s="13" t="str">
        <f aca="false">IF(B221="","",TEXT(B221,"MMM")&amp;"'"&amp;TEXT(B221,"yy"))</f>
        <v>Mar'26</v>
      </c>
      <c r="E221" s="1" t="s">
        <v>55</v>
      </c>
      <c r="F221" s="29" t="s">
        <v>39</v>
      </c>
      <c r="G221" s="46" t="str">
        <f aca="false">IF(F221="Closed","Closed","Pending")</f>
        <v>Closed</v>
      </c>
      <c r="H221" s="1" t="s">
        <v>157</v>
      </c>
      <c r="I221" s="1" t="s">
        <v>581</v>
      </c>
      <c r="J221" s="1" t="s">
        <v>74</v>
      </c>
      <c r="K221" s="50" t="s">
        <v>59</v>
      </c>
      <c r="L221" s="1" t="s">
        <v>803</v>
      </c>
      <c r="M221" s="1" t="s">
        <v>804</v>
      </c>
      <c r="N221" s="1" t="s">
        <v>65</v>
      </c>
      <c r="O221" s="1" t="s">
        <v>106</v>
      </c>
      <c r="Q221" s="1" t="s">
        <v>65</v>
      </c>
      <c r="R221" s="1" t="s">
        <v>66</v>
      </c>
      <c r="U221" s="12" t="n">
        <v>0.916666666666667</v>
      </c>
      <c r="V221" s="11" t="n">
        <v>46107</v>
      </c>
      <c r="W221" s="12" t="n">
        <v>0.915972222222222</v>
      </c>
      <c r="X221" s="11" t="n">
        <v>46113</v>
      </c>
      <c r="Y221" s="12" t="n">
        <v>0.115277777777778</v>
      </c>
      <c r="Z221" s="1" t="s">
        <v>108</v>
      </c>
      <c r="AA221" s="1" t="s">
        <v>68</v>
      </c>
      <c r="AB221" s="2" t="e">
        <f aca="false">U221-#REF!</f>
        <v>#REF!</v>
      </c>
      <c r="AC221" s="14" t="n">
        <f aca="false">(V221+W221)-(B221+C221)</f>
        <v>15.0416666666667</v>
      </c>
      <c r="AD221" s="4" t="str">
        <f aca="false">INT((V221+W221)-(B221+C221)) &amp; ":" &amp;
TEXT(HOUR((V221+W221)-(B221+C221)), "00") &amp; ":" &amp;
TEXT(MINUTE((V221+W221)-(B221+C221)), "00")</f>
        <v>15:01:00</v>
      </c>
      <c r="AE221" s="1" t="n">
        <f aca="false">IFERROR(
LEFT(AD221,FIND(":",AD221)-1)
+ MID(AD221,FIND(":",AD221)+1,2)/24
+ RIGHT(AD221,2)/1440,
"")</f>
        <v>15.0416666666667</v>
      </c>
      <c r="AF221" s="4" t="str">
        <f aca="false">INT((X221+Y221)-(B221+C221)) &amp; ":" &amp;
TEXT(HOUR((X221+Y221)-(B221+C221)), "00") &amp; ":" &amp;
TEXT(MINUTE((X221+Y221)-(B221+C221)), "00")</f>
        <v>20:05:47</v>
      </c>
      <c r="AG221" s="4" t="str">
        <f aca="false" t="array" ref="AG221:AG221">INT(_xlfn.XLOOKUP(J221,{"Low","Medium","High","Urgent"},{48,24,12,8})/24) &amp; ":" &amp;
TEXT(MOD(_xlfn.XLOOKUP(J221,{"Low","Medium","High","Urgent"},{48,24,12,8}),24)/24,"hh:mm")</f>
        <v>2:00:00</v>
      </c>
      <c r="AH221" s="4" t="str">
        <f aca="false">IF(AD221&gt;AG221,"Not Met","Met")</f>
        <v>Met</v>
      </c>
      <c r="AI221" s="4" t="e">
        <f aca="false">IF(AB221&lt;TIME(0,30,0),"Met","Not Met")</f>
        <v>#REF!</v>
      </c>
      <c r="AN221" s="1" t="str">
        <f aca="false">TEXT(B221,"dd")</f>
        <v>11</v>
      </c>
      <c r="AO221" s="1" t="str">
        <f aca="false">TEXT(X221,"dd")</f>
        <v>01</v>
      </c>
      <c r="AP221" s="16" t="str">
        <f aca="false">INT(
  NETWORKDAYS(B221,V221)-1
  + IF(WEEKDAY(V221,2)&lt;6,MOD(V221+W221,1),0)
  - IF(WEEKDAY(B221,2)&lt;6,MOD(B221+C221,1),0)
)
&amp; ":" &amp;
TEXT(HOUR(
  NETWORKDAYS(B221,V221)-1
  + IF(WEEKDAY(V221,2)&lt;6,MOD(V221+W221,1),0)
  - IF(WEEKDAY(B221,2)&lt;6,MOD(B221+C221,1),0)
),"00")
&amp; ":" &amp;
TEXT(MINUTE(
  NETWORKDAYS(B221,V221)-1
  + IF(WEEKDAY(V221,2)&lt;6,MOD(V221+W221,1),0)
  - IF(WEEKDAY(B221,2)&lt;6,MOD(B221+C221,1),0)
),"00")</f>
        <v>11:01:00</v>
      </c>
      <c r="AQ221" s="0" t="n">
        <f aca="false">IFERROR(
LEFT(AP221,FIND(":",AP221)-1)
+ MID(AP221,FIND(":",AP221)+1,2)/24
+ RIGHT(AP221,2)/1440,
"")</f>
        <v>11.0416666666667</v>
      </c>
      <c r="AR221" s="0" t="n">
        <f aca="false">WEEKNUM(B221,1)</f>
        <v>11</v>
      </c>
      <c r="AS221" s="17" t="n">
        <f aca="false">IF(B221&gt;0, (B221+C221)-TIME(13,30,0), "")</f>
        <v>46092.3118055556</v>
      </c>
      <c r="AT221" s="18" t="n">
        <f aca="false">IF(B221&gt;0, (B221+C221)-TIME(13,30,0), "")</f>
        <v>46092.3118055556</v>
      </c>
      <c r="AU221" s="17" t="n">
        <f aca="false">IF(V221&gt;0, (V221+W221)-TIME(13,30,0), "")</f>
        <v>46107.3534722222</v>
      </c>
      <c r="AV221" s="18" t="n">
        <f aca="false">IF(V221&gt;0, (V221+W221)-TIME(13,30,0), "")</f>
        <v>46107.3534722222</v>
      </c>
      <c r="AW221" s="19" t="n">
        <f aca="false">24*(
MAX(0,
IF(NETWORKDAYS(AS221,AU221)=1,
MIN(MOD(AV221,1),TIME(17,30,0)) - MAX(MOD(AT221,1),TIME(8,30,0)),
(TIME(17,30,0)-MAX(MOD(AT221,1),TIME(8,30,0)))
+ (MIN(MOD(AV221,1),TIME(17,30,0))-TIME(8,30,0))
+ (NETWORKDAYS(AS221,AU221)-2)*9/24
)
)
)</f>
        <v>98.9833333333334</v>
      </c>
      <c r="AX221" s="19" t="n">
        <f aca="false">24*(
MAX(0,
IF(NETWORKDAYS(AS221,AU221)=1,
MIN(MOD(AV221,1),TIME(17,30,0)) - MAX(MOD(AT221,1),TIME(8,30,0)),
(TIME(17,30,0)-MAX(MOD(AT221,1),TIME(8,30,0)))
+ (MIN(MOD(AV221,1),TIME(17,30,0))-TIME(8,30,0))
+ (NETWORKDAYS(AS221,AU221)-2)* (TIME(17,30,0)-TIME(8,30,0))
)
)
)</f>
        <v>98.9833333333334</v>
      </c>
      <c r="AY221" s="20" t="n">
        <f aca="false">ROUND(
IF(AS221=AU221,
MAX(0,
(MIN(MOD(AV221,1),TIME(17,30,0))-
MAX(MOD(AT221,1),TIME(8,30,0)))*24
),
(
(MAX(0,TIME(17,30,0)-MAX(MOD(AT221,1),TIME(8,30,0)))*24)
+
(MAX(0,MIN(MOD(AV221,1),TIME(17,30,0))-TIME(8,30,0))*24)
+
(MAX(0,NETWORKDAYS(AS221+1,AU221-1))*9)
)
),
2)</f>
        <v>99</v>
      </c>
      <c r="AZ221" s="0" t="n">
        <f aca="false" t="array" ref="AZ221:AZ221">_xlfn.XLOOKUP(J221,{"Low","Medium","High"},{270,72,24})</f>
        <v>270</v>
      </c>
      <c r="BA221" s="0" t="str">
        <f aca="false">IF(AW221&gt;AZ221,"Not Met","Met")</f>
        <v>Met</v>
      </c>
      <c r="BB221" s="21" t="str">
        <f aca="false">IF(AS221="","",TEXT(AS221,"MMM")&amp;"'"&amp;TEXT(AS221,"yy"))</f>
        <v>Mar'26</v>
      </c>
      <c r="BC221" s="0" t="str">
        <f aca="false">IF(AU221="","",TEXT(AU221,"MMM")&amp;"'"&amp;TEXT(AU221,"yy"))</f>
        <v>Mar'26</v>
      </c>
    </row>
    <row r="222" customFormat="false" ht="15" hidden="false" customHeight="false" outlineLevel="0" collapsed="false">
      <c r="A222" s="1" t="s">
        <v>805</v>
      </c>
      <c r="B222" s="11" t="n">
        <v>46092</v>
      </c>
      <c r="C222" s="12" t="n">
        <v>0.950694444444444</v>
      </c>
      <c r="D222" s="13" t="str">
        <f aca="false">IF(B222="","",TEXT(B222,"MMM")&amp;"'"&amp;TEXT(B222,"yy"))</f>
        <v>Mar'26</v>
      </c>
      <c r="E222" s="1" t="s">
        <v>55</v>
      </c>
      <c r="F222" s="26" t="s">
        <v>39</v>
      </c>
      <c r="G222" s="46" t="str">
        <f aca="false">IF(F222="Closed","Closed","Pending")</f>
        <v>Closed</v>
      </c>
      <c r="H222" s="1" t="s">
        <v>56</v>
      </c>
      <c r="I222" s="1" t="s">
        <v>82</v>
      </c>
      <c r="J222" s="1" t="s">
        <v>74</v>
      </c>
      <c r="K222" s="35" t="s">
        <v>59</v>
      </c>
      <c r="L222" s="1" t="s">
        <v>806</v>
      </c>
      <c r="M222" s="1" t="s">
        <v>807</v>
      </c>
      <c r="N222" s="1" t="s">
        <v>62</v>
      </c>
      <c r="O222" s="1" t="s">
        <v>77</v>
      </c>
      <c r="Q222" s="1" t="s">
        <v>86</v>
      </c>
      <c r="R222" s="1" t="s">
        <v>87</v>
      </c>
      <c r="U222" s="12" t="n">
        <v>0.95625</v>
      </c>
      <c r="V222" s="11" t="n">
        <v>46097</v>
      </c>
      <c r="W222" s="12" t="n">
        <v>0.917361111111111</v>
      </c>
      <c r="X222" s="11" t="n">
        <v>46105</v>
      </c>
      <c r="Y222" s="12" t="n">
        <v>0.990277777777778</v>
      </c>
      <c r="Z222" s="1" t="s">
        <v>108</v>
      </c>
      <c r="AA222" s="1" t="s">
        <v>68</v>
      </c>
      <c r="AB222" s="2" t="e">
        <f aca="false">U222-#REF!</f>
        <v>#REF!</v>
      </c>
      <c r="AC222" s="14" t="n">
        <f aca="false">(V222+W222)-(B222+C222)</f>
        <v>4.96666666666667</v>
      </c>
      <c r="AD222" s="4" t="str">
        <f aca="false">INT((V222+W222)-(B222+C222)) &amp; ":" &amp;
TEXT(HOUR((V222+W222)-(B222+C222)), "00") &amp; ":" &amp;
TEXT(MINUTE((V222+W222)-(B222+C222)), "00")</f>
        <v>4:23:12</v>
      </c>
      <c r="AE222" s="1" t="n">
        <f aca="false">IFERROR(
LEFT(AD222,FIND(":",AD222)-1)
+ MID(AD222,FIND(":",AD222)+1,2)/24
+ RIGHT(AD222,2)/1440,
"")</f>
        <v>4.96666666666667</v>
      </c>
      <c r="AF222" s="4" t="str">
        <f aca="false">INT((X222+Y222)-(B222+C222)) &amp; ":" &amp;
TEXT(HOUR((X222+Y222)-(B222+C222)), "00") &amp; ":" &amp;
TEXT(MINUTE((X222+Y222)-(B222+C222)), "00")</f>
        <v>13:00:57</v>
      </c>
      <c r="AG222" s="4" t="str">
        <f aca="false" t="array" ref="AG222:AG222">INT(_xlfn.XLOOKUP(J222,{"Low","Medium","High","Urgent"},{48,24,12,8})/24) &amp; ":" &amp;
TEXT(MOD(_xlfn.XLOOKUP(J222,{"Low","Medium","High","Urgent"},{48,24,12,8}),24)/24,"hh:mm")</f>
        <v>2:00:00</v>
      </c>
      <c r="AH222" s="4" t="str">
        <f aca="false">IF(AD222&gt;AG222,"Not Met","Met")</f>
        <v>Not Met</v>
      </c>
      <c r="AI222" s="4" t="e">
        <f aca="false">IF(AB222&lt;TIME(0,30,0),"Met","Not Met")</f>
        <v>#REF!</v>
      </c>
      <c r="AN222" s="1" t="str">
        <f aca="false">TEXT(B222,"dd")</f>
        <v>11</v>
      </c>
      <c r="AO222" s="1" t="str">
        <f aca="false">TEXT(X222,"dd")</f>
        <v>24</v>
      </c>
      <c r="AP222" s="16" t="str">
        <f aca="false">INT(
  NETWORKDAYS(B222,V222)-1
  + IF(WEEKDAY(V222,2)&lt;6,MOD(V222+W222,1),0)
  - IF(WEEKDAY(B222,2)&lt;6,MOD(B222+C222,1),0)
)
&amp; ":" &amp;
TEXT(HOUR(
  NETWORKDAYS(B222,V222)-1
  + IF(WEEKDAY(V222,2)&lt;6,MOD(V222+W222,1),0)
  - IF(WEEKDAY(B222,2)&lt;6,MOD(B222+C222,1),0)
),"00")
&amp; ":" &amp;
TEXT(MINUTE(
  NETWORKDAYS(B222,V222)-1
  + IF(WEEKDAY(V222,2)&lt;6,MOD(V222+W222,1),0)
  - IF(WEEKDAY(B222,2)&lt;6,MOD(B222+C222,1),0)
),"00")</f>
        <v>2:23:12</v>
      </c>
      <c r="AQ222" s="0" t="n">
        <f aca="false">IFERROR(
LEFT(AP222,FIND(":",AP222)-1)
+ MID(AP222,FIND(":",AP222)+1,2)/24
+ RIGHT(AP222,2)/1440,
"")</f>
        <v>2.96666666666667</v>
      </c>
      <c r="AR222" s="0" t="n">
        <f aca="false">WEEKNUM(B222,1)</f>
        <v>11</v>
      </c>
      <c r="AS222" s="17" t="n">
        <f aca="false">IF(B222&gt;0, (B222+C222)-TIME(13,30,0), "")</f>
        <v>46092.3881944444</v>
      </c>
      <c r="AT222" s="18" t="n">
        <f aca="false">IF(B222&gt;0, (B222+C222)-TIME(13,30,0), "")</f>
        <v>46092.3881944444</v>
      </c>
      <c r="AU222" s="17" t="n">
        <f aca="false">IF(V222&gt;0, (V222+W222)-TIME(13,30,0), "")</f>
        <v>46097.3548611111</v>
      </c>
      <c r="AV222" s="18" t="n">
        <f aca="false">IF(V222&gt;0, (V222+W222)-TIME(13,30,0), "")</f>
        <v>46097.3548611111</v>
      </c>
      <c r="AW222" s="19" t="n">
        <f aca="false">24*(
MAX(0,
IF(NETWORKDAYS(AS222,AU222)=1,
MIN(MOD(AV222,1),TIME(17,30,0)) - MAX(MOD(AT222,1),TIME(8,30,0)),
(TIME(17,30,0)-MAX(MOD(AT222,1),TIME(8,30,0)))
+ (MIN(MOD(AV222,1),TIME(17,30,0))-TIME(8,30,0))
+ (NETWORKDAYS(AS222,AU222)-2)*9/24
)
)
)</f>
        <v>26.2</v>
      </c>
      <c r="AX222" s="19" t="n">
        <f aca="false">24*(
MAX(0,
IF(NETWORKDAYS(AS222,AU222)=1,
MIN(MOD(AV222,1),TIME(17,30,0)) - MAX(MOD(AT222,1),TIME(8,30,0)),
(TIME(17,30,0)-MAX(MOD(AT222,1),TIME(8,30,0)))
+ (MIN(MOD(AV222,1),TIME(17,30,0))-TIME(8,30,0))
+ (NETWORKDAYS(AS222,AU222)-2)* (TIME(17,30,0)-TIME(8,30,0))
)
)
)</f>
        <v>26.2</v>
      </c>
      <c r="AY222" s="20" t="n">
        <f aca="false">ROUND(
IF(AS222=AU222,
MAX(0,
(MIN(MOD(AV222,1),TIME(17,30,0))-
MAX(MOD(AT222,1),TIME(8,30,0)))*24
),
(
(MAX(0,TIME(17,30,0)-MAX(MOD(AT222,1),TIME(8,30,0)))*24)
+
(MAX(0,MIN(MOD(AV222,1),TIME(17,30,0))-TIME(8,30,0))*24)
+
(MAX(0,NETWORKDAYS(AS222+1,AU222-1))*9)
)
),
2)</f>
        <v>26.2</v>
      </c>
      <c r="AZ222" s="0" t="n">
        <f aca="false" t="array" ref="AZ222:AZ222">_xlfn.XLOOKUP(J222,{"Low","Medium","High"},{270,72,24})</f>
        <v>270</v>
      </c>
      <c r="BA222" s="0" t="str">
        <f aca="false">IF(AW222&gt;AZ222,"Not Met","Met")</f>
        <v>Met</v>
      </c>
      <c r="BB222" s="21" t="str">
        <f aca="false">IF(AS222="","",TEXT(AS222,"MMM")&amp;"'"&amp;TEXT(AS222,"yy"))</f>
        <v>Mar'26</v>
      </c>
      <c r="BC222" s="0" t="str">
        <f aca="false">IF(AU222="","",TEXT(AU222,"MMM")&amp;"'"&amp;TEXT(AU222,"yy"))</f>
        <v>Mar'26</v>
      </c>
    </row>
    <row r="223" customFormat="false" ht="15" hidden="false" customHeight="false" outlineLevel="0" collapsed="false">
      <c r="A223" s="26" t="s">
        <v>808</v>
      </c>
      <c r="B223" s="56" t="n">
        <v>46092</v>
      </c>
      <c r="C223" s="32" t="n">
        <v>0.9875</v>
      </c>
      <c r="D223" s="57" t="str">
        <f aca="false">IF(B223="","",TEXT(B223,"MMM")&amp;"'"&amp;TEXT(B223,"yy"))</f>
        <v>Mar'26</v>
      </c>
      <c r="E223" s="58" t="s">
        <v>55</v>
      </c>
      <c r="F223" s="1" t="s">
        <v>39</v>
      </c>
      <c r="G223" s="65" t="str">
        <f aca="false">IF(F223="Closed","Closed","Pending")</f>
        <v>Closed</v>
      </c>
      <c r="H223" s="26" t="s">
        <v>72</v>
      </c>
      <c r="I223" s="26" t="s">
        <v>315</v>
      </c>
      <c r="J223" s="26" t="s">
        <v>74</v>
      </c>
      <c r="K223" s="40" t="s">
        <v>59</v>
      </c>
      <c r="L223" s="26" t="s">
        <v>809</v>
      </c>
      <c r="M223" s="1" t="s">
        <v>810</v>
      </c>
      <c r="N223" s="1" t="s">
        <v>65</v>
      </c>
      <c r="O223" s="1" t="s">
        <v>77</v>
      </c>
      <c r="Q223" s="1" t="s">
        <v>65</v>
      </c>
      <c r="R223" s="1" t="s">
        <v>66</v>
      </c>
      <c r="U223" s="25" t="n">
        <v>46093.0013888889</v>
      </c>
      <c r="V223" s="11" t="n">
        <v>46163</v>
      </c>
      <c r="W223" s="12" t="n">
        <v>0.878472222222222</v>
      </c>
      <c r="X223" s="11" t="n">
        <v>46179</v>
      </c>
      <c r="Y223" s="12" t="n">
        <v>0.0131944444444444</v>
      </c>
      <c r="Z223" s="1" t="s">
        <v>108</v>
      </c>
      <c r="AA223" s="1" t="s">
        <v>68</v>
      </c>
      <c r="AB223" s="2" t="n">
        <v>0.0138888888888889</v>
      </c>
      <c r="AC223" s="14" t="n">
        <f aca="false">(V223+W223)-(B223+C223)</f>
        <v>70.8909722222222</v>
      </c>
      <c r="AD223" s="4" t="str">
        <f aca="false">INT((V223+W223)-(B223+C223)) &amp; ":" &amp;
TEXT(HOUR((V223+W223)-(B223+C223)), "00") &amp; ":" &amp;
TEXT(MINUTE((V223+W223)-(B223+C223)), "00")</f>
        <v>70:21:23</v>
      </c>
      <c r="AE223" s="1" t="n">
        <f aca="false">IFERROR(
LEFT(AD223,FIND(":",AD223)-1)
+ MID(AD223,FIND(":",AD223)+1,2)/24
+ RIGHT(AD223,2)/1440,
"")</f>
        <v>70.8909722222222</v>
      </c>
      <c r="AF223" s="4" t="str">
        <f aca="false">INT((X223+Y223)-(B223+C223)) &amp; ":" &amp;
TEXT(HOUR((X223+Y223)-(B223+C223)), "00") &amp; ":" &amp;
TEXT(MINUTE((X223+Y223)-(B223+C223)), "00")</f>
        <v>86:00:37</v>
      </c>
      <c r="AG223" s="4" t="str">
        <f aca="false" t="array" ref="AG223:AG223">INT(_xlfn.XLOOKUP(J223,{"Low","Medium","High","Urgent"},{48,24,12,8})/24) &amp; ":" &amp;
TEXT(MOD(_xlfn.XLOOKUP(J223,{"Low","Medium","High","Urgent"},{48,24,12,8}),24)/24,"hh:mm")</f>
        <v>2:00:00</v>
      </c>
      <c r="AH223" s="4" t="str">
        <f aca="false">IF(AD223&gt;AG223,"Not Met","Met")</f>
        <v>Not Met</v>
      </c>
      <c r="AI223" s="4" t="str">
        <f aca="false">IF(AB223&lt;TIME(0,30,0),"Met","Not Met")</f>
        <v>Met</v>
      </c>
      <c r="AN223" s="1" t="str">
        <f aca="false">TEXT(B223,"dd")</f>
        <v>11</v>
      </c>
      <c r="AO223" s="1" t="str">
        <f aca="false">TEXT(X223,"dd")</f>
        <v>06</v>
      </c>
      <c r="AP223" s="16" t="str">
        <f aca="false">INT(
  NETWORKDAYS(B223,V223)-1
  + IF(WEEKDAY(V223,2)&lt;6,MOD(V223+W223,1),0)
  - IF(WEEKDAY(B223,2)&lt;6,MOD(B223+C223,1),0)
)
&amp; ":" &amp;
TEXT(HOUR(
  NETWORKDAYS(B223,V223)-1
  + IF(WEEKDAY(V223,2)&lt;6,MOD(V223+W223,1),0)
  - IF(WEEKDAY(B223,2)&lt;6,MOD(B223+C223,1),0)
),"00")
&amp; ":" &amp;
TEXT(MINUTE(
  NETWORKDAYS(B223,V223)-1
  + IF(WEEKDAY(V223,2)&lt;6,MOD(V223+W223,1),0)
  - IF(WEEKDAY(B223,2)&lt;6,MOD(B223+C223,1),0)
),"00")</f>
        <v>50:21:22</v>
      </c>
      <c r="AQ223" s="0" t="n">
        <f aca="false">IFERROR(
LEFT(AP223,FIND(":",AP223)-1)
+ MID(AP223,FIND(":",AP223)+1,2)/24
+ RIGHT(AP223,2)/1440,
"")</f>
        <v>50.8902777777778</v>
      </c>
      <c r="AR223" s="0" t="n">
        <f aca="false">WEEKNUM(B223,1)</f>
        <v>11</v>
      </c>
      <c r="AS223" s="17" t="n">
        <f aca="false">IF(B223&gt;0, (B223+C223)-TIME(13,30,0), "")</f>
        <v>46092.425</v>
      </c>
      <c r="AT223" s="18" t="n">
        <f aca="false">IF(B223&gt;0, (B223+C223)-TIME(13,30,0), "")</f>
        <v>46092.425</v>
      </c>
      <c r="AU223" s="17" t="n">
        <f aca="false">IF(V223&gt;0, (V223+W223)-TIME(13,30,0), "")</f>
        <v>46163.3159722222</v>
      </c>
      <c r="AV223" s="18" t="n">
        <f aca="false">IF(V223&gt;0, (V223+W223)-TIME(13,30,0), "")</f>
        <v>46163.3159722222</v>
      </c>
      <c r="AW223" s="19" t="n">
        <f aca="false">24*(
MAX(0,
IF(NETWORKDAYS(AS223,AU223)=1,
MIN(MOD(AV223,1),TIME(17,30,0)) - MAX(MOD(AT223,1),TIME(8,30,0)),
(TIME(17,30,0)-MAX(MOD(AT223,1),TIME(8,30,0)))
+ (MIN(MOD(AV223,1),TIME(17,30,0))-TIME(8,30,0))
+ (NETWORKDAYS(AS223,AU223)-2)*9/24
)
)
)</f>
        <v>456.383333333333</v>
      </c>
      <c r="AX223" s="19" t="n">
        <f aca="false">24*(
MAX(0,
IF(NETWORKDAYS(AS223,AU223)=1,
MIN(MOD(AV223,1),TIME(17,30,0)) - MAX(MOD(AT223,1),TIME(8,30,0)),
(TIME(17,30,0)-MAX(MOD(AT223,1),TIME(8,30,0)))
+ (MIN(MOD(AV223,1),TIME(17,30,0))-TIME(8,30,0))
+ (NETWORKDAYS(AS223,AU223)-2)* (TIME(17,30,0)-TIME(8,30,0))
)
)
)</f>
        <v>456.383333333333</v>
      </c>
      <c r="AY223" s="20" t="n">
        <f aca="false">ROUND(
IF(AS223=AU223,
MAX(0,
(MIN(MOD(AV223,1),TIME(17,30,0))-
MAX(MOD(AT223,1),TIME(8,30,0)))*24
),
(
(MAX(0,TIME(17,30,0)-MAX(MOD(AT223,1),TIME(8,30,0)))*24)
+
(MAX(0,MIN(MOD(AV223,1),TIME(17,30,0))-TIME(8,30,0))*24)
+
(MAX(0,NETWORKDAYS(AS223+1,AU223-1))*9)
)
),
2)</f>
        <v>457.3</v>
      </c>
      <c r="AZ223" s="0" t="n">
        <f aca="false" t="array" ref="AZ223:AZ223">_xlfn.XLOOKUP(J223,{"Low","Medium","High"},{270,72,24})</f>
        <v>270</v>
      </c>
      <c r="BA223" s="0" t="str">
        <f aca="false">IF(AW223&gt;AZ223,"Not Met","Met")</f>
        <v>Not Met</v>
      </c>
      <c r="BB223" s="21" t="str">
        <f aca="false">IF(AS223="","",TEXT(AS223,"MMM")&amp;"'"&amp;TEXT(AS223,"yy"))</f>
        <v>Mar'26</v>
      </c>
      <c r="BC223" s="0" t="str">
        <f aca="false">IF(AU223="","",TEXT(AU223,"MMM")&amp;"'"&amp;TEXT(AU223,"yy"))</f>
        <v>May'26</v>
      </c>
      <c r="BE223" s="0" t="s">
        <v>144</v>
      </c>
    </row>
    <row r="224" customFormat="false" ht="15" hidden="false" customHeight="false" outlineLevel="0" collapsed="false">
      <c r="A224" s="1" t="s">
        <v>811</v>
      </c>
      <c r="B224" s="11" t="n">
        <v>46093</v>
      </c>
      <c r="C224" s="12" t="n">
        <v>0.05</v>
      </c>
      <c r="D224" s="13" t="str">
        <f aca="false">IF(B224="","",TEXT(B224,"MMM")&amp;"'"&amp;TEXT(B224,"yy"))</f>
        <v>Mar'26</v>
      </c>
      <c r="E224" s="1" t="s">
        <v>55</v>
      </c>
      <c r="F224" s="29" t="s">
        <v>39</v>
      </c>
      <c r="G224" s="1" t="str">
        <f aca="false">IF(F224="Closed","Closed","Pending")</f>
        <v>Closed</v>
      </c>
      <c r="H224" s="1" t="s">
        <v>120</v>
      </c>
      <c r="I224" s="1" t="s">
        <v>401</v>
      </c>
      <c r="J224" s="1" t="s">
        <v>74</v>
      </c>
      <c r="K224" s="1" t="s">
        <v>59</v>
      </c>
      <c r="L224" s="1" t="s">
        <v>812</v>
      </c>
      <c r="M224" s="35" t="s">
        <v>813</v>
      </c>
      <c r="N224" s="1" t="s">
        <v>143</v>
      </c>
      <c r="O224" s="1" t="s">
        <v>143</v>
      </c>
      <c r="Q224" s="1" t="s">
        <v>143</v>
      </c>
      <c r="R224" s="1" t="s">
        <v>87</v>
      </c>
      <c r="U224" s="12" t="n">
        <v>0.0756944444444444</v>
      </c>
      <c r="V224" s="11" t="n">
        <v>46143</v>
      </c>
      <c r="W224" s="12" t="n">
        <v>0.904166666666667</v>
      </c>
      <c r="X224" s="11" t="n">
        <v>46144</v>
      </c>
      <c r="Y224" s="12" t="n">
        <v>0.0847222222222222</v>
      </c>
      <c r="Z224" s="1" t="s">
        <v>108</v>
      </c>
      <c r="AA224" s="1" t="s">
        <v>68</v>
      </c>
      <c r="AB224" s="2" t="e">
        <f aca="false">U224-#REF!</f>
        <v>#REF!</v>
      </c>
      <c r="AC224" s="14" t="n">
        <f aca="false">(V224+W224)-(B224+C224)</f>
        <v>50.8541666666667</v>
      </c>
      <c r="AD224" s="4" t="str">
        <f aca="false">INT((V224+W224)-(B224+C224)) &amp; ":" &amp;
TEXT(HOUR((V224+W224)-(B224+C224)), "00") &amp; ":" &amp;
TEXT(MINUTE((V224+W224)-(B224+C224)), "00")</f>
        <v>50:20:30</v>
      </c>
      <c r="AE224" s="1" t="n">
        <f aca="false">IFERROR(
LEFT(AD224,FIND(":",AD224)-1)
+ MID(AD224,FIND(":",AD224)+1,2)/24
+ RIGHT(AD224,2)/1440,
"")</f>
        <v>50.8541666666667</v>
      </c>
      <c r="AF224" s="4" t="str">
        <f aca="false">INT((X224+Y224)-(B224+C224)) &amp; ":" &amp;
TEXT(HOUR((X224+Y224)-(B224+C224)), "00") &amp; ":" &amp;
TEXT(MINUTE((X224+Y224)-(B224+C224)), "00")</f>
        <v>51:00:50</v>
      </c>
      <c r="AG224" s="4" t="str">
        <f aca="false" t="array" ref="AG224:AG224">INT(_xlfn.XLOOKUP(J224,{"Low","Medium","High","Urgent"},{48,24,12,8})/24) &amp; ":" &amp;
TEXT(MOD(_xlfn.XLOOKUP(J224,{"Low","Medium","High","Urgent"},{48,24,12,8}),24)/24,"hh:mm")</f>
        <v>2:00:00</v>
      </c>
      <c r="AH224" s="4" t="str">
        <f aca="false">IF(AD224&gt;AG224,"Not Met","Met")</f>
        <v>Not Met</v>
      </c>
      <c r="AI224" s="4" t="e">
        <f aca="false">IF(AB224&lt;TIME(0,30,0),"Met","Not Met")</f>
        <v>#REF!</v>
      </c>
      <c r="AN224" s="1" t="str">
        <f aca="false">TEXT(B224,"dd")</f>
        <v>12</v>
      </c>
      <c r="AO224" s="1" t="str">
        <f aca="false">TEXT(X224,"dd")</f>
        <v>02</v>
      </c>
      <c r="AP224" s="16" t="str">
        <f aca="false">INT(
  NETWORKDAYS(B224,V224)-1
  + IF(WEEKDAY(V224,2)&lt;6,MOD(V224+W224,1),0)
  - IF(WEEKDAY(B224,2)&lt;6,MOD(B224+C224,1),0)
)
&amp; ":" &amp;
TEXT(HOUR(
  NETWORKDAYS(B224,V224)-1
  + IF(WEEKDAY(V224,2)&lt;6,MOD(V224+W224,1),0)
  - IF(WEEKDAY(B224,2)&lt;6,MOD(B224+C224,1),0)
),"00")
&amp; ":" &amp;
TEXT(MINUTE(
  NETWORKDAYS(B224,V224)-1
  + IF(WEEKDAY(V224,2)&lt;6,MOD(V224+W224,1),0)
  - IF(WEEKDAY(B224,2)&lt;6,MOD(B224+C224,1),0)
),"00")</f>
        <v>36:20:29</v>
      </c>
      <c r="AQ224" s="0" t="n">
        <f aca="false">IFERROR(
LEFT(AP224,FIND(":",AP224)-1)
+ MID(AP224,FIND(":",AP224)+1,2)/24
+ RIGHT(AP224,2)/1440,
"")</f>
        <v>36.8534722222222</v>
      </c>
      <c r="AR224" s="0" t="n">
        <f aca="false">WEEKNUM(B224,1)</f>
        <v>11</v>
      </c>
      <c r="AS224" s="17" t="n">
        <f aca="false">IF(B224&gt;0, (B224+C224)-TIME(13,30,0), "")</f>
        <v>46092.4875</v>
      </c>
      <c r="AT224" s="18" t="n">
        <f aca="false">IF(B224&gt;0, (B224+C224)-TIME(13,30,0), "")</f>
        <v>46092.4875</v>
      </c>
      <c r="AU224" s="17" t="n">
        <f aca="false">IF(V224&gt;0, (V224+W224)-TIME(13,30,0), "")</f>
        <v>46143.3416666667</v>
      </c>
      <c r="AV224" s="18" t="n">
        <f aca="false">IF(V224&gt;0, (V224+W224)-TIME(13,30,0), "")</f>
        <v>46143.3416666667</v>
      </c>
      <c r="AW224" s="19" t="n">
        <f aca="false">24*(
MAX(0,
IF(NETWORKDAYS(AS224,AU224)=1,
MIN(MOD(AV224,1),TIME(17,30,0)) - MAX(MOD(AT224,1),TIME(8,30,0)),
(TIME(17,30,0)-MAX(MOD(AT224,1),TIME(8,30,0)))
+ (MIN(MOD(AV224,1),TIME(17,30,0))-TIME(8,30,0))
+ (NETWORKDAYS(AS224,AU224)-2)*9/24
)
)
)</f>
        <v>329.5</v>
      </c>
      <c r="AX224" s="19" t="n">
        <f aca="false">24*(
MAX(0,
IF(NETWORKDAYS(AS224,AU224)=1,
MIN(MOD(AV224,1),TIME(17,30,0)) - MAX(MOD(AT224,1),TIME(8,30,0)),
(TIME(17,30,0)-MAX(MOD(AT224,1),TIME(8,30,0)))
+ (MIN(MOD(AV224,1),TIME(17,30,0))-TIME(8,30,0))
+ (NETWORKDAYS(AS224,AU224)-2)* (TIME(17,30,0)-TIME(8,30,0))
)
)
)</f>
        <v>329.5</v>
      </c>
      <c r="AY224" s="20" t="n">
        <f aca="false">ROUND(
IF(AS224=AU224,
MAX(0,
(MIN(MOD(AV224,1),TIME(17,30,0))-
MAX(MOD(AT224,1),TIME(8,30,0)))*24
),
(
(MAX(0,TIME(17,30,0)-MAX(MOD(AT224,1),TIME(8,30,0)))*24)
+
(MAX(0,MIN(MOD(AV224,1),TIME(17,30,0))-TIME(8,30,0))*24)
+
(MAX(0,NETWORKDAYS(AS224+1,AU224-1))*9)
)
),
2)</f>
        <v>329.8</v>
      </c>
      <c r="AZ224" s="0" t="n">
        <f aca="false" t="array" ref="AZ224:AZ224">_xlfn.XLOOKUP(J224,{"Low","Medium","High"},{270,72,24})</f>
        <v>270</v>
      </c>
      <c r="BA224" s="0" t="str">
        <f aca="false">IF(AW224&gt;AZ224,"Not Met","Met")</f>
        <v>Not Met</v>
      </c>
      <c r="BB224" s="21" t="str">
        <f aca="false">IF(AS224="","",TEXT(AS224,"MMM")&amp;"'"&amp;TEXT(AS224,"yy"))</f>
        <v>Mar'26</v>
      </c>
      <c r="BC224" s="0" t="str">
        <f aca="false">IF(AU224="","",TEXT(AU224,"MMM")&amp;"'"&amp;TEXT(AU224,"yy"))</f>
        <v>May'26</v>
      </c>
    </row>
    <row r="225" customFormat="false" ht="15" hidden="false" customHeight="false" outlineLevel="0" collapsed="false">
      <c r="A225" s="23" t="s">
        <v>814</v>
      </c>
      <c r="B225" s="11" t="n">
        <v>46093</v>
      </c>
      <c r="C225" s="12" t="n">
        <v>0.843055555555556</v>
      </c>
      <c r="D225" s="13" t="str">
        <f aca="false">IF(B225="","",TEXT(B225,"MMM")&amp;"'"&amp;TEXT(B225,"yy"))</f>
        <v>Mar'26</v>
      </c>
      <c r="E225" s="1" t="s">
        <v>55</v>
      </c>
      <c r="F225" s="1" t="s">
        <v>39</v>
      </c>
      <c r="G225" s="1" t="str">
        <f aca="false">IF(F225="Closed","Closed","Pending")</f>
        <v>Closed</v>
      </c>
      <c r="H225" s="1" t="s">
        <v>120</v>
      </c>
      <c r="I225" s="1" t="s">
        <v>126</v>
      </c>
      <c r="J225" s="1" t="s">
        <v>58</v>
      </c>
      <c r="K225" s="1" t="s">
        <v>59</v>
      </c>
      <c r="L225" s="1" t="s">
        <v>815</v>
      </c>
      <c r="M225" s="35" t="s">
        <v>816</v>
      </c>
      <c r="N225" s="1" t="s">
        <v>62</v>
      </c>
      <c r="O225" s="1" t="s">
        <v>63</v>
      </c>
      <c r="Q225" s="1" t="s">
        <v>229</v>
      </c>
      <c r="R225" s="1" t="s">
        <v>87</v>
      </c>
      <c r="U225" s="12" t="n">
        <v>0.888888888888889</v>
      </c>
      <c r="V225" s="11" t="n">
        <v>46094</v>
      </c>
      <c r="W225" s="12" t="n">
        <v>0.950694444444444</v>
      </c>
      <c r="X225" s="11" t="n">
        <v>46094</v>
      </c>
      <c r="Y225" s="12" t="n">
        <v>0.967361111111111</v>
      </c>
      <c r="Z225" s="1" t="s">
        <v>108</v>
      </c>
      <c r="AA225" s="1" t="s">
        <v>68</v>
      </c>
      <c r="AB225" s="2" t="e">
        <f aca="false">U225-#REF!</f>
        <v>#REF!</v>
      </c>
      <c r="AC225" s="14" t="n">
        <f aca="false">(V225+W225)-(B225+C225)</f>
        <v>1.10763888888889</v>
      </c>
      <c r="AD225" s="4" t="str">
        <f aca="false">INT((V225+W225)-(B225+C225)) &amp; ":" &amp;
TEXT(HOUR((V225+W225)-(B225+C225)), "00") &amp; ":" &amp;
TEXT(MINUTE((V225+W225)-(B225+C225)), "00")</f>
        <v>1:02:35</v>
      </c>
      <c r="AE225" s="1" t="n">
        <f aca="false">IFERROR(
LEFT(AD225,FIND(":",AD225)-1)
+ MID(AD225,FIND(":",AD225)+1,2)/24
+ RIGHT(AD225,2)/1440,
"")</f>
        <v>1.10763888888889</v>
      </c>
      <c r="AF225" s="4" t="str">
        <f aca="false">INT((X225+Y225)-(B225+C225)) &amp; ":" &amp;
TEXT(HOUR((X225+Y225)-(B225+C225)), "00") &amp; ":" &amp;
TEXT(MINUTE((X225+Y225)-(B225+C225)), "00")</f>
        <v>1:02:59</v>
      </c>
      <c r="AG225" s="4" t="str">
        <f aca="false" t="array" ref="AG225:AG225">INT(_xlfn.XLOOKUP(J225,{"Low","Medium","High","Urgent"},{48,24,12,8})/24) &amp; ":" &amp;
TEXT(MOD(_xlfn.XLOOKUP(J225,{"Low","Medium","High","Urgent"},{48,24,12,8}),24)/24,"hh:mm")</f>
        <v>1:00:00</v>
      </c>
      <c r="AH225" s="4" t="str">
        <f aca="false">IF(AD225&gt;AG225,"Not Met","Met")</f>
        <v>Not Met</v>
      </c>
      <c r="AI225" s="4" t="e">
        <f aca="false">IF(AB225&lt;TIME(0,30,0),"Met","Not Met")</f>
        <v>#REF!</v>
      </c>
      <c r="AN225" s="1" t="str">
        <f aca="false">TEXT(B225,"dd")</f>
        <v>12</v>
      </c>
      <c r="AO225" s="1" t="str">
        <f aca="false">TEXT(X225,"dd")</f>
        <v>13</v>
      </c>
      <c r="AP225" s="16" t="str">
        <f aca="false">INT(
  NETWORKDAYS(B225,V225)-1
  + IF(WEEKDAY(V225,2)&lt;6,MOD(V225+W225,1),0)
  - IF(WEEKDAY(B225,2)&lt;6,MOD(B225+C225,1),0)
)
&amp; ":" &amp;
TEXT(HOUR(
  NETWORKDAYS(B225,V225)-1
  + IF(WEEKDAY(V225,2)&lt;6,MOD(V225+W225,1),0)
  - IF(WEEKDAY(B225,2)&lt;6,MOD(B225+C225,1),0)
),"00")
&amp; ":" &amp;
TEXT(MINUTE(
  NETWORKDAYS(B225,V225)-1
  + IF(WEEKDAY(V225,2)&lt;6,MOD(V225+W225,1),0)
  - IF(WEEKDAY(B225,2)&lt;6,MOD(B225+C225,1),0)
),"00")</f>
        <v>1:02:35</v>
      </c>
      <c r="AQ225" s="0" t="n">
        <f aca="false">IFERROR(
LEFT(AP225,FIND(":",AP225)-1)
+ MID(AP225,FIND(":",AP225)+1,2)/24
+ RIGHT(AP225,2)/1440,
"")</f>
        <v>1.10763888888889</v>
      </c>
      <c r="AR225" s="0" t="n">
        <f aca="false">WEEKNUM(B225,1)</f>
        <v>11</v>
      </c>
      <c r="AS225" s="17" t="n">
        <f aca="false">IF(B225&gt;0, (B225+C225)-TIME(13,30,0), "")</f>
        <v>46093.2805555556</v>
      </c>
      <c r="AT225" s="18" t="n">
        <f aca="false">IF(B225&gt;0, (B225+C225)-TIME(13,30,0), "")</f>
        <v>46093.2805555556</v>
      </c>
      <c r="AU225" s="17" t="n">
        <f aca="false">IF(V225&gt;0, (V225+W225)-TIME(13,30,0), "")</f>
        <v>46094.3881944444</v>
      </c>
      <c r="AV225" s="18" t="n">
        <f aca="false">IF(V225&gt;0, (V225+W225)-TIME(13,30,0), "")</f>
        <v>46094.3881944444</v>
      </c>
      <c r="AW225" s="19" t="n">
        <f aca="false">24*(
MAX(0,
IF(NETWORKDAYS(AS225,AU225)=1,
MIN(MOD(AV225,1),TIME(17,30,0)) - MAX(MOD(AT225,1),TIME(8,30,0)),
(TIME(17,30,0)-MAX(MOD(AT225,1),TIME(8,30,0)))
+ (MIN(MOD(AV225,1),TIME(17,30,0))-TIME(8,30,0))
+ (NETWORKDAYS(AS225,AU225)-2)*9/24
)
)
)</f>
        <v>9.81666666666667</v>
      </c>
      <c r="AX225" s="19" t="n">
        <f aca="false">24*(
MAX(0,
IF(NETWORKDAYS(AS225,AU225)=1,
MIN(MOD(AV225,1),TIME(17,30,0)) - MAX(MOD(AT225,1),TIME(8,30,0)),
(TIME(17,30,0)-MAX(MOD(AT225,1),TIME(8,30,0)))
+ (MIN(MOD(AV225,1),TIME(17,30,0))-TIME(8,30,0))
+ (NETWORKDAYS(AS225,AU225)-2)* (TIME(17,30,0)-TIME(8,30,0))
)
)
)</f>
        <v>9.81666666666667</v>
      </c>
      <c r="AY225" s="20" t="n">
        <f aca="false">ROUND(
IF(AS225=AU225,
MAX(0,
(MIN(MOD(AV225,1),TIME(17,30,0))-
MAX(MOD(AT225,1),TIME(8,30,0)))*24
),
(
(MAX(0,TIME(17,30,0)-MAX(MOD(AT225,1),TIME(8,30,0)))*24)
+
(MAX(0,MIN(MOD(AV225,1),TIME(17,30,0))-TIME(8,30,0))*24)
+
(MAX(0,NETWORKDAYS(AS225+1,AU225-1))*9)
)
),
2)</f>
        <v>9.82</v>
      </c>
      <c r="AZ225" s="0" t="n">
        <f aca="false" t="array" ref="AZ225:AZ225">_xlfn.XLOOKUP(J225,{"Low","Medium","High"},{270,72,24})</f>
        <v>72</v>
      </c>
      <c r="BA225" s="0" t="str">
        <f aca="false">IF(AW225&gt;AZ225,"Not Met","Met")</f>
        <v>Met</v>
      </c>
      <c r="BB225" s="21" t="str">
        <f aca="false">IF(AS225="","",TEXT(AS225,"MMM")&amp;"'"&amp;TEXT(AS225,"yy"))</f>
        <v>Mar'26</v>
      </c>
      <c r="BC225" s="0" t="str">
        <f aca="false">IF(AU225="","",TEXT(AU225,"MMM")&amp;"'"&amp;TEXT(AU225,"yy"))</f>
        <v>Mar'26</v>
      </c>
    </row>
    <row r="226" customFormat="false" ht="15" hidden="false" customHeight="false" outlineLevel="0" collapsed="false">
      <c r="A226" s="23" t="s">
        <v>817</v>
      </c>
      <c r="B226" s="11" t="n">
        <v>46093</v>
      </c>
      <c r="C226" s="12" t="n">
        <v>0.857638888888889</v>
      </c>
      <c r="D226" s="13" t="str">
        <f aca="false">IF(B226="","",TEXT(B226,"MMM")&amp;"'"&amp;TEXT(B226,"yy"))</f>
        <v>Mar'26</v>
      </c>
      <c r="E226" s="1" t="s">
        <v>55</v>
      </c>
      <c r="F226" s="1" t="s">
        <v>39</v>
      </c>
      <c r="G226" s="1" t="str">
        <f aca="false">IF(F226="Closed","Closed","Pending")</f>
        <v>Closed</v>
      </c>
      <c r="H226" s="1" t="s">
        <v>72</v>
      </c>
      <c r="I226" s="1" t="s">
        <v>327</v>
      </c>
      <c r="J226" s="1" t="s">
        <v>74</v>
      </c>
      <c r="K226" s="1" t="s">
        <v>59</v>
      </c>
      <c r="L226" s="1" t="s">
        <v>818</v>
      </c>
      <c r="M226" s="35" t="s">
        <v>819</v>
      </c>
      <c r="N226" s="1" t="s">
        <v>62</v>
      </c>
      <c r="O226" s="1" t="s">
        <v>63</v>
      </c>
      <c r="Q226" s="1" t="s">
        <v>229</v>
      </c>
      <c r="R226" s="1" t="s">
        <v>87</v>
      </c>
      <c r="U226" s="12" t="n">
        <v>0.878472222222222</v>
      </c>
      <c r="V226" s="11" t="n">
        <v>46097</v>
      </c>
      <c r="W226" s="12" t="n">
        <v>0.919444444444444</v>
      </c>
      <c r="X226" s="11" t="n">
        <v>46105</v>
      </c>
      <c r="Y226" s="12" t="n">
        <v>0.995833333333333</v>
      </c>
      <c r="Z226" s="1" t="s">
        <v>108</v>
      </c>
      <c r="AA226" s="1" t="s">
        <v>68</v>
      </c>
      <c r="AB226" s="2" t="e">
        <f aca="false">U226-#REF!</f>
        <v>#REF!</v>
      </c>
      <c r="AC226" s="14" t="n">
        <f aca="false">(V226+W226)-(B226+C226)</f>
        <v>4.06180555555556</v>
      </c>
      <c r="AD226" s="4" t="str">
        <f aca="false">INT((V226+W226)-(B226+C226)) &amp; ":" &amp;
TEXT(HOUR((V226+W226)-(B226+C226)), "00") &amp; ":" &amp;
TEXT(MINUTE((V226+W226)-(B226+C226)), "00")</f>
        <v>4:01:29</v>
      </c>
      <c r="AE226" s="1" t="n">
        <f aca="false">IFERROR(
LEFT(AD226,FIND(":",AD226)-1)
+ MID(AD226,FIND(":",AD226)+1,2)/24
+ RIGHT(AD226,2)/1440,
"")</f>
        <v>4.06180555555556</v>
      </c>
      <c r="AF226" s="4" t="str">
        <f aca="false">INT((X226+Y226)-(B226+C226)) &amp; ":" &amp;
TEXT(HOUR((X226+Y226)-(B226+C226)), "00") &amp; ":" &amp;
TEXT(MINUTE((X226+Y226)-(B226+C226)), "00")</f>
        <v>12:03:19</v>
      </c>
      <c r="AG226" s="4" t="str">
        <f aca="false" t="array" ref="AG226:AG226">INT(_xlfn.XLOOKUP(J226,{"Low","Medium","High","Urgent"},{48,24,12,8})/24) &amp; ":" &amp;
TEXT(MOD(_xlfn.XLOOKUP(J226,{"Low","Medium","High","Urgent"},{48,24,12,8}),24)/24,"hh:mm")</f>
        <v>2:00:00</v>
      </c>
      <c r="AH226" s="4" t="str">
        <f aca="false">IF(AD226&gt;AG226,"Not Met","Met")</f>
        <v>Not Met</v>
      </c>
      <c r="AI226" s="4" t="e">
        <f aca="false">IF(AB226&lt;TIME(0,30,0),"Met","Not Met")</f>
        <v>#REF!</v>
      </c>
      <c r="AN226" s="1" t="str">
        <f aca="false">TEXT(B226,"dd")</f>
        <v>12</v>
      </c>
      <c r="AO226" s="1" t="str">
        <f aca="false">TEXT(X226,"dd")</f>
        <v>24</v>
      </c>
      <c r="AP226" s="16" t="str">
        <f aca="false">INT(
  NETWORKDAYS(B226,V226)-1
  + IF(WEEKDAY(V226,2)&lt;6,MOD(V226+W226,1),0)
  - IF(WEEKDAY(B226,2)&lt;6,MOD(B226+C226,1),0)
)
&amp; ":" &amp;
TEXT(HOUR(
  NETWORKDAYS(B226,V226)-1
  + IF(WEEKDAY(V226,2)&lt;6,MOD(V226+W226,1),0)
  - IF(WEEKDAY(B226,2)&lt;6,MOD(B226+C226,1),0)
),"00")
&amp; ":" &amp;
TEXT(MINUTE(
  NETWORKDAYS(B226,V226)-1
  + IF(WEEKDAY(V226,2)&lt;6,MOD(V226+W226,1),0)
  - IF(WEEKDAY(B226,2)&lt;6,MOD(B226+C226,1),0)
),"00")</f>
        <v>2:01:28</v>
      </c>
      <c r="AQ226" s="0" t="n">
        <f aca="false">IFERROR(
LEFT(AP226,FIND(":",AP226)-1)
+ MID(AP226,FIND(":",AP226)+1,2)/24
+ RIGHT(AP226,2)/1440,
"")</f>
        <v>2.06111111111111</v>
      </c>
      <c r="AR226" s="0" t="n">
        <f aca="false">WEEKNUM(B226,1)</f>
        <v>11</v>
      </c>
      <c r="AS226" s="17" t="n">
        <f aca="false">IF(B226&gt;0, (B226+C226)-TIME(13,30,0), "")</f>
        <v>46093.2951388889</v>
      </c>
      <c r="AT226" s="18" t="n">
        <f aca="false">IF(B226&gt;0, (B226+C226)-TIME(13,30,0), "")</f>
        <v>46093.2951388889</v>
      </c>
      <c r="AU226" s="17" t="n">
        <f aca="false">IF(V226&gt;0, (V226+W226)-TIME(13,30,0), "")</f>
        <v>46097.3569444444</v>
      </c>
      <c r="AV226" s="18" t="n">
        <f aca="false">IF(V226&gt;0, (V226+W226)-TIME(13,30,0), "")</f>
        <v>46097.3569444444</v>
      </c>
      <c r="AW226" s="19" t="n">
        <f aca="false">24*(
MAX(0,
IF(NETWORKDAYS(AS226,AU226)=1,
MIN(MOD(AV226,1),TIME(17,30,0)) - MAX(MOD(AT226,1),TIME(8,30,0)),
(TIME(17,30,0)-MAX(MOD(AT226,1),TIME(8,30,0)))
+ (MIN(MOD(AV226,1),TIME(17,30,0))-TIME(8,30,0))
+ (NETWORKDAYS(AS226,AU226)-2)*9/24
)
)
)</f>
        <v>18.0666666666667</v>
      </c>
      <c r="AX226" s="19" t="n">
        <f aca="false">24*(
MAX(0,
IF(NETWORKDAYS(AS226,AU226)=1,
MIN(MOD(AV226,1),TIME(17,30,0)) - MAX(MOD(AT226,1),TIME(8,30,0)),
(TIME(17,30,0)-MAX(MOD(AT226,1),TIME(8,30,0)))
+ (MIN(MOD(AV226,1),TIME(17,30,0))-TIME(8,30,0))
+ (NETWORKDAYS(AS226,AU226)-2)* (TIME(17,30,0)-TIME(8,30,0))
)
)
)</f>
        <v>18.0666666666667</v>
      </c>
      <c r="AY226" s="20" t="n">
        <f aca="false">ROUND(
IF(AS226=AU226,
MAX(0,
(MIN(MOD(AV226,1),TIME(17,30,0))-
MAX(MOD(AT226,1),TIME(8,30,0)))*24
),
(
(MAX(0,TIME(17,30,0)-MAX(MOD(AT226,1),TIME(8,30,0)))*24)
+
(MAX(0,MIN(MOD(AV226,1),TIME(17,30,0))-TIME(8,30,0))*24)
+
(MAX(0,NETWORKDAYS(AS226+1,AU226-1))*9)
)
),
2)</f>
        <v>18.07</v>
      </c>
      <c r="AZ226" s="0" t="n">
        <f aca="false" t="array" ref="AZ226:AZ226">_xlfn.XLOOKUP(J226,{"Low","Medium","High"},{270,72,24})</f>
        <v>270</v>
      </c>
      <c r="BA226" s="0" t="str">
        <f aca="false">IF(AW226&gt;AZ226,"Not Met","Met")</f>
        <v>Met</v>
      </c>
      <c r="BB226" s="21" t="str">
        <f aca="false">IF(AS226="","",TEXT(AS226,"MMM")&amp;"'"&amp;TEXT(AS226,"yy"))</f>
        <v>Mar'26</v>
      </c>
      <c r="BC226" s="0" t="str">
        <f aca="false">IF(AU226="","",TEXT(AU226,"MMM")&amp;"'"&amp;TEXT(AU226,"yy"))</f>
        <v>Mar'26</v>
      </c>
    </row>
    <row r="227" customFormat="false" ht="15" hidden="false" customHeight="false" outlineLevel="0" collapsed="false">
      <c r="A227" s="23" t="s">
        <v>820</v>
      </c>
      <c r="B227" s="11" t="n">
        <v>46093</v>
      </c>
      <c r="C227" s="12" t="n">
        <v>0.866666666666667</v>
      </c>
      <c r="D227" s="13" t="str">
        <f aca="false">IF(B227="","",TEXT(B227,"MMM")&amp;"'"&amp;TEXT(B227,"yy"))</f>
        <v>Mar'26</v>
      </c>
      <c r="E227" s="1" t="s">
        <v>55</v>
      </c>
      <c r="F227" s="1" t="s">
        <v>39</v>
      </c>
      <c r="G227" s="1" t="str">
        <f aca="false">IF(F227="Closed","Closed","Pending")</f>
        <v>Closed</v>
      </c>
      <c r="H227" s="1" t="s">
        <v>157</v>
      </c>
      <c r="I227" s="1" t="s">
        <v>663</v>
      </c>
      <c r="J227" s="1" t="s">
        <v>74</v>
      </c>
      <c r="K227" s="1" t="s">
        <v>59</v>
      </c>
      <c r="L227" s="1" t="s">
        <v>821</v>
      </c>
      <c r="M227" s="35" t="s">
        <v>822</v>
      </c>
      <c r="N227" s="1" t="s">
        <v>65</v>
      </c>
      <c r="O227" s="1" t="s">
        <v>106</v>
      </c>
      <c r="Q227" s="1" t="s">
        <v>65</v>
      </c>
      <c r="R227" s="1" t="s">
        <v>87</v>
      </c>
      <c r="U227" s="12" t="n">
        <v>0.875694444444444</v>
      </c>
      <c r="V227" s="11" t="n">
        <v>46097</v>
      </c>
      <c r="W227" s="12" t="n">
        <v>0.922222222222222</v>
      </c>
      <c r="X227" s="11" t="n">
        <v>46098</v>
      </c>
      <c r="Y227" s="12" t="n">
        <v>0.879861111111111</v>
      </c>
      <c r="Z227" s="1" t="s">
        <v>108</v>
      </c>
      <c r="AA227" s="1" t="s">
        <v>68</v>
      </c>
      <c r="AB227" s="2" t="e">
        <f aca="false">U227-#REF!</f>
        <v>#REF!</v>
      </c>
      <c r="AC227" s="14" t="n">
        <f aca="false">(V227+W227)-(B227+C227)</f>
        <v>4.05555555555556</v>
      </c>
      <c r="AD227" s="4" t="str">
        <f aca="false">INT((V227+W227)-(B227+C227)) &amp; ":" &amp;
TEXT(HOUR((V227+W227)-(B227+C227)), "00") &amp; ":" &amp;
TEXT(MINUTE((V227+W227)-(B227+C227)), "00")</f>
        <v>4:01:20</v>
      </c>
      <c r="AE227" s="1" t="n">
        <f aca="false">IFERROR(
LEFT(AD227,FIND(":",AD227)-1)
+ MID(AD227,FIND(":",AD227)+1,2)/24
+ RIGHT(AD227,2)/1440,
"")</f>
        <v>4.05555555555556</v>
      </c>
      <c r="AF227" s="4" t="str">
        <f aca="false">INT((X227+Y227)-(B227+C227)) &amp; ":" &amp;
TEXT(HOUR((X227+Y227)-(B227+C227)), "00") &amp; ":" &amp;
TEXT(MINUTE((X227+Y227)-(B227+C227)), "00")</f>
        <v>5:00:19</v>
      </c>
      <c r="AG227" s="4" t="str">
        <f aca="false" t="array" ref="AG227:AG227">INT(_xlfn.XLOOKUP(J227,{"Low","Medium","High","Urgent"},{48,24,12,8})/24) &amp; ":" &amp;
TEXT(MOD(_xlfn.XLOOKUP(J227,{"Low","Medium","High","Urgent"},{48,24,12,8}),24)/24,"hh:mm")</f>
        <v>2:00:00</v>
      </c>
      <c r="AH227" s="4" t="str">
        <f aca="false">IF(AD227&gt;AG227,"Not Met","Met")</f>
        <v>Not Met</v>
      </c>
      <c r="AI227" s="4" t="e">
        <f aca="false">IF(AB227&lt;TIME(0,30,0),"Met","Not Met")</f>
        <v>#REF!</v>
      </c>
      <c r="AN227" s="1" t="str">
        <f aca="false">TEXT(B227,"dd")</f>
        <v>12</v>
      </c>
      <c r="AO227" s="1" t="str">
        <f aca="false">TEXT(X227,"dd")</f>
        <v>17</v>
      </c>
      <c r="AP227" s="16" t="str">
        <f aca="false">INT(
  NETWORKDAYS(B227,V227)-1
  + IF(WEEKDAY(V227,2)&lt;6,MOD(V227+W227,1),0)
  - IF(WEEKDAY(B227,2)&lt;6,MOD(B227+C227,1),0)
)
&amp; ":" &amp;
TEXT(HOUR(
  NETWORKDAYS(B227,V227)-1
  + IF(WEEKDAY(V227,2)&lt;6,MOD(V227+W227,1),0)
  - IF(WEEKDAY(B227,2)&lt;6,MOD(B227+C227,1),0)
),"00")
&amp; ":" &amp;
TEXT(MINUTE(
  NETWORKDAYS(B227,V227)-1
  + IF(WEEKDAY(V227,2)&lt;6,MOD(V227+W227,1),0)
  - IF(WEEKDAY(B227,2)&lt;6,MOD(B227+C227,1),0)
),"00")</f>
        <v>2:01:19</v>
      </c>
      <c r="AQ227" s="0" t="n">
        <f aca="false">IFERROR(
LEFT(AP227,FIND(":",AP227)-1)
+ MID(AP227,FIND(":",AP227)+1,2)/24
+ RIGHT(AP227,2)/1440,
"")</f>
        <v>2.05486111111111</v>
      </c>
      <c r="AR227" s="0" t="n">
        <f aca="false">WEEKNUM(B227,1)</f>
        <v>11</v>
      </c>
      <c r="AS227" s="17" t="n">
        <f aca="false">IF(B227&gt;0, (B227+C227)-TIME(13,30,0), "")</f>
        <v>46093.3041666667</v>
      </c>
      <c r="AT227" s="18" t="n">
        <f aca="false">IF(B227&gt;0, (B227+C227)-TIME(13,30,0), "")</f>
        <v>46093.3041666667</v>
      </c>
      <c r="AU227" s="17" t="n">
        <f aca="false">IF(V227&gt;0, (V227+W227)-TIME(13,30,0), "")</f>
        <v>46097.3597222222</v>
      </c>
      <c r="AV227" s="18" t="n">
        <f aca="false">IF(V227&gt;0, (V227+W227)-TIME(13,30,0), "")</f>
        <v>46097.3597222222</v>
      </c>
      <c r="AW227" s="19" t="n">
        <f aca="false">24*(
MAX(0,
IF(NETWORKDAYS(AS227,AU227)=1,
MIN(MOD(AV227,1),TIME(17,30,0)) - MAX(MOD(AT227,1),TIME(8,30,0)),
(TIME(17,30,0)-MAX(MOD(AT227,1),TIME(8,30,0)))
+ (MIN(MOD(AV227,1),TIME(17,30,0))-TIME(8,30,0))
+ (NETWORKDAYS(AS227,AU227)-2)*9/24
)
)
)</f>
        <v>18.1333333333333</v>
      </c>
      <c r="AX227" s="19" t="n">
        <f aca="false">24*(
MAX(0,
IF(NETWORKDAYS(AS227,AU227)=1,
MIN(MOD(AV227,1),TIME(17,30,0)) - MAX(MOD(AT227,1),TIME(8,30,0)),
(TIME(17,30,0)-MAX(MOD(AT227,1),TIME(8,30,0)))
+ (MIN(MOD(AV227,1),TIME(17,30,0))-TIME(8,30,0))
+ (NETWORKDAYS(AS227,AU227)-2)* (TIME(17,30,0)-TIME(8,30,0))
)
)
)</f>
        <v>18.1333333333333</v>
      </c>
      <c r="AY227" s="20" t="n">
        <f aca="false">ROUND(
IF(AS227=AU227,
MAX(0,
(MIN(MOD(AV227,1),TIME(17,30,0))-
MAX(MOD(AT227,1),TIME(8,30,0)))*24
),
(
(MAX(0,TIME(17,30,0)-MAX(MOD(AT227,1),TIME(8,30,0)))*24)
+
(MAX(0,MIN(MOD(AV227,1),TIME(17,30,0))-TIME(8,30,0))*24)
+
(MAX(0,NETWORKDAYS(AS227+1,AU227-1))*9)
)
),
2)</f>
        <v>18.13</v>
      </c>
      <c r="AZ227" s="0" t="n">
        <f aca="false" t="array" ref="AZ227:AZ227">_xlfn.XLOOKUP(J227,{"Low","Medium","High"},{270,72,24})</f>
        <v>270</v>
      </c>
      <c r="BA227" s="0" t="str">
        <f aca="false">IF(AW227&gt;AZ227,"Not Met","Met")</f>
        <v>Met</v>
      </c>
      <c r="BB227" s="21" t="str">
        <f aca="false">IF(AS227="","",TEXT(AS227,"MMM")&amp;"'"&amp;TEXT(AS227,"yy"))</f>
        <v>Mar'26</v>
      </c>
      <c r="BC227" s="0" t="str">
        <f aca="false">IF(AU227="","",TEXT(AU227,"MMM")&amp;"'"&amp;TEXT(AU227,"yy"))</f>
        <v>Mar'26</v>
      </c>
    </row>
    <row r="228" customFormat="false" ht="15" hidden="false" customHeight="false" outlineLevel="0" collapsed="false">
      <c r="A228" s="23" t="s">
        <v>823</v>
      </c>
      <c r="B228" s="11" t="n">
        <v>46093</v>
      </c>
      <c r="C228" s="12" t="n">
        <v>0.968055555555556</v>
      </c>
      <c r="D228" s="13" t="str">
        <f aca="false">IF(B228="","",TEXT(B228,"MMM")&amp;"'"&amp;TEXT(B228,"yy"))</f>
        <v>Mar'26</v>
      </c>
      <c r="E228" s="1" t="s">
        <v>55</v>
      </c>
      <c r="F228" s="1" t="s">
        <v>39</v>
      </c>
      <c r="G228" s="1" t="str">
        <f aca="false">IF(F228="Closed","Closed","Pending")</f>
        <v>Closed</v>
      </c>
      <c r="H228" s="1" t="s">
        <v>56</v>
      </c>
      <c r="I228" s="1" t="s">
        <v>82</v>
      </c>
      <c r="J228" s="1" t="s">
        <v>74</v>
      </c>
      <c r="K228" s="1" t="s">
        <v>59</v>
      </c>
      <c r="L228" s="1" t="s">
        <v>824</v>
      </c>
      <c r="M228" s="35" t="s">
        <v>825</v>
      </c>
      <c r="N228" s="1" t="s">
        <v>62</v>
      </c>
      <c r="O228" s="1" t="s">
        <v>63</v>
      </c>
      <c r="Q228" s="1" t="s">
        <v>229</v>
      </c>
      <c r="R228" s="1" t="s">
        <v>87</v>
      </c>
      <c r="U228" s="25" t="n">
        <v>46094.0034722222</v>
      </c>
      <c r="V228" s="11" t="n">
        <v>46097</v>
      </c>
      <c r="W228" s="12" t="n">
        <v>0.944444444444444</v>
      </c>
      <c r="X228" s="11" t="n">
        <v>46097</v>
      </c>
      <c r="Y228" s="12" t="n">
        <v>0.983333333333333</v>
      </c>
      <c r="Z228" s="1" t="s">
        <v>108</v>
      </c>
      <c r="AA228" s="1" t="s">
        <v>68</v>
      </c>
      <c r="AB228" s="2" t="n">
        <v>0.0354166666666667</v>
      </c>
      <c r="AC228" s="14" t="n">
        <f aca="false">(V228+W228)-(B228+C228)</f>
        <v>3.97638888888889</v>
      </c>
      <c r="AD228" s="4" t="str">
        <f aca="false">INT((V228+W228)-(B228+C228)) &amp; ":" &amp;
TEXT(HOUR((V228+W228)-(B228+C228)), "00") &amp; ":" &amp;
TEXT(MINUTE((V228+W228)-(B228+C228)), "00")</f>
        <v>3:23:26</v>
      </c>
      <c r="AE228" s="1" t="n">
        <f aca="false">IFERROR(
LEFT(AD228,FIND(":",AD228)-1)
+ MID(AD228,FIND(":",AD228)+1,2)/24
+ RIGHT(AD228,2)/1440,
"")</f>
        <v>3.97638888888889</v>
      </c>
      <c r="AF228" s="4" t="str">
        <f aca="false">INT((X228+Y228)-(B228+C228)) &amp; ":" &amp;
TEXT(HOUR((X228+Y228)-(B228+C228)), "00") &amp; ":" &amp;
TEXT(MINUTE((X228+Y228)-(B228+C228)), "00")</f>
        <v>4:00:22</v>
      </c>
      <c r="AG228" s="4" t="str">
        <f aca="false" t="array" ref="AG228:AG228">INT(_xlfn.XLOOKUP(J228,{"Low","Medium","High","Urgent"},{48,24,12,8})/24) &amp; ":" &amp;
TEXT(MOD(_xlfn.XLOOKUP(J228,{"Low","Medium","High","Urgent"},{48,24,12,8}),24)/24,"hh:mm")</f>
        <v>2:00:00</v>
      </c>
      <c r="AH228" s="4" t="str">
        <f aca="false">IF(AD228&gt;AG228,"Not Met","Met")</f>
        <v>Not Met</v>
      </c>
      <c r="AI228" s="4" t="str">
        <f aca="false">IF(AB228&lt;TIME(0,30,0),"Met","Not Met")</f>
        <v>Not Met</v>
      </c>
      <c r="AN228" s="1" t="str">
        <f aca="false">TEXT(B228,"dd")</f>
        <v>12</v>
      </c>
      <c r="AO228" s="1" t="str">
        <f aca="false">TEXT(X228,"dd")</f>
        <v>16</v>
      </c>
      <c r="AP228" s="16" t="str">
        <f aca="false">INT(
  NETWORKDAYS(B228,V228)-1
  + IF(WEEKDAY(V228,2)&lt;6,MOD(V228+W228,1),0)
  - IF(WEEKDAY(B228,2)&lt;6,MOD(B228+C228,1),0)
)
&amp; ":" &amp;
TEXT(HOUR(
  NETWORKDAYS(B228,V228)-1
  + IF(WEEKDAY(V228,2)&lt;6,MOD(V228+W228,1),0)
  - IF(WEEKDAY(B228,2)&lt;6,MOD(B228+C228,1),0)
),"00")
&amp; ":" &amp;
TEXT(MINUTE(
  NETWORKDAYS(B228,V228)-1
  + IF(WEEKDAY(V228,2)&lt;6,MOD(V228+W228,1),0)
  - IF(WEEKDAY(B228,2)&lt;6,MOD(B228+C228,1),0)
),"00")</f>
        <v>1:23:26</v>
      </c>
      <c r="AQ228" s="0" t="n">
        <f aca="false">IFERROR(
LEFT(AP228,FIND(":",AP228)-1)
+ MID(AP228,FIND(":",AP228)+1,2)/24
+ RIGHT(AP228,2)/1440,
"")</f>
        <v>1.97638888888889</v>
      </c>
      <c r="AR228" s="0" t="n">
        <f aca="false">WEEKNUM(B228,1)</f>
        <v>11</v>
      </c>
      <c r="AS228" s="17" t="n">
        <f aca="false">IF(B228&gt;0, (B228+C228)-TIME(13,30,0), "")</f>
        <v>46093.4055555556</v>
      </c>
      <c r="AT228" s="18" t="n">
        <f aca="false">IF(B228&gt;0, (B228+C228)-TIME(13,30,0), "")</f>
        <v>46093.4055555556</v>
      </c>
      <c r="AU228" s="17" t="n">
        <f aca="false">IF(V228&gt;0, (V228+W228)-TIME(13,30,0), "")</f>
        <v>46097.3819444444</v>
      </c>
      <c r="AV228" s="18" t="n">
        <f aca="false">IF(V228&gt;0, (V228+W228)-TIME(13,30,0), "")</f>
        <v>46097.3819444444</v>
      </c>
      <c r="AW228" s="19" t="n">
        <f aca="false">24*(
MAX(0,
IF(NETWORKDAYS(AS228,AU228)=1,
MIN(MOD(AV228,1),TIME(17,30,0)) - MAX(MOD(AT228,1),TIME(8,30,0)),
(TIME(17,30,0)-MAX(MOD(AT228,1),TIME(8,30,0)))
+ (MIN(MOD(AV228,1),TIME(17,30,0))-TIME(8,30,0))
+ (NETWORKDAYS(AS228,AU228)-2)*9/24
)
)
)</f>
        <v>17.4333333333333</v>
      </c>
      <c r="AX228" s="19" t="n">
        <f aca="false">24*(
MAX(0,
IF(NETWORKDAYS(AS228,AU228)=1,
MIN(MOD(AV228,1),TIME(17,30,0)) - MAX(MOD(AT228,1),TIME(8,30,0)),
(TIME(17,30,0)-MAX(MOD(AT228,1),TIME(8,30,0)))
+ (MIN(MOD(AV228,1),TIME(17,30,0))-TIME(8,30,0))
+ (NETWORKDAYS(AS228,AU228)-2)* (TIME(17,30,0)-TIME(8,30,0))
)
)
)</f>
        <v>17.4333333333333</v>
      </c>
      <c r="AY228" s="20" t="n">
        <f aca="false">ROUND(
IF(AS228=AU228,
MAX(0,
(MIN(MOD(AV228,1),TIME(17,30,0))-
MAX(MOD(AT228,1),TIME(8,30,0)))*24
),
(
(MAX(0,TIME(17,30,0)-MAX(MOD(AT228,1),TIME(8,30,0)))*24)
+
(MAX(0,MIN(MOD(AV228,1),TIME(17,30,0))-TIME(8,30,0))*24)
+
(MAX(0,NETWORKDAYS(AS228+1,AU228-1))*9)
)
),
2)</f>
        <v>17.43</v>
      </c>
      <c r="AZ228" s="0" t="n">
        <f aca="false" t="array" ref="AZ228:AZ228">_xlfn.XLOOKUP(J228,{"Low","Medium","High"},{270,72,24})</f>
        <v>270</v>
      </c>
      <c r="BA228" s="0" t="str">
        <f aca="false">IF(AW228&gt;AZ228,"Not Met","Met")</f>
        <v>Met</v>
      </c>
      <c r="BB228" s="21" t="str">
        <f aca="false">IF(AS228="","",TEXT(AS228,"MMM")&amp;"'"&amp;TEXT(AS228,"yy"))</f>
        <v>Mar'26</v>
      </c>
      <c r="BC228" s="0" t="str">
        <f aca="false">IF(AU228="","",TEXT(AU228,"MMM")&amp;"'"&amp;TEXT(AU228,"yy"))</f>
        <v>Mar'26</v>
      </c>
    </row>
    <row r="229" customFormat="false" ht="15" hidden="false" customHeight="false" outlineLevel="0" collapsed="false">
      <c r="A229" s="23" t="s">
        <v>826</v>
      </c>
      <c r="B229" s="11" t="n">
        <v>46093</v>
      </c>
      <c r="C229" s="12" t="n">
        <v>0.988888888888889</v>
      </c>
      <c r="D229" s="13" t="str">
        <f aca="false">IF(B229="","",TEXT(B229,"MMM")&amp;"'"&amp;TEXT(B229,"yy"))</f>
        <v>Mar'26</v>
      </c>
      <c r="E229" s="1" t="s">
        <v>55</v>
      </c>
      <c r="F229" s="1" t="s">
        <v>39</v>
      </c>
      <c r="G229" s="1" t="str">
        <f aca="false">IF(F229="Closed","Closed","Pending")</f>
        <v>Closed</v>
      </c>
      <c r="H229" s="1" t="s">
        <v>157</v>
      </c>
      <c r="I229" s="1" t="s">
        <v>270</v>
      </c>
      <c r="J229" s="1" t="s">
        <v>74</v>
      </c>
      <c r="K229" s="1" t="s">
        <v>59</v>
      </c>
      <c r="L229" s="66" t="s">
        <v>827</v>
      </c>
      <c r="M229" s="35" t="s">
        <v>828</v>
      </c>
      <c r="N229" s="1" t="s">
        <v>62</v>
      </c>
      <c r="O229" s="1" t="s">
        <v>106</v>
      </c>
      <c r="Q229" s="1" t="s">
        <v>229</v>
      </c>
      <c r="R229" s="1" t="s">
        <v>490</v>
      </c>
      <c r="U229" s="25" t="n">
        <v>46094.0166666667</v>
      </c>
      <c r="V229" s="11" t="n">
        <v>46122</v>
      </c>
      <c r="W229" s="12" t="n">
        <v>0.7875</v>
      </c>
      <c r="X229" s="11" t="n">
        <v>46128</v>
      </c>
      <c r="Y229" s="12" t="n">
        <v>0.943055555555556</v>
      </c>
      <c r="Z229" s="1" t="s">
        <v>108</v>
      </c>
      <c r="AA229" s="1" t="s">
        <v>68</v>
      </c>
      <c r="AB229" s="2" t="n">
        <v>0.0277777777777778</v>
      </c>
      <c r="AC229" s="14" t="n">
        <f aca="false">(V229+W229)-(B229+C229)</f>
        <v>28.7986111111111</v>
      </c>
      <c r="AD229" s="4" t="str">
        <f aca="false">INT((V229+W229)-(B229+C229)) &amp; ":" &amp;
TEXT(HOUR((V229+W229)-(B229+C229)), "00") &amp; ":" &amp;
TEXT(MINUTE((V229+W229)-(B229+C229)), "00")</f>
        <v>28:19:10</v>
      </c>
      <c r="AE229" s="1" t="n">
        <f aca="false">IFERROR(
LEFT(AD229,FIND(":",AD229)-1)
+ MID(AD229,FIND(":",AD229)+1,2)/24
+ RIGHT(AD229,2)/1440,
"")</f>
        <v>28.7986111111111</v>
      </c>
      <c r="AF229" s="4" t="str">
        <f aca="false">INT((X229+Y229)-(B229+C229)) &amp; ":" &amp;
TEXT(HOUR((X229+Y229)-(B229+C229)), "00") &amp; ":" &amp;
TEXT(MINUTE((X229+Y229)-(B229+C229)), "00")</f>
        <v>34:22:54</v>
      </c>
      <c r="AG229" s="4" t="str">
        <f aca="false" t="array" ref="AG229:AG229">INT(_xlfn.XLOOKUP(J229,{"Low","Medium","High","Urgent"},{48,24,12,8})/24) &amp; ":" &amp;
TEXT(MOD(_xlfn.XLOOKUP(J229,{"Low","Medium","High","Urgent"},{48,24,12,8}),24)/24,"hh:mm")</f>
        <v>2:00:00</v>
      </c>
      <c r="AH229" s="4" t="str">
        <f aca="false">IF(AD229&gt;AG229,"Not Met","Met")</f>
        <v>Not Met</v>
      </c>
      <c r="AI229" s="4" t="str">
        <f aca="false">IF(AB229&lt;TIME(0,30,0),"Met","Not Met")</f>
        <v>Not Met</v>
      </c>
      <c r="AN229" s="1" t="str">
        <f aca="false">TEXT(B229,"dd")</f>
        <v>12</v>
      </c>
      <c r="AO229" s="1" t="str">
        <f aca="false">TEXT(X229,"dd")</f>
        <v>16</v>
      </c>
      <c r="AP229" s="16" t="str">
        <f aca="false">INT(
  NETWORKDAYS(B229,V229)-1
  + IF(WEEKDAY(V229,2)&lt;6,MOD(V229+W229,1),0)
  - IF(WEEKDAY(B229,2)&lt;6,MOD(B229+C229,1),0)
)
&amp; ":" &amp;
TEXT(HOUR(
  NETWORKDAYS(B229,V229)-1
  + IF(WEEKDAY(V229,2)&lt;6,MOD(V229+W229,1),0)
  - IF(WEEKDAY(B229,2)&lt;6,MOD(B229+C229,1),0)
),"00")
&amp; ":" &amp;
TEXT(MINUTE(
  NETWORKDAYS(B229,V229)-1
  + IF(WEEKDAY(V229,2)&lt;6,MOD(V229+W229,1),0)
  - IF(WEEKDAY(B229,2)&lt;6,MOD(B229+C229,1),0)
),"00")</f>
        <v>20:19:09</v>
      </c>
      <c r="AQ229" s="0" t="n">
        <f aca="false">IFERROR(
LEFT(AP229,FIND(":",AP229)-1)
+ MID(AP229,FIND(":",AP229)+1,2)/24
+ RIGHT(AP229,2)/1440,
"")</f>
        <v>20.7979166666667</v>
      </c>
      <c r="AR229" s="0" t="n">
        <f aca="false">WEEKNUM(B229,1)</f>
        <v>11</v>
      </c>
      <c r="AS229" s="17" t="n">
        <f aca="false">IF(B229&gt;0, (B229+C229)-TIME(13,30,0), "")</f>
        <v>46093.4263888889</v>
      </c>
      <c r="AT229" s="18" t="n">
        <f aca="false">IF(B229&gt;0, (B229+C229)-TIME(13,30,0), "")</f>
        <v>46093.4263888889</v>
      </c>
      <c r="AU229" s="17" t="n">
        <f aca="false">IF(V229&gt;0, (V229+W229)-TIME(13,30,0), "")</f>
        <v>46122.225</v>
      </c>
      <c r="AV229" s="18" t="n">
        <f aca="false">IF(V229&gt;0, (V229+W229)-TIME(13,30,0), "")</f>
        <v>46122.225</v>
      </c>
      <c r="AW229" s="19" t="n">
        <f aca="false">24*(
MAX(0,
IF(NETWORKDAYS(AS229,AU229)=1,
MIN(MOD(AV229,1),TIME(17,30,0)) - MAX(MOD(AT229,1),TIME(8,30,0)),
(TIME(17,30,0)-MAX(MOD(AT229,1),TIME(8,30,0)))
+ (MIN(MOD(AV229,1),TIME(17,30,0))-TIME(8,30,0))
+ (NETWORKDAYS(AS229,AU229)-2)*9/24
)
)
)</f>
        <v>184.166666666667</v>
      </c>
      <c r="AX229" s="19" t="n">
        <f aca="false">24*(
MAX(0,
IF(NETWORKDAYS(AS229,AU229)=1,
MIN(MOD(AV229,1),TIME(17,30,0)) - MAX(MOD(AT229,1),TIME(8,30,0)),
(TIME(17,30,0)-MAX(MOD(AT229,1),TIME(8,30,0)))
+ (MIN(MOD(AV229,1),TIME(17,30,0))-TIME(8,30,0))
+ (NETWORKDAYS(AS229,AU229)-2)* (TIME(17,30,0)-TIME(8,30,0))
)
)
)</f>
        <v>184.166666666667</v>
      </c>
      <c r="AY229" s="20" t="n">
        <f aca="false">ROUND(
IF(AS229=AU229,
MAX(0,
(MIN(MOD(AV229,1),TIME(17,30,0))-
MAX(MOD(AT229,1),TIME(8,30,0)))*24
),
(
(MAX(0,TIME(17,30,0)-MAX(MOD(AT229,1),TIME(8,30,0)))*24)
+
(MAX(0,MIN(MOD(AV229,1),TIME(17,30,0))-TIME(8,30,0))*24)
+
(MAX(0,NETWORKDAYS(AS229+1,AU229-1))*9)
)
),
2)</f>
        <v>187.27</v>
      </c>
      <c r="AZ229" s="0" t="n">
        <f aca="false" t="array" ref="AZ229:AZ229">_xlfn.XLOOKUP(J229,{"Low","Medium","High"},{270,72,24})</f>
        <v>270</v>
      </c>
      <c r="BA229" s="0" t="str">
        <f aca="false">IF(AW229&gt;AZ229,"Not Met","Met")</f>
        <v>Met</v>
      </c>
      <c r="BB229" s="21" t="str">
        <f aca="false">IF(AS229="","",TEXT(AS229,"MMM")&amp;"'"&amp;TEXT(AS229,"yy"))</f>
        <v>Mar'26</v>
      </c>
      <c r="BC229" s="0" t="str">
        <f aca="false">IF(AU229="","",TEXT(AU229,"MMM")&amp;"'"&amp;TEXT(AU229,"yy"))</f>
        <v>Apr'26</v>
      </c>
    </row>
    <row r="230" customFormat="false" ht="15" hidden="false" customHeight="false" outlineLevel="0" collapsed="false">
      <c r="A230" s="23" t="s">
        <v>829</v>
      </c>
      <c r="B230" s="11" t="n">
        <v>46094</v>
      </c>
      <c r="C230" s="12" t="n">
        <v>0.0291666666666667</v>
      </c>
      <c r="D230" s="13" t="str">
        <f aca="false">IF(B230="","",TEXT(B230,"MMM")&amp;"'"&amp;TEXT(B230,"yy"))</f>
        <v>Mar'26</v>
      </c>
      <c r="E230" s="1" t="s">
        <v>55</v>
      </c>
      <c r="F230" s="1" t="s">
        <v>39</v>
      </c>
      <c r="G230" s="1" t="str">
        <f aca="false">IF(F230="Closed","Closed","Pending")</f>
        <v>Closed</v>
      </c>
      <c r="H230" s="1" t="s">
        <v>157</v>
      </c>
      <c r="I230" s="1" t="s">
        <v>436</v>
      </c>
      <c r="J230" s="1" t="s">
        <v>74</v>
      </c>
      <c r="K230" s="1" t="s">
        <v>59</v>
      </c>
      <c r="L230" s="1" t="s">
        <v>830</v>
      </c>
      <c r="M230" s="35" t="s">
        <v>831</v>
      </c>
      <c r="N230" s="1" t="s">
        <v>65</v>
      </c>
      <c r="O230" s="1" t="s">
        <v>106</v>
      </c>
      <c r="Q230" s="1" t="s">
        <v>65</v>
      </c>
      <c r="R230" s="1" t="s">
        <v>66</v>
      </c>
      <c r="U230" s="12" t="n">
        <v>0.03125</v>
      </c>
      <c r="V230" s="11" t="n">
        <v>46097</v>
      </c>
      <c r="W230" s="12" t="n">
        <v>0.945833333333333</v>
      </c>
      <c r="X230" s="11" t="n">
        <v>46106</v>
      </c>
      <c r="Y230" s="12" t="n">
        <v>0.0444444444444444</v>
      </c>
      <c r="Z230" s="1" t="s">
        <v>108</v>
      </c>
      <c r="AA230" s="1" t="s">
        <v>68</v>
      </c>
      <c r="AB230" s="2" t="e">
        <f aca="false">U230-#REF!</f>
        <v>#REF!</v>
      </c>
      <c r="AC230" s="14" t="n">
        <f aca="false">(V230+W230)-(B230+C230)</f>
        <v>3.91666666666667</v>
      </c>
      <c r="AD230" s="4" t="str">
        <f aca="false">INT((V230+W230)-(B230+C230)) &amp; ":" &amp;
TEXT(HOUR((V230+W230)-(B230+C230)), "00") &amp; ":" &amp;
TEXT(MINUTE((V230+W230)-(B230+C230)), "00")</f>
        <v>3:22:00</v>
      </c>
      <c r="AE230" s="1" t="n">
        <f aca="false">IFERROR(
LEFT(AD230,FIND(":",AD230)-1)
+ MID(AD230,FIND(":",AD230)+1,2)/24
+ RIGHT(AD230,2)/1440,
"")</f>
        <v>3.91666666666667</v>
      </c>
      <c r="AF230" s="4" t="str">
        <f aca="false">INT((X230+Y230)-(B230+C230)) &amp; ":" &amp;
TEXT(HOUR((X230+Y230)-(B230+C230)), "00") &amp; ":" &amp;
TEXT(MINUTE((X230+Y230)-(B230+C230)), "00")</f>
        <v>12:00:22</v>
      </c>
      <c r="AG230" s="4" t="str">
        <f aca="false" t="array" ref="AG230:AG230">INT(_xlfn.XLOOKUP(J230,{"Low","Medium","High","Urgent"},{48,24,12,8})/24) &amp; ":" &amp;
TEXT(MOD(_xlfn.XLOOKUP(J230,{"Low","Medium","High","Urgent"},{48,24,12,8}),24)/24,"hh:mm")</f>
        <v>2:00:00</v>
      </c>
      <c r="AH230" s="4" t="str">
        <f aca="false">IF(AD230&gt;AG230,"Not Met","Met")</f>
        <v>Not Met</v>
      </c>
      <c r="AI230" s="4" t="e">
        <f aca="false">IF(AB230&lt;TIME(0,30,0),"Met","Not Met")</f>
        <v>#REF!</v>
      </c>
      <c r="AN230" s="1" t="str">
        <f aca="false">TEXT(B230,"dd")</f>
        <v>13</v>
      </c>
      <c r="AO230" s="1" t="str">
        <f aca="false">TEXT(X230,"dd")</f>
        <v>25</v>
      </c>
      <c r="AP230" s="16" t="str">
        <f aca="false">INT(
  NETWORKDAYS(B230,V230)-1
  + IF(WEEKDAY(V230,2)&lt;6,MOD(V230+W230,1),0)
  - IF(WEEKDAY(B230,2)&lt;6,MOD(B230+C230,1),0)
)
&amp; ":" &amp;
TEXT(HOUR(
  NETWORKDAYS(B230,V230)-1
  + IF(WEEKDAY(V230,2)&lt;6,MOD(V230+W230,1),0)
  - IF(WEEKDAY(B230,2)&lt;6,MOD(B230+C230,1),0)
),"00")
&amp; ":" &amp;
TEXT(MINUTE(
  NETWORKDAYS(B230,V230)-1
  + IF(WEEKDAY(V230,2)&lt;6,MOD(V230+W230,1),0)
  - IF(WEEKDAY(B230,2)&lt;6,MOD(B230+C230,1),0)
),"00")</f>
        <v>1:21:59</v>
      </c>
      <c r="AQ230" s="0" t="n">
        <f aca="false">IFERROR(
LEFT(AP230,FIND(":",AP230)-1)
+ MID(AP230,FIND(":",AP230)+1,2)/24
+ RIGHT(AP230,2)/1440,
"")</f>
        <v>1.91597222222222</v>
      </c>
      <c r="AR230" s="0" t="n">
        <f aca="false">WEEKNUM(B230,1)</f>
        <v>11</v>
      </c>
      <c r="AS230" s="17" t="n">
        <f aca="false">IF(B230&gt;0, (B230+C230)-TIME(13,30,0), "")</f>
        <v>46093.4666666667</v>
      </c>
      <c r="AT230" s="18" t="n">
        <f aca="false">IF(B230&gt;0, (B230+C230)-TIME(13,30,0), "")</f>
        <v>46093.4666666667</v>
      </c>
      <c r="AU230" s="17" t="n">
        <f aca="false">IF(V230&gt;0, (V230+W230)-TIME(13,30,0), "")</f>
        <v>46097.3833333333</v>
      </c>
      <c r="AV230" s="18" t="n">
        <f aca="false">IF(V230&gt;0, (V230+W230)-TIME(13,30,0), "")</f>
        <v>46097.3833333333</v>
      </c>
      <c r="AW230" s="19" t="n">
        <f aca="false">24*(
MAX(0,
IF(NETWORKDAYS(AS230,AU230)=1,
MIN(MOD(AV230,1),TIME(17,30,0)) - MAX(MOD(AT230,1),TIME(8,30,0)),
(TIME(17,30,0)-MAX(MOD(AT230,1),TIME(8,30,0)))
+ (MIN(MOD(AV230,1),TIME(17,30,0))-TIME(8,30,0))
+ (NETWORKDAYS(AS230,AU230)-2)*9/24
)
)
)</f>
        <v>16</v>
      </c>
      <c r="AX230" s="19" t="n">
        <f aca="false">24*(
MAX(0,
IF(NETWORKDAYS(AS230,AU230)=1,
MIN(MOD(AV230,1),TIME(17,30,0)) - MAX(MOD(AT230,1),TIME(8,30,0)),
(TIME(17,30,0)-MAX(MOD(AT230,1),TIME(8,30,0)))
+ (MIN(MOD(AV230,1),TIME(17,30,0))-TIME(8,30,0))
+ (NETWORKDAYS(AS230,AU230)-2)* (TIME(17,30,0)-TIME(8,30,0))
)
)
)</f>
        <v>16</v>
      </c>
      <c r="AY230" s="20" t="n">
        <f aca="false">ROUND(
IF(AS230=AU230,
MAX(0,
(MIN(MOD(AV230,1),TIME(17,30,0))-
MAX(MOD(AT230,1),TIME(8,30,0)))*24
),
(
(MAX(0,TIME(17,30,0)-MAX(MOD(AT230,1),TIME(8,30,0)))*24)
+
(MAX(0,MIN(MOD(AV230,1),TIME(17,30,0))-TIME(8,30,0))*24)
+
(MAX(0,NETWORKDAYS(AS230+1,AU230-1))*9)
)
),
2)</f>
        <v>16</v>
      </c>
      <c r="AZ230" s="0" t="n">
        <f aca="false" t="array" ref="AZ230:AZ230">_xlfn.XLOOKUP(J230,{"Low","Medium","High"},{270,72,24})</f>
        <v>270</v>
      </c>
      <c r="BA230" s="0" t="str">
        <f aca="false">IF(AW230&gt;AZ230,"Not Met","Met")</f>
        <v>Met</v>
      </c>
      <c r="BB230" s="21" t="str">
        <f aca="false">IF(AS230="","",TEXT(AS230,"MMM")&amp;"'"&amp;TEXT(AS230,"yy"))</f>
        <v>Mar'26</v>
      </c>
      <c r="BC230" s="0" t="str">
        <f aca="false">IF(AU230="","",TEXT(AU230,"MMM")&amp;"'"&amp;TEXT(AU230,"yy"))</f>
        <v>Mar'26</v>
      </c>
    </row>
    <row r="231" customFormat="false" ht="15" hidden="false" customHeight="false" outlineLevel="0" collapsed="false">
      <c r="A231" s="23" t="s">
        <v>832</v>
      </c>
      <c r="B231" s="11" t="n">
        <v>46094</v>
      </c>
      <c r="C231" s="12" t="n">
        <v>0.0743055555555556</v>
      </c>
      <c r="D231" s="13" t="str">
        <f aca="false">IF(B231="","",TEXT(B231,"MMM")&amp;"'"&amp;TEXT(B231,"yy"))</f>
        <v>Mar'26</v>
      </c>
      <c r="E231" s="1" t="s">
        <v>55</v>
      </c>
      <c r="F231" s="26" t="s">
        <v>39</v>
      </c>
      <c r="G231" s="33" t="str">
        <f aca="false">IF(F231="Closed","Closed","Pending")</f>
        <v>Closed</v>
      </c>
      <c r="H231" s="26" t="s">
        <v>72</v>
      </c>
      <c r="I231" s="26" t="s">
        <v>501</v>
      </c>
      <c r="J231" s="26" t="s">
        <v>58</v>
      </c>
      <c r="K231" s="26" t="s">
        <v>59</v>
      </c>
      <c r="L231" s="26" t="s">
        <v>833</v>
      </c>
      <c r="M231" s="35" t="s">
        <v>834</v>
      </c>
      <c r="N231" s="1" t="s">
        <v>62</v>
      </c>
      <c r="O231" s="1" t="s">
        <v>77</v>
      </c>
      <c r="Q231" s="1" t="s">
        <v>86</v>
      </c>
      <c r="R231" s="1" t="s">
        <v>87</v>
      </c>
      <c r="U231" s="12" t="n">
        <v>0.0763888888888889</v>
      </c>
      <c r="V231" s="11" t="n">
        <v>46094</v>
      </c>
      <c r="W231" s="12" t="n">
        <v>0.857638888888889</v>
      </c>
      <c r="X231" s="11" t="n">
        <v>46097</v>
      </c>
      <c r="Y231" s="12" t="n">
        <v>0.986111111111111</v>
      </c>
      <c r="Z231" s="1" t="s">
        <v>108</v>
      </c>
      <c r="AA231" s="1" t="s">
        <v>68</v>
      </c>
      <c r="AB231" s="2" t="e">
        <f aca="false">U231-#REF!</f>
        <v>#REF!</v>
      </c>
      <c r="AC231" s="14" t="n">
        <f aca="false">(V231+W231)-(B231+C231)</f>
        <v>0.783333333333333</v>
      </c>
      <c r="AD231" s="4" t="str">
        <f aca="false">INT((V231+W231)-(B231+C231)) &amp; ":" &amp;
TEXT(HOUR((V231+W231)-(B231+C231)), "00") &amp; ":" &amp;
TEXT(MINUTE((V231+W231)-(B231+C231)), "00")</f>
        <v>0:18:48</v>
      </c>
      <c r="AE231" s="1" t="n">
        <f aca="false">IFERROR(
LEFT(AD231,FIND(":",AD231)-1)
+ MID(AD231,FIND(":",AD231)+1,2)/24
+ RIGHT(AD231,2)/1440,
"")</f>
        <v>0.783333333333333</v>
      </c>
      <c r="AF231" s="4" t="str">
        <f aca="false">INT((X231+Y231)-(B231+C231)) &amp; ":" &amp;
TEXT(HOUR((X231+Y231)-(B231+C231)), "00") &amp; ":" &amp;
TEXT(MINUTE((X231+Y231)-(B231+C231)), "00")</f>
        <v>3:21:53</v>
      </c>
      <c r="AG231" s="4" t="str">
        <f aca="false" t="array" ref="AG231:AG231">INT(_xlfn.XLOOKUP(J231,{"Low","Medium","High","Urgent"},{48,24,12,8})/24) &amp; ":" &amp;
TEXT(MOD(_xlfn.XLOOKUP(J231,{"Low","Medium","High","Urgent"},{48,24,12,8}),24)/24,"hh:mm")</f>
        <v>1:00:00</v>
      </c>
      <c r="AH231" s="4" t="str">
        <f aca="false">IF(AD231&gt;AG231,"Not Met","Met")</f>
        <v>Met</v>
      </c>
      <c r="AI231" s="4" t="e">
        <f aca="false">IF(AB231&lt;TIME(0,30,0),"Met","Not Met")</f>
        <v>#REF!</v>
      </c>
      <c r="AN231" s="1" t="str">
        <f aca="false">TEXT(B231,"dd")</f>
        <v>13</v>
      </c>
      <c r="AO231" s="1" t="str">
        <f aca="false">TEXT(X231,"dd")</f>
        <v>16</v>
      </c>
      <c r="AP231" s="16" t="str">
        <f aca="false">INT(
  NETWORKDAYS(B231,V231)-1
  + IF(WEEKDAY(V231,2)&lt;6,MOD(V231+W231,1),0)
  - IF(WEEKDAY(B231,2)&lt;6,MOD(B231+C231,1),0)
)
&amp; ":" &amp;
TEXT(HOUR(
  NETWORKDAYS(B231,V231)-1
  + IF(WEEKDAY(V231,2)&lt;6,MOD(V231+W231,1),0)
  - IF(WEEKDAY(B231,2)&lt;6,MOD(B231+C231,1),0)
),"00")
&amp; ":" &amp;
TEXT(MINUTE(
  NETWORKDAYS(B231,V231)-1
  + IF(WEEKDAY(V231,2)&lt;6,MOD(V231+W231,1),0)
  - IF(WEEKDAY(B231,2)&lt;6,MOD(B231+C231,1),0)
),"00")</f>
        <v>0:18:47</v>
      </c>
      <c r="AQ231" s="0" t="n">
        <f aca="false">IFERROR(
LEFT(AP231,FIND(":",AP231)-1)
+ MID(AP231,FIND(":",AP231)+1,2)/24
+ RIGHT(AP231,2)/1440,
"")</f>
        <v>0.782638888888889</v>
      </c>
      <c r="AR231" s="0" t="n">
        <f aca="false">WEEKNUM(B231,1)</f>
        <v>11</v>
      </c>
      <c r="AS231" s="17" t="n">
        <f aca="false">IF(B231&gt;0, (B231+C231)-TIME(13,30,0), "")</f>
        <v>46093.5118055556</v>
      </c>
      <c r="AT231" s="18" t="n">
        <f aca="false">IF(B231&gt;0, (B231+C231)-TIME(13,30,0), "")</f>
        <v>46093.5118055556</v>
      </c>
      <c r="AU231" s="17" t="n">
        <f aca="false">IF(V231&gt;0, (V231+W231)-TIME(13,30,0), "")</f>
        <v>46094.2951388889</v>
      </c>
      <c r="AV231" s="18" t="n">
        <f aca="false">IF(V231&gt;0, (V231+W231)-TIME(13,30,0), "")</f>
        <v>46094.2951388889</v>
      </c>
      <c r="AW231" s="19" t="n">
        <f aca="false">24*(
MAX(0,
IF(NETWORKDAYS(AS231,AU231)=1,
MIN(MOD(AV231,1),TIME(17,30,0)) - MAX(MOD(AT231,1),TIME(8,30,0)),
(TIME(17,30,0)-MAX(MOD(AT231,1),TIME(8,30,0)))
+ (MIN(MOD(AV231,1),TIME(17,30,0))-TIME(8,30,0))
+ (NETWORKDAYS(AS231,AU231)-2)*9/24
)
)
)</f>
        <v>3.8</v>
      </c>
      <c r="AX231" s="19" t="n">
        <f aca="false">24*(
MAX(0,
IF(NETWORKDAYS(AS231,AU231)=1,
MIN(MOD(AV231,1),TIME(17,30,0)) - MAX(MOD(AT231,1),TIME(8,30,0)),
(TIME(17,30,0)-MAX(MOD(AT231,1),TIME(8,30,0)))
+ (MIN(MOD(AV231,1),TIME(17,30,0))-TIME(8,30,0))
+ (NETWORKDAYS(AS231,AU231)-2)* (TIME(17,30,0)-TIME(8,30,0))
)
)
)</f>
        <v>3.8</v>
      </c>
      <c r="AY231" s="20" t="n">
        <f aca="false">ROUND(
IF(AS231=AU231,
MAX(0,
(MIN(MOD(AV231,1),TIME(17,30,0))-
MAX(MOD(AT231,1),TIME(8,30,0)))*24
),
(
(MAX(0,TIME(17,30,0)-MAX(MOD(AT231,1),TIME(8,30,0)))*24)
+
(MAX(0,MIN(MOD(AV231,1),TIME(17,30,0))-TIME(8,30,0))*24)
+
(MAX(0,NETWORKDAYS(AS231+1,AU231-1))*9)
)
),
2)</f>
        <v>5.22</v>
      </c>
      <c r="AZ231" s="0" t="n">
        <f aca="false" t="array" ref="AZ231:AZ231">_xlfn.XLOOKUP(J231,{"Low","Medium","High"},{270,72,24})</f>
        <v>72</v>
      </c>
      <c r="BA231" s="0" t="str">
        <f aca="false">IF(AW231&gt;AZ231,"Not Met","Met")</f>
        <v>Met</v>
      </c>
      <c r="BB231" s="21" t="str">
        <f aca="false">IF(AS231="","",TEXT(AS231,"MMM")&amp;"'"&amp;TEXT(AS231,"yy"))</f>
        <v>Mar'26</v>
      </c>
      <c r="BC231" s="0" t="str">
        <f aca="false">IF(AU231="","",TEXT(AU231,"MMM")&amp;"'"&amp;TEXT(AU231,"yy"))</f>
        <v>Mar'26</v>
      </c>
    </row>
    <row r="232" customFormat="false" ht="15" hidden="false" customHeight="false" outlineLevel="0" collapsed="false">
      <c r="A232" s="1" t="s">
        <v>835</v>
      </c>
      <c r="B232" s="11" t="n">
        <v>46094</v>
      </c>
      <c r="C232" s="12" t="n">
        <v>0.999305555555556</v>
      </c>
      <c r="D232" s="13" t="str">
        <f aca="false">IF(B232="","",TEXT(B232,"MMM")&amp;"'"&amp;TEXT(B232,"yy"))</f>
        <v>Mar'26</v>
      </c>
      <c r="E232" s="27" t="s">
        <v>55</v>
      </c>
      <c r="F232" s="23" t="s">
        <v>39</v>
      </c>
      <c r="G232" s="28" t="str">
        <f aca="false">IF(F232="Closed","Closed","Pending")</f>
        <v>Closed</v>
      </c>
      <c r="H232" s="1" t="s">
        <v>72</v>
      </c>
      <c r="I232" s="1" t="s">
        <v>836</v>
      </c>
      <c r="J232" s="1" t="s">
        <v>74</v>
      </c>
      <c r="K232" s="1" t="s">
        <v>59</v>
      </c>
      <c r="L232" s="1" t="s">
        <v>837</v>
      </c>
      <c r="M232" s="35" t="s">
        <v>838</v>
      </c>
      <c r="N232" s="1" t="s">
        <v>62</v>
      </c>
      <c r="O232" s="1" t="s">
        <v>63</v>
      </c>
      <c r="Q232" s="1" t="s">
        <v>229</v>
      </c>
      <c r="R232" s="1" t="s">
        <v>66</v>
      </c>
      <c r="U232" s="25" t="n">
        <v>46095.0076388889</v>
      </c>
      <c r="V232" s="11" t="n">
        <v>46162</v>
      </c>
      <c r="W232" s="12" t="n">
        <v>0.965972222222222</v>
      </c>
      <c r="X232" s="11" t="n">
        <v>46179</v>
      </c>
      <c r="Y232" s="12" t="n">
        <v>0.00625</v>
      </c>
      <c r="Z232" s="1" t="s">
        <v>67</v>
      </c>
      <c r="AA232" s="1" t="s">
        <v>68</v>
      </c>
      <c r="AB232" s="2" t="n">
        <v>0.00833333333333333</v>
      </c>
      <c r="AC232" s="14" t="n">
        <f aca="false">(V232+W232)-(B232+C232)</f>
        <v>67.9666666666667</v>
      </c>
      <c r="AD232" s="4" t="str">
        <f aca="false">INT((V232+W232)-(B232+C232)) &amp; ":" &amp;
TEXT(HOUR((V232+W232)-(B232+C232)), "00") &amp; ":" &amp;
TEXT(MINUTE((V232+W232)-(B232+C232)), "00")</f>
        <v>67:23:12</v>
      </c>
      <c r="AE232" s="1" t="n">
        <f aca="false">IFERROR(
LEFT(AD232,FIND(":",AD232)-1)
+ MID(AD232,FIND(":",AD232)+1,2)/24
+ RIGHT(AD232,2)/1440,
"")</f>
        <v>67.9666666666667</v>
      </c>
      <c r="AF232" s="4" t="str">
        <f aca="false">INT((X232+Y232)-(B232+C232)) &amp; ":" &amp;
TEXT(HOUR((X232+Y232)-(B232+C232)), "00") &amp; ":" &amp;
TEXT(MINUTE((X232+Y232)-(B232+C232)), "00")</f>
        <v>84:00:10</v>
      </c>
      <c r="AG232" s="4" t="str">
        <f aca="false" t="array" ref="AG232:AG232">INT(_xlfn.XLOOKUP(J232,{"Low","Medium","High","Urgent"},{48,24,12,8})/24) &amp; ":" &amp;
TEXT(MOD(_xlfn.XLOOKUP(J232,{"Low","Medium","High","Urgent"},{48,24,12,8}),24)/24,"hh:mm")</f>
        <v>2:00:00</v>
      </c>
      <c r="AH232" s="4" t="str">
        <f aca="false">IF(AD232&gt;AG232,"Not Met","Met")</f>
        <v>Not Met</v>
      </c>
      <c r="AI232" s="4" t="str">
        <f aca="false">IF(AB232&lt;TIME(0,30,0),"Met","Not Met")</f>
        <v>Met</v>
      </c>
      <c r="AN232" s="1" t="str">
        <f aca="false">TEXT(B232,"dd")</f>
        <v>13</v>
      </c>
      <c r="AO232" s="1" t="str">
        <f aca="false">TEXT(X232,"dd")</f>
        <v>06</v>
      </c>
      <c r="AP232" s="16" t="str">
        <f aca="false">INT(
  NETWORKDAYS(B232,V232)-1
  + IF(WEEKDAY(V232,2)&lt;6,MOD(V232+W232,1),0)
  - IF(WEEKDAY(B232,2)&lt;6,MOD(B232+C232,1),0)
)
&amp; ":" &amp;
TEXT(HOUR(
  NETWORKDAYS(B232,V232)-1
  + IF(WEEKDAY(V232,2)&lt;6,MOD(V232+W232,1),0)
  - IF(WEEKDAY(B232,2)&lt;6,MOD(B232+C232,1),0)
),"00")
&amp; ":" &amp;
TEXT(MINUTE(
  NETWORKDAYS(B232,V232)-1
  + IF(WEEKDAY(V232,2)&lt;6,MOD(V232+W232,1),0)
  - IF(WEEKDAY(B232,2)&lt;6,MOD(B232+C232,1),0)
),"00")</f>
        <v>47:23:12</v>
      </c>
      <c r="AQ232" s="0" t="n">
        <f aca="false">IFERROR(
LEFT(AP232,FIND(":",AP232)-1)
+ MID(AP232,FIND(":",AP232)+1,2)/24
+ RIGHT(AP232,2)/1440,
"")</f>
        <v>47.9666666666667</v>
      </c>
      <c r="AR232" s="0" t="n">
        <f aca="false">WEEKNUM(B232,1)</f>
        <v>11</v>
      </c>
      <c r="AS232" s="17" t="n">
        <f aca="false">IF(B232&gt;0, (B232+C232)-TIME(13,30,0), "")</f>
        <v>46094.4368055556</v>
      </c>
      <c r="AT232" s="18" t="n">
        <f aca="false">IF(B232&gt;0, (B232+C232)-TIME(13,30,0), "")</f>
        <v>46094.4368055556</v>
      </c>
      <c r="AU232" s="17" t="n">
        <f aca="false">IF(V232&gt;0, (V232+W232)-TIME(13,30,0), "")</f>
        <v>46162.4034722222</v>
      </c>
      <c r="AV232" s="18" t="n">
        <f aca="false">IF(V232&gt;0, (V232+W232)-TIME(13,30,0), "")</f>
        <v>46162.4034722222</v>
      </c>
      <c r="AW232" s="19" t="n">
        <f aca="false">24*(
MAX(0,
IF(NETWORKDAYS(AS232,AU232)=1,
MIN(MOD(AV232,1),TIME(17,30,0)) - MAX(MOD(AT232,1),TIME(8,30,0)),
(TIME(17,30,0)-MAX(MOD(AT232,1),TIME(8,30,0)))
+ (MIN(MOD(AV232,1),TIME(17,30,0))-TIME(8,30,0))
+ (NETWORKDAYS(AS232,AU232)-2)*9/24
)
)
)</f>
        <v>431.2</v>
      </c>
      <c r="AX232" s="19" t="n">
        <f aca="false">24*(
MAX(0,
IF(NETWORKDAYS(AS232,AU232)=1,
MIN(MOD(AV232,1),TIME(17,30,0)) - MAX(MOD(AT232,1),TIME(8,30,0)),
(TIME(17,30,0)-MAX(MOD(AT232,1),TIME(8,30,0)))
+ (MIN(MOD(AV232,1),TIME(17,30,0))-TIME(8,30,0))
+ (NETWORKDAYS(AS232,AU232)-2)* (TIME(17,30,0)-TIME(8,30,0))
)
)
)</f>
        <v>431.2</v>
      </c>
      <c r="AY232" s="20" t="n">
        <f aca="false">ROUND(
IF(AS232=AU232,
MAX(0,
(MIN(MOD(AV232,1),TIME(17,30,0))-
MAX(MOD(AT232,1),TIME(8,30,0)))*24
),
(
(MAX(0,TIME(17,30,0)-MAX(MOD(AT232,1),TIME(8,30,0)))*24)
+
(MAX(0,MIN(MOD(AV232,1),TIME(17,30,0))-TIME(8,30,0))*24)
+
(MAX(0,NETWORKDAYS(AS232+1,AU232-1))*9)
)
),
2)</f>
        <v>431.2</v>
      </c>
      <c r="AZ232" s="0" t="n">
        <f aca="false" t="array" ref="AZ232:AZ232">_xlfn.XLOOKUP(J232,{"Low","Medium","High"},{270,72,24})</f>
        <v>270</v>
      </c>
      <c r="BA232" s="0" t="str">
        <f aca="false">IF(AW232&gt;AZ232,"Not Met","Met")</f>
        <v>Not Met</v>
      </c>
      <c r="BB232" s="21" t="str">
        <f aca="false">IF(AS232="","",TEXT(AS232,"MMM")&amp;"'"&amp;TEXT(AS232,"yy"))</f>
        <v>Mar'26</v>
      </c>
      <c r="BC232" s="0" t="str">
        <f aca="false">IF(AU232="","",TEXT(AU232,"MMM")&amp;"'"&amp;TEXT(AU232,"yy"))</f>
        <v>May'26</v>
      </c>
      <c r="BE232" s="0" t="s">
        <v>144</v>
      </c>
    </row>
    <row r="233" customFormat="false" ht="15" hidden="false" customHeight="false" outlineLevel="0" collapsed="false">
      <c r="A233" s="1" t="s">
        <v>839</v>
      </c>
      <c r="B233" s="11" t="n">
        <v>46097</v>
      </c>
      <c r="C233" s="12" t="n">
        <v>0.665972222222222</v>
      </c>
      <c r="D233" s="13" t="str">
        <f aca="false">IF(B233="","",TEXT(B233,"MMM")&amp;"'"&amp;TEXT(B233,"yy"))</f>
        <v>Mar'26</v>
      </c>
      <c r="E233" s="27" t="s">
        <v>55</v>
      </c>
      <c r="F233" s="29" t="s">
        <v>39</v>
      </c>
      <c r="G233" s="1" t="str">
        <f aca="false">IF(F233="Closed","Closed","Pending")</f>
        <v>Closed</v>
      </c>
      <c r="H233" s="1" t="s">
        <v>185</v>
      </c>
      <c r="I233" s="1" t="s">
        <v>223</v>
      </c>
      <c r="J233" s="1" t="s">
        <v>74</v>
      </c>
      <c r="K233" s="1" t="s">
        <v>59</v>
      </c>
      <c r="L233" s="1" t="s">
        <v>840</v>
      </c>
      <c r="M233" s="35" t="s">
        <v>841</v>
      </c>
      <c r="N233" s="1" t="s">
        <v>62</v>
      </c>
      <c r="O233" s="1" t="s">
        <v>63</v>
      </c>
      <c r="Q233" s="1" t="s">
        <v>229</v>
      </c>
      <c r="R233" s="1" t="s">
        <v>66</v>
      </c>
      <c r="U233" s="12" t="n">
        <v>0.952777777777778</v>
      </c>
      <c r="V233" s="11" t="n">
        <v>46097</v>
      </c>
      <c r="W233" s="12" t="n">
        <v>0.952777777777778</v>
      </c>
      <c r="X233" s="11" t="n">
        <v>46098</v>
      </c>
      <c r="Y233" s="12" t="n">
        <v>0.0243055555555556</v>
      </c>
      <c r="Z233" s="1" t="s">
        <v>108</v>
      </c>
      <c r="AB233" s="2" t="e">
        <f aca="false">U233-#REF!</f>
        <v>#REF!</v>
      </c>
      <c r="AC233" s="14" t="n">
        <f aca="false">(V233+W233)-(B233+C233)</f>
        <v>0.286805555555556</v>
      </c>
      <c r="AD233" s="4" t="str">
        <f aca="false">INT((V233+W233)-(B233+C233)) &amp; ":" &amp;
TEXT(HOUR((V233+W233)-(B233+C233)), "00") &amp; ":" &amp;
TEXT(MINUTE((V233+W233)-(B233+C233)), "00")</f>
        <v>0:06:53</v>
      </c>
      <c r="AE233" s="1" t="n">
        <f aca="false">IFERROR(
LEFT(AD233,FIND(":",AD233)-1)
+ MID(AD233,FIND(":",AD233)+1,2)/24
+ RIGHT(AD233,2)/1440,
"")</f>
        <v>0.286805555555556</v>
      </c>
      <c r="AF233" s="4" t="str">
        <f aca="false">INT((X233+Y233)-(B233+C233)) &amp; ":" &amp;
TEXT(HOUR((X233+Y233)-(B233+C233)), "00") &amp; ":" &amp;
TEXT(MINUTE((X233+Y233)-(B233+C233)), "00")</f>
        <v>0:08:36</v>
      </c>
      <c r="AG233" s="4" t="str">
        <f aca="false" t="array" ref="AG233:AG233">INT(_xlfn.XLOOKUP(J233,{"Low","Medium","High","Urgent"},{48,24,12,8})/24) &amp; ":" &amp;
TEXT(MOD(_xlfn.XLOOKUP(J233,{"Low","Medium","High","Urgent"},{48,24,12,8}),24)/24,"hh:mm")</f>
        <v>2:00:00</v>
      </c>
      <c r="AH233" s="4" t="str">
        <f aca="false">IF(AD233&gt;AG233,"Not Met","Met")</f>
        <v>Met</v>
      </c>
      <c r="AI233" s="4" t="e">
        <f aca="false">IF(AB233&lt;TIME(0,30,0),"Met","Not Met")</f>
        <v>#REF!</v>
      </c>
      <c r="AN233" s="1" t="str">
        <f aca="false">TEXT(B233,"dd")</f>
        <v>16</v>
      </c>
      <c r="AO233" s="1" t="str">
        <f aca="false">TEXT(X233,"dd")</f>
        <v>17</v>
      </c>
      <c r="AP233" s="16" t="str">
        <f aca="false">INT(
  NETWORKDAYS(B233,V233)-1
  + IF(WEEKDAY(V233,2)&lt;6,MOD(V233+W233,1),0)
  - IF(WEEKDAY(B233,2)&lt;6,MOD(B233+C233,1),0)
)
&amp; ":" &amp;
TEXT(HOUR(
  NETWORKDAYS(B233,V233)-1
  + IF(WEEKDAY(V233,2)&lt;6,MOD(V233+W233,1),0)
  - IF(WEEKDAY(B233,2)&lt;6,MOD(B233+C233,1),0)
),"00")
&amp; ":" &amp;
TEXT(MINUTE(
  NETWORKDAYS(B233,V233)-1
  + IF(WEEKDAY(V233,2)&lt;6,MOD(V233+W233,1),0)
  - IF(WEEKDAY(B233,2)&lt;6,MOD(B233+C233,1),0)
),"00")</f>
        <v>0:06:52</v>
      </c>
      <c r="AQ233" s="0" t="n">
        <f aca="false">IFERROR(
LEFT(AP233,FIND(":",AP233)-1)
+ MID(AP233,FIND(":",AP233)+1,2)/24
+ RIGHT(AP233,2)/1440,
"")</f>
        <v>0.286111111111111</v>
      </c>
      <c r="AR233" s="0" t="n">
        <f aca="false">WEEKNUM(B233,1)</f>
        <v>12</v>
      </c>
      <c r="AS233" s="17" t="n">
        <f aca="false">IF(B233&gt;0, (B233+C233)-TIME(13,30,0), "")</f>
        <v>46097.1034722222</v>
      </c>
      <c r="AT233" s="18" t="n">
        <f aca="false">IF(B233&gt;0, (B233+C233)-TIME(13,30,0), "")</f>
        <v>46097.1034722222</v>
      </c>
      <c r="AU233" s="17" t="n">
        <f aca="false">IF(V233&gt;0, (V233+W233)-TIME(13,30,0), "")</f>
        <v>46097.3902777778</v>
      </c>
      <c r="AV233" s="18" t="n">
        <f aca="false">IF(V233&gt;0, (V233+W233)-TIME(13,30,0), "")</f>
        <v>46097.3902777778</v>
      </c>
      <c r="AW233" s="19" t="n">
        <f aca="false">24*(
MAX(0,
IF(NETWORKDAYS(AS233,AU233)=1,
MIN(MOD(AV233,1),TIME(17,30,0)) - MAX(MOD(AT233,1),TIME(8,30,0)),
(TIME(17,30,0)-MAX(MOD(AT233,1),TIME(8,30,0)))
+ (MIN(MOD(AV233,1),TIME(17,30,0))-TIME(8,30,0))
+ (NETWORKDAYS(AS233,AU233)-2)*9/24
)
)
)</f>
        <v>0.866666666639503</v>
      </c>
      <c r="AX233" s="19" t="n">
        <f aca="false">24*(
MAX(0,
IF(NETWORKDAYS(AS233,AU233)=1,
MIN(MOD(AV233,1),TIME(17,30,0)) - MAX(MOD(AT233,1),TIME(8,30,0)),
(TIME(17,30,0)-MAX(MOD(AT233,1),TIME(8,30,0)))
+ (MIN(MOD(AV233,1),TIME(17,30,0))-TIME(8,30,0))
+ (NETWORKDAYS(AS233,AU233)-2)* (TIME(17,30,0)-TIME(8,30,0))
)
)
)</f>
        <v>0.866666666639503</v>
      </c>
      <c r="AY233" s="20" t="n">
        <f aca="false">ROUND(
IF(AS233=AU233,
MAX(0,
(MIN(MOD(AV233,1),TIME(17,30,0))-
MAX(MOD(AT233,1),TIME(8,30,0)))*24
),
(
(MAX(0,TIME(17,30,0)-MAX(MOD(AT233,1),TIME(8,30,0)))*24)
+
(MAX(0,MIN(MOD(AV233,1),TIME(17,30,0))-TIME(8,30,0))*24)
+
(MAX(0,NETWORKDAYS(AS233+1,AU233-1))*9)
)
),
2)</f>
        <v>9.87</v>
      </c>
      <c r="AZ233" s="0" t="n">
        <f aca="false" t="array" ref="AZ233:AZ233">_xlfn.XLOOKUP(J233,{"Low","Medium","High"},{270,72,24})</f>
        <v>270</v>
      </c>
      <c r="BA233" s="0" t="str">
        <f aca="false">IF(AW233&gt;AZ233,"Not Met","Met")</f>
        <v>Met</v>
      </c>
      <c r="BB233" s="21" t="str">
        <f aca="false">IF(AS233="","",TEXT(AS233,"MMM")&amp;"'"&amp;TEXT(AS233,"yy"))</f>
        <v>Mar'26</v>
      </c>
      <c r="BC233" s="0" t="str">
        <f aca="false">IF(AU233="","",TEXT(AU233,"MMM")&amp;"'"&amp;TEXT(AU233,"yy"))</f>
        <v>Mar'26</v>
      </c>
    </row>
    <row r="234" customFormat="false" ht="15" hidden="false" customHeight="false" outlineLevel="0" collapsed="false">
      <c r="A234" s="1" t="s">
        <v>842</v>
      </c>
      <c r="B234" s="11" t="n">
        <v>46097</v>
      </c>
      <c r="C234" s="12" t="n">
        <v>0.91875</v>
      </c>
      <c r="D234" s="13" t="str">
        <f aca="false">IF(B234="","",TEXT(B234,"MMM")&amp;"'"&amp;TEXT(B234,"yy"))</f>
        <v>Mar'26</v>
      </c>
      <c r="E234" s="27" t="s">
        <v>55</v>
      </c>
      <c r="F234" s="1" t="s">
        <v>39</v>
      </c>
      <c r="G234" s="1" t="str">
        <f aca="false">IF(F234="Closed","Closed","Pending")</f>
        <v>Closed</v>
      </c>
      <c r="H234" s="1" t="s">
        <v>157</v>
      </c>
      <c r="I234" s="1" t="s">
        <v>843</v>
      </c>
      <c r="J234" s="1" t="s">
        <v>74</v>
      </c>
      <c r="K234" s="1" t="s">
        <v>59</v>
      </c>
      <c r="L234" s="1" t="s">
        <v>844</v>
      </c>
      <c r="M234" s="35" t="s">
        <v>282</v>
      </c>
      <c r="N234" s="1" t="s">
        <v>65</v>
      </c>
      <c r="O234" s="1" t="s">
        <v>106</v>
      </c>
      <c r="Q234" s="1" t="s">
        <v>65</v>
      </c>
      <c r="R234" s="1" t="s">
        <v>87</v>
      </c>
      <c r="U234" s="12" t="n">
        <v>0.954166666666667</v>
      </c>
      <c r="V234" s="11" t="n">
        <v>46098</v>
      </c>
      <c r="W234" s="12" t="n">
        <v>0.876388888888889</v>
      </c>
      <c r="X234" s="11" t="n">
        <v>46099</v>
      </c>
      <c r="Y234" s="12" t="n">
        <v>0.868055555555556</v>
      </c>
      <c r="Z234" s="1" t="s">
        <v>67</v>
      </c>
      <c r="AA234" s="1" t="s">
        <v>68</v>
      </c>
      <c r="AB234" s="2" t="e">
        <f aca="false">U234-#REF!</f>
        <v>#REF!</v>
      </c>
      <c r="AC234" s="14" t="n">
        <f aca="false">(V234+W234)-(B234+C234)</f>
        <v>0.957638888888889</v>
      </c>
      <c r="AD234" s="4" t="str">
        <f aca="false">INT((V234+W234)-(B234+C234)) &amp; ":" &amp;
TEXT(HOUR((V234+W234)-(B234+C234)), "00") &amp; ":" &amp;
TEXT(MINUTE((V234+W234)-(B234+C234)), "00")</f>
        <v>0:22:59</v>
      </c>
      <c r="AE234" s="1" t="n">
        <f aca="false">IFERROR(
LEFT(AD234,FIND(":",AD234)-1)
+ MID(AD234,FIND(":",AD234)+1,2)/24
+ RIGHT(AD234,2)/1440,
"")</f>
        <v>0.957638888888889</v>
      </c>
      <c r="AF234" s="4" t="str">
        <f aca="false">INT((X234+Y234)-(B234+C234)) &amp; ":" &amp;
TEXT(HOUR((X234+Y234)-(B234+C234)), "00") &amp; ":" &amp;
TEXT(MINUTE((X234+Y234)-(B234+C234)), "00")</f>
        <v>1:22:47</v>
      </c>
      <c r="AG234" s="4" t="str">
        <f aca="false" t="array" ref="AG234:AG234">INT(_xlfn.XLOOKUP(J234,{"Low","Medium","High","Urgent"},{48,24,12,8})/24) &amp; ":" &amp;
TEXT(MOD(_xlfn.XLOOKUP(J234,{"Low","Medium","High","Urgent"},{48,24,12,8}),24)/24,"hh:mm")</f>
        <v>2:00:00</v>
      </c>
      <c r="AH234" s="4" t="str">
        <f aca="false">IF(AD234&gt;AG234,"Not Met","Met")</f>
        <v>Met</v>
      </c>
      <c r="AI234" s="4" t="e">
        <f aca="false">IF(AB234&lt;TIME(0,30,0),"Met","Not Met")</f>
        <v>#REF!</v>
      </c>
      <c r="AN234" s="1" t="str">
        <f aca="false">TEXT(B234,"dd")</f>
        <v>16</v>
      </c>
      <c r="AO234" s="1" t="str">
        <f aca="false">TEXT(X234,"dd")</f>
        <v>18</v>
      </c>
      <c r="AP234" s="16" t="str">
        <f aca="false">INT(
  NETWORKDAYS(B234,V234)-1
  + IF(WEEKDAY(V234,2)&lt;6,MOD(V234+W234,1),0)
  - IF(WEEKDAY(B234,2)&lt;6,MOD(B234+C234,1),0)
)
&amp; ":" &amp;
TEXT(HOUR(
  NETWORKDAYS(B234,V234)-1
  + IF(WEEKDAY(V234,2)&lt;6,MOD(V234+W234,1),0)
  - IF(WEEKDAY(B234,2)&lt;6,MOD(B234+C234,1),0)
),"00")
&amp; ":" &amp;
TEXT(MINUTE(
  NETWORKDAYS(B234,V234)-1
  + IF(WEEKDAY(V234,2)&lt;6,MOD(V234+W234,1),0)
  - IF(WEEKDAY(B234,2)&lt;6,MOD(B234+C234,1),0)
),"00")</f>
        <v>0:22:59</v>
      </c>
      <c r="AQ234" s="0" t="n">
        <f aca="false">IFERROR(
LEFT(AP234,FIND(":",AP234)-1)
+ MID(AP234,FIND(":",AP234)+1,2)/24
+ RIGHT(AP234,2)/1440,
"")</f>
        <v>0.957638888888889</v>
      </c>
      <c r="AR234" s="0" t="n">
        <f aca="false">WEEKNUM(B234,1)</f>
        <v>12</v>
      </c>
      <c r="AS234" s="17" t="n">
        <f aca="false">IF(B234&gt;0, (B234+C234)-TIME(13,30,0), "")</f>
        <v>46097.35625</v>
      </c>
      <c r="AT234" s="18" t="n">
        <f aca="false">IF(B234&gt;0, (B234+C234)-TIME(13,30,0), "")</f>
        <v>46097.35625</v>
      </c>
      <c r="AU234" s="17" t="n">
        <f aca="false">IF(V234&gt;0, (V234+W234)-TIME(13,30,0), "")</f>
        <v>46098.3138888889</v>
      </c>
      <c r="AV234" s="18" t="n">
        <f aca="false">IF(V234&gt;0, (V234+W234)-TIME(13,30,0), "")</f>
        <v>46098.3138888889</v>
      </c>
      <c r="AW234" s="19" t="n">
        <f aca="false">24*(
MAX(0,
IF(NETWORKDAYS(AS234,AU234)=1,
MIN(MOD(AV234,1),TIME(17,30,0)) - MAX(MOD(AT234,1),TIME(8,30,0)),
(TIME(17,30,0)-MAX(MOD(AT234,1),TIME(8,30,0)))
+ (MIN(MOD(AV234,1),TIME(17,30,0))-TIME(8,30,0))
+ (NETWORKDAYS(AS234,AU234)-2)*9/24
)
)
)</f>
        <v>7.98333333320111</v>
      </c>
      <c r="AX234" s="19" t="n">
        <f aca="false">24*(
MAX(0,
IF(NETWORKDAYS(AS234,AU234)=1,
MIN(MOD(AV234,1),TIME(17,30,0)) - MAX(MOD(AT234,1),TIME(8,30,0)),
(TIME(17,30,0)-MAX(MOD(AT234,1),TIME(8,30,0)))
+ (MIN(MOD(AV234,1),TIME(17,30,0))-TIME(8,30,0))
+ (NETWORKDAYS(AS234,AU234)-2)* (TIME(17,30,0)-TIME(8,30,0))
)
)
)</f>
        <v>7.98333333320111</v>
      </c>
      <c r="AY234" s="20" t="n">
        <f aca="false">ROUND(
IF(AS234=AU234,
MAX(0,
(MIN(MOD(AV234,1),TIME(17,30,0))-
MAX(MOD(AT234,1),TIME(8,30,0)))*24
),
(
(MAX(0,TIME(17,30,0)-MAX(MOD(AT234,1),TIME(8,30,0)))*24)
+
(MAX(0,MIN(MOD(AV234,1),TIME(17,30,0))-TIME(8,30,0))*24)
+
(MAX(0,NETWORKDAYS(AS234+1,AU234-1))*9)
)
),
2)</f>
        <v>8.95</v>
      </c>
      <c r="AZ234" s="0" t="n">
        <f aca="false" t="array" ref="AZ234:AZ234">_xlfn.XLOOKUP(J234,{"Low","Medium","High"},{270,72,24})</f>
        <v>270</v>
      </c>
      <c r="BA234" s="0" t="str">
        <f aca="false">IF(AW234&gt;AZ234,"Not Met","Met")</f>
        <v>Met</v>
      </c>
      <c r="BB234" s="21" t="str">
        <f aca="false">IF(AS234="","",TEXT(AS234,"MMM")&amp;"'"&amp;TEXT(AS234,"yy"))</f>
        <v>Mar'26</v>
      </c>
      <c r="BC234" s="0" t="str">
        <f aca="false">IF(AU234="","",TEXT(AU234,"MMM")&amp;"'"&amp;TEXT(AU234,"yy"))</f>
        <v>Mar'26</v>
      </c>
    </row>
    <row r="235" customFormat="false" ht="15" hidden="false" customHeight="false" outlineLevel="0" collapsed="false">
      <c r="A235" s="29" t="s">
        <v>845</v>
      </c>
      <c r="B235" s="11" t="n">
        <v>46097</v>
      </c>
      <c r="C235" s="37" t="n">
        <v>0.932638888888889</v>
      </c>
      <c r="D235" s="13" t="str">
        <f aca="false">IF(B235="","",TEXT(B235,"MMM")&amp;"'"&amp;TEXT(B235,"yy"))</f>
        <v>Mar'26</v>
      </c>
      <c r="E235" s="27" t="s">
        <v>55</v>
      </c>
      <c r="F235" s="1" t="s">
        <v>140</v>
      </c>
      <c r="G235" s="1" t="str">
        <f aca="false">IF(F235="Closed","Closed","Pending")</f>
        <v>Pending</v>
      </c>
      <c r="H235" s="1" t="s">
        <v>72</v>
      </c>
      <c r="I235" s="1" t="s">
        <v>846</v>
      </c>
      <c r="J235" s="1" t="s">
        <v>74</v>
      </c>
      <c r="K235" s="1" t="s">
        <v>59</v>
      </c>
      <c r="L235" s="1" t="s">
        <v>847</v>
      </c>
      <c r="M235" s="35" t="s">
        <v>848</v>
      </c>
      <c r="N235" s="1" t="s">
        <v>62</v>
      </c>
      <c r="O235" s="1" t="s">
        <v>106</v>
      </c>
      <c r="Q235" s="1" t="s">
        <v>229</v>
      </c>
      <c r="R235" s="1" t="s">
        <v>490</v>
      </c>
      <c r="U235" s="12" t="n">
        <v>0.988194444444445</v>
      </c>
      <c r="V235" s="11"/>
      <c r="W235" s="12"/>
      <c r="X235" s="11"/>
      <c r="Y235" s="12"/>
      <c r="Z235" s="1" t="s">
        <v>108</v>
      </c>
      <c r="AB235" s="2" t="e">
        <f aca="false">U235-#REF!</f>
        <v>#REF!</v>
      </c>
      <c r="AC235" s="14" t="n">
        <f aca="false">(V235+W235)-(B235+C235)</f>
        <v>-46097.9326388889</v>
      </c>
      <c r="AD235" s="4" t="str">
        <f aca="false">INT((V235+W235)-(B235+C235)) &amp; ":" &amp;
TEXT(HOUR((V235+W235)-(B235+C235)), "00") &amp; ":" &amp;
TEXT(MINUTE((V235+W235)-(B235+C235)), "00")</f>
        <v>-46098:01:37</v>
      </c>
      <c r="AE235" s="1" t="n">
        <f aca="false">IFERROR(
LEFT(AD235,FIND(":",AD235)-1)
+ MID(AD235,FIND(":",AD235)+1,2)/24
+ RIGHT(AD235,2)/1440,
"")</f>
        <v>-46097.9326388889</v>
      </c>
      <c r="AF235" s="4" t="str">
        <f aca="false">INT((X235+Y235)-(B235+C235)) &amp; ":" &amp;
TEXT(HOUR((X235+Y235)-(B235+C235)), "00") &amp; ":" &amp;
TEXT(MINUTE((X235+Y235)-(B235+C235)), "00")</f>
        <v>-46098:01:37</v>
      </c>
      <c r="AG235" s="4" t="str">
        <f aca="false" t="array" ref="AG235:AG235">INT(_xlfn.XLOOKUP(J235,{"Low","Medium","High","Urgent"},{48,24,12,8})/24) &amp; ":" &amp;
TEXT(MOD(_xlfn.XLOOKUP(J235,{"Low","Medium","High","Urgent"},{48,24,12,8}),24)/24,"hh:mm")</f>
        <v>2:00:00</v>
      </c>
      <c r="AH235" s="4" t="str">
        <f aca="false">IF(AD235&gt;AG235,"Not Met","Met")</f>
        <v>Met</v>
      </c>
      <c r="AI235" s="4" t="e">
        <f aca="false">IF(AB235&lt;TIME(0,30,0),"Met","Not Met")</f>
        <v>#REF!</v>
      </c>
      <c r="AN235" s="1" t="str">
        <f aca="false">TEXT(B235,"dd")</f>
        <v>16</v>
      </c>
      <c r="AO235" s="1" t="str">
        <f aca="false">TEXT(X235,"dd")</f>
        <v>30</v>
      </c>
      <c r="AP235" s="16" t="str">
        <f aca="false">INT(
  NETWORKDAYS(B235,V235)-1
  + IF(WEEKDAY(V235,2)&lt;6,MOD(V235+W235,1),0)
  - IF(WEEKDAY(B235,2)&lt;6,MOD(B235+C235,1),0)
)
&amp; ":" &amp;
TEXT(HOUR(
  NETWORKDAYS(B235,V235)-1
  + IF(WEEKDAY(V235,2)&lt;6,MOD(V235+W235,1),0)
  - IF(WEEKDAY(B235,2)&lt;6,MOD(B235+C235,1),0)
),"00")
&amp; ":" &amp;
TEXT(MINUTE(
  NETWORKDAYS(B235,V235)-1
  + IF(WEEKDAY(V235,2)&lt;6,MOD(V235+W235,1),0)
  - IF(WEEKDAY(B235,2)&lt;6,MOD(B235+C235,1),0)
),"00")</f>
        <v>-32928:01:37</v>
      </c>
      <c r="AQ235" s="0" t="n">
        <f aca="false">IFERROR(
LEFT(AP235,FIND(":",AP235)-1)
+ MID(AP235,FIND(":",AP235)+1,2)/24
+ RIGHT(AP235,2)/1440,
"")</f>
        <v>-32927.9326388889</v>
      </c>
      <c r="AR235" s="0" t="n">
        <f aca="false">WEEKNUM(B235,1)</f>
        <v>12</v>
      </c>
      <c r="AS235" s="17" t="n">
        <f aca="false">IF(B235&gt;0, (B235+C235)-TIME(13,30,0), "")</f>
        <v>46097.3701388889</v>
      </c>
      <c r="AT235" s="18" t="n">
        <f aca="false">IF(B235&gt;0, (B235+C235)-TIME(13,30,0), "")</f>
        <v>46097.3701388889</v>
      </c>
      <c r="AU235" s="17" t="str">
        <f aca="false">IF(V235&gt;0, (V235+W235)-TIME(13,30,0), "")</f>
        <v/>
      </c>
      <c r="AV235" s="18" t="str">
        <f aca="false">IF(V235&gt;0, (V235+W235)-TIME(13,30,0), "")</f>
        <v/>
      </c>
      <c r="AW235" s="19" t="e">
        <f aca="false">24*(
MAX(0,
IF(NETWORKDAYS(AS235,AU235)=1,
MIN(MOD(AV235,1),TIME(17,30,0)) - MAX(MOD(AT235,1),TIME(8,30,0)),
(TIME(17,30,0)-MAX(MOD(AT235,1),TIME(8,30,0)))
+ (MIN(MOD(AV235,1),TIME(17,30,0))-TIME(8,30,0))
+ (NETWORKDAYS(AS235,AU235)-2)*9/24
)
)
)</f>
        <v>#VALUE!</v>
      </c>
      <c r="AX235" s="19" t="e">
        <f aca="false">24*(
MAX(0,
IF(NETWORKDAYS(AS235,AU235)=1,
MIN(MOD(AV235,1),TIME(17,30,0)) - MAX(MOD(AT235,1),TIME(8,30,0)),
(TIME(17,30,0)-MAX(MOD(AT235,1),TIME(8,30,0)))
+ (MIN(MOD(AV235,1),TIME(17,30,0))-TIME(8,30,0))
+ (NETWORKDAYS(AS235,AU235)-2)* (TIME(17,30,0)-TIME(8,30,0))
)
)
)</f>
        <v>#VALUE!</v>
      </c>
      <c r="AY235" s="20" t="e">
        <f aca="false">ROUND(
IF(AS235=AU235,
MAX(0,
(MIN(MOD(AV235,1),TIME(17,30,0))-
MAX(MOD(AT235,1),TIME(8,30,0)))*24
),
(
(MAX(0,TIME(17,30,0)-MAX(MOD(AT235,1),TIME(8,30,0)))*24)
+
(MAX(0,MIN(MOD(AV235,1),TIME(17,30,0))-TIME(8,30,0))*24)
+
(MAX(0,NETWORKDAYS(AS235+1,AU235-1))*9)
)
),
2)</f>
        <v>#VALUE!</v>
      </c>
      <c r="AZ235" s="0" t="n">
        <f aca="false" t="array" ref="AZ235:AZ235">_xlfn.XLOOKUP(J235,{"Low","Medium","High"},{270,72,24})</f>
        <v>270</v>
      </c>
      <c r="BA235" s="0" t="e">
        <f aca="false">IF(AW235&gt;AZ235,"Not Met","Met")</f>
        <v>#VALUE!</v>
      </c>
      <c r="BB235" s="21" t="str">
        <f aca="false">IF(AS235="","",TEXT(AS235,"MMM")&amp;"'"&amp;TEXT(AS235,"yy"))</f>
        <v>Mar'26</v>
      </c>
      <c r="BC235" s="0" t="str">
        <f aca="false">IF(AU235="","",TEXT(AU235,"MMM")&amp;"'"&amp;TEXT(AU235,"yy"))</f>
        <v/>
      </c>
    </row>
    <row r="236" customFormat="false" ht="15" hidden="false" customHeight="false" outlineLevel="0" collapsed="false">
      <c r="A236" s="1" t="s">
        <v>849</v>
      </c>
      <c r="B236" s="11" t="n">
        <v>46098</v>
      </c>
      <c r="C236" s="12" t="n">
        <v>0.00972222222222222</v>
      </c>
      <c r="D236" s="13" t="str">
        <f aca="false">IF(B236="","",TEXT(B236,"MMM")&amp;"'"&amp;TEXT(B236,"yy"))</f>
        <v>Mar'26</v>
      </c>
      <c r="E236" s="27" t="s">
        <v>55</v>
      </c>
      <c r="F236" s="1" t="s">
        <v>39</v>
      </c>
      <c r="G236" s="1" t="str">
        <f aca="false">IF(F236="Closed","Closed","Pending")</f>
        <v>Closed</v>
      </c>
      <c r="H236" s="26" t="s">
        <v>720</v>
      </c>
      <c r="I236" s="26" t="s">
        <v>349</v>
      </c>
      <c r="J236" s="26" t="s">
        <v>74</v>
      </c>
      <c r="K236" s="1" t="s">
        <v>59</v>
      </c>
      <c r="L236" s="1" t="s">
        <v>850</v>
      </c>
      <c r="M236" s="35" t="s">
        <v>722</v>
      </c>
      <c r="N236" s="1" t="s">
        <v>65</v>
      </c>
      <c r="O236" s="1" t="s">
        <v>106</v>
      </c>
      <c r="Q236" s="1" t="s">
        <v>65</v>
      </c>
      <c r="R236" s="1" t="s">
        <v>87</v>
      </c>
      <c r="U236" s="12" t="n">
        <v>0.0256944444444444</v>
      </c>
      <c r="V236" s="11" t="n">
        <v>46098</v>
      </c>
      <c r="W236" s="12" t="n">
        <v>0.878472222222222</v>
      </c>
      <c r="X236" s="11" t="n">
        <v>46099</v>
      </c>
      <c r="Y236" s="12" t="n">
        <v>0.166666666666667</v>
      </c>
      <c r="Z236" s="1" t="s">
        <v>67</v>
      </c>
      <c r="AA236" s="1" t="s">
        <v>68</v>
      </c>
      <c r="AB236" s="2" t="e">
        <f aca="false">U236-#REF!</f>
        <v>#REF!</v>
      </c>
      <c r="AC236" s="14" t="n">
        <f aca="false">(V236+W236)-(B236+C236)</f>
        <v>0.86875</v>
      </c>
      <c r="AD236" s="4" t="str">
        <f aca="false">INT((V236+W236)-(B236+C236)) &amp; ":" &amp;
TEXT(HOUR((V236+W236)-(B236+C236)), "00") &amp; ":" &amp;
TEXT(MINUTE((V236+W236)-(B236+C236)), "00")</f>
        <v>0:20:51</v>
      </c>
      <c r="AE236" s="1" t="n">
        <f aca="false">IFERROR(
LEFT(AD236,FIND(":",AD236)-1)
+ MID(AD236,FIND(":",AD236)+1,2)/24
+ RIGHT(AD236,2)/1440,
"")</f>
        <v>0.86875</v>
      </c>
      <c r="AF236" s="4" t="str">
        <f aca="false">INT((X236+Y236)-(B236+C236)) &amp; ":" &amp;
TEXT(HOUR((X236+Y236)-(B236+C236)), "00") &amp; ":" &amp;
TEXT(MINUTE((X236+Y236)-(B236+C236)), "00")</f>
        <v>1:03:46</v>
      </c>
      <c r="AG236" s="4" t="str">
        <f aca="false" t="array" ref="AG236:AG236">INT(_xlfn.XLOOKUP(J236,{"Low","Medium","High","Urgent"},{48,24,12,8})/24) &amp; ":" &amp;
TEXT(MOD(_xlfn.XLOOKUP(J236,{"Low","Medium","High","Urgent"},{48,24,12,8}),24)/24,"hh:mm")</f>
        <v>2:00:00</v>
      </c>
      <c r="AH236" s="4" t="str">
        <f aca="false">IF(AD236&gt;AG236,"Not Met","Met")</f>
        <v>Met</v>
      </c>
      <c r="AI236" s="4" t="e">
        <f aca="false">IF(AB236&lt;TIME(0,30,0),"Met","Not Met")</f>
        <v>#REF!</v>
      </c>
      <c r="AN236" s="1" t="str">
        <f aca="false">TEXT(B236,"dd")</f>
        <v>17</v>
      </c>
      <c r="AO236" s="1" t="str">
        <f aca="false">TEXT(X236,"dd")</f>
        <v>18</v>
      </c>
      <c r="AP236" s="16" t="str">
        <f aca="false">INT(
  NETWORKDAYS(B236,V236)-1
  + IF(WEEKDAY(V236,2)&lt;6,MOD(V236+W236,1),0)
  - IF(WEEKDAY(B236,2)&lt;6,MOD(B236+C236,1),0)
)
&amp; ":" &amp;
TEXT(HOUR(
  NETWORKDAYS(B236,V236)-1
  + IF(WEEKDAY(V236,2)&lt;6,MOD(V236+W236,1),0)
  - IF(WEEKDAY(B236,2)&lt;6,MOD(B236+C236,1),0)
),"00")
&amp; ":" &amp;
TEXT(MINUTE(
  NETWORKDAYS(B236,V236)-1
  + IF(WEEKDAY(V236,2)&lt;6,MOD(V236+W236,1),0)
  - IF(WEEKDAY(B236,2)&lt;6,MOD(B236+C236,1),0)
),"00")</f>
        <v>0:20:50</v>
      </c>
      <c r="AQ236" s="0" t="n">
        <f aca="false">IFERROR(
LEFT(AP236,FIND(":",AP236)-1)
+ MID(AP236,FIND(":",AP236)+1,2)/24
+ RIGHT(AP236,2)/1440,
"")</f>
        <v>0.868055555555556</v>
      </c>
      <c r="AR236" s="0" t="n">
        <f aca="false">WEEKNUM(B236,1)</f>
        <v>12</v>
      </c>
      <c r="AS236" s="17" t="n">
        <f aca="false">IF(B236&gt;0, (B236+C236)-TIME(13,30,0), "")</f>
        <v>46097.4472222222</v>
      </c>
      <c r="AT236" s="18" t="n">
        <f aca="false">IF(B236&gt;0, (B236+C236)-TIME(13,30,0), "")</f>
        <v>46097.4472222222</v>
      </c>
      <c r="AU236" s="17" t="n">
        <f aca="false">IF(V236&gt;0, (V236+W236)-TIME(13,30,0), "")</f>
        <v>46098.3159722222</v>
      </c>
      <c r="AV236" s="18" t="n">
        <f aca="false">IF(V236&gt;0, (V236+W236)-TIME(13,30,0), "")</f>
        <v>46098.3159722222</v>
      </c>
      <c r="AW236" s="19" t="n">
        <f aca="false">24*(
MAX(0,
IF(NETWORKDAYS(AS236,AU236)=1,
MIN(MOD(AV236,1),TIME(17,30,0)) - MAX(MOD(AT236,1),TIME(8,30,0)),
(TIME(17,30,0)-MAX(MOD(AT236,1),TIME(8,30,0)))
+ (MIN(MOD(AV236,1),TIME(17,30,0))-TIME(8,30,0))
+ (NETWORKDAYS(AS236,AU236)-2)*9/24
)
)
)</f>
        <v>5.84999999984444</v>
      </c>
      <c r="AX236" s="19" t="n">
        <f aca="false">24*(
MAX(0,
IF(NETWORKDAYS(AS236,AU236)=1,
MIN(MOD(AV236,1),TIME(17,30,0)) - MAX(MOD(AT236,1),TIME(8,30,0)),
(TIME(17,30,0)-MAX(MOD(AT236,1),TIME(8,30,0)))
+ (MIN(MOD(AV236,1),TIME(17,30,0))-TIME(8,30,0))
+ (NETWORKDAYS(AS236,AU236)-2)* (TIME(17,30,0)-TIME(8,30,0))
)
)
)</f>
        <v>5.84999999984444</v>
      </c>
      <c r="AY236" s="20" t="n">
        <f aca="false">ROUND(
IF(AS236=AU236,
MAX(0,
(MIN(MOD(AV236,1),TIME(17,30,0))-
MAX(MOD(AT236,1),TIME(8,30,0)))*24
),
(
(MAX(0,TIME(17,30,0)-MAX(MOD(AT236,1),TIME(8,30,0)))*24)
+
(MAX(0,MIN(MOD(AV236,1),TIME(17,30,0))-TIME(8,30,0))*24)
+
(MAX(0,NETWORKDAYS(AS236+1,AU236-1))*9)
)
),
2)</f>
        <v>6.77</v>
      </c>
      <c r="AZ236" s="0" t="n">
        <f aca="false" t="array" ref="AZ236:AZ236">_xlfn.XLOOKUP(J236,{"Low","Medium","High"},{270,72,24})</f>
        <v>270</v>
      </c>
      <c r="BA236" s="0" t="str">
        <f aca="false">IF(AW236&gt;AZ236,"Not Met","Met")</f>
        <v>Met</v>
      </c>
      <c r="BB236" s="21" t="str">
        <f aca="false">IF(AS236="","",TEXT(AS236,"MMM")&amp;"'"&amp;TEXT(AS236,"yy"))</f>
        <v>Mar'26</v>
      </c>
      <c r="BC236" s="0" t="str">
        <f aca="false">IF(AU236="","",TEXT(AU236,"MMM")&amp;"'"&amp;TEXT(AU236,"yy"))</f>
        <v>Mar'26</v>
      </c>
    </row>
    <row r="237" customFormat="false" ht="15" hidden="false" customHeight="false" outlineLevel="0" collapsed="false">
      <c r="A237" s="1" t="s">
        <v>851</v>
      </c>
      <c r="B237" s="11" t="n">
        <v>46098</v>
      </c>
      <c r="C237" s="12" t="n">
        <v>0.830555555555556</v>
      </c>
      <c r="D237" s="13" t="str">
        <f aca="false">IF(B237="","",TEXT(B237,"MMM")&amp;"'"&amp;TEXT(B237,"yy"))</f>
        <v>Mar'26</v>
      </c>
      <c r="E237" s="27" t="s">
        <v>55</v>
      </c>
      <c r="F237" s="39" t="s">
        <v>539</v>
      </c>
      <c r="G237" s="33" t="str">
        <f aca="false">IF(F237="Closed","Closed","Pending")</f>
        <v>Pending</v>
      </c>
      <c r="H237" s="26" t="s">
        <v>185</v>
      </c>
      <c r="I237" s="26" t="s">
        <v>302</v>
      </c>
      <c r="J237" s="26" t="s">
        <v>74</v>
      </c>
      <c r="K237" s="53" t="s">
        <v>59</v>
      </c>
      <c r="L237" s="42" t="s">
        <v>852</v>
      </c>
      <c r="M237" s="1" t="s">
        <v>853</v>
      </c>
      <c r="N237" s="1" t="s">
        <v>143</v>
      </c>
      <c r="O237" s="1" t="s">
        <v>143</v>
      </c>
      <c r="Q237" s="1" t="s">
        <v>143</v>
      </c>
      <c r="R237" s="1" t="s">
        <v>87</v>
      </c>
      <c r="U237" s="12" t="n">
        <v>0.863888888888889</v>
      </c>
      <c r="Z237" s="1" t="s">
        <v>108</v>
      </c>
      <c r="AB237" s="2" t="e">
        <f aca="false">U237-#REF!</f>
        <v>#REF!</v>
      </c>
      <c r="AC237" s="14" t="n">
        <f aca="false">(V237+W237)-(B237+C237)</f>
        <v>-46098.8305555556</v>
      </c>
      <c r="AD237" s="4" t="str">
        <f aca="false">INT((V237+W237)-(B237+C237)) &amp; ":" &amp;
TEXT(HOUR((V237+W237)-(B237+C237)), "00") &amp; ":" &amp;
TEXT(MINUTE((V237+W237)-(B237+C237)), "00")</f>
        <v>-46099:04:04</v>
      </c>
      <c r="AE237" s="1" t="n">
        <f aca="false">IFERROR(
LEFT(AD237,FIND(":",AD237)-1)
+ MID(AD237,FIND(":",AD237)+1,2)/24
+ RIGHT(AD237,2)/1440,
"")</f>
        <v>-46098.8305555556</v>
      </c>
      <c r="AF237" s="4" t="str">
        <f aca="false">INT((X237+Y237)-(B237+C237)) &amp; ":" &amp;
TEXT(HOUR((X237+Y237)-(B237+C237)), "00") &amp; ":" &amp;
TEXT(MINUTE((X237+Y237)-(B237+C237)), "00")</f>
        <v>-46099:04:04</v>
      </c>
      <c r="AG237" s="4" t="str">
        <f aca="false" t="array" ref="AG237:AG237">INT(_xlfn.XLOOKUP(J237,{"Low","Medium","High","Urgent"},{48,24,12,8})/24) &amp; ":" &amp;
TEXT(MOD(_xlfn.XLOOKUP(J237,{"Low","Medium","High","Urgent"},{48,24,12,8}),24)/24,"hh:mm")</f>
        <v>2:00:00</v>
      </c>
      <c r="AH237" s="4" t="str">
        <f aca="false">IF(AD237&gt;AG237,"Not Met","Met")</f>
        <v>Met</v>
      </c>
      <c r="AI237" s="4" t="e">
        <f aca="false">IF(AB237&lt;TIME(0,30,0),"Met","Not Met")</f>
        <v>#REF!</v>
      </c>
      <c r="AN237" s="1" t="str">
        <f aca="false">TEXT(B237,"dd")</f>
        <v>17</v>
      </c>
      <c r="AO237" s="1" t="str">
        <f aca="false">TEXT(X237,"dd")</f>
        <v>30</v>
      </c>
      <c r="AP237" s="16" t="str">
        <f aca="false">INT(
  NETWORKDAYS(B237,V237)-1
  + IF(WEEKDAY(V237,2)&lt;6,MOD(V237+W237,1),0)
  - IF(WEEKDAY(B237,2)&lt;6,MOD(B237+C237,1),0)
)
&amp; ":" &amp;
TEXT(HOUR(
  NETWORKDAYS(B237,V237)-1
  + IF(WEEKDAY(V237,2)&lt;6,MOD(V237+W237,1),0)
  - IF(WEEKDAY(B237,2)&lt;6,MOD(B237+C237,1),0)
),"00")
&amp; ":" &amp;
TEXT(MINUTE(
  NETWORKDAYS(B237,V237)-1
  + IF(WEEKDAY(V237,2)&lt;6,MOD(V237+W237,1),0)
  - IF(WEEKDAY(B237,2)&lt;6,MOD(B237+C237,1),0)
),"00")</f>
        <v>-32929:04:04</v>
      </c>
      <c r="AQ237" s="0" t="n">
        <f aca="false">IFERROR(
LEFT(AP237,FIND(":",AP237)-1)
+ MID(AP237,FIND(":",AP237)+1,2)/24
+ RIGHT(AP237,2)/1440,
"")</f>
        <v>-32928.8305555556</v>
      </c>
      <c r="AR237" s="0" t="n">
        <f aca="false">WEEKNUM(B237,1)</f>
        <v>12</v>
      </c>
      <c r="AS237" s="17" t="n">
        <f aca="false">IF(B237&gt;0, (B237+C237)-TIME(13,30,0), "")</f>
        <v>46098.2680555556</v>
      </c>
      <c r="AT237" s="18" t="n">
        <f aca="false">IF(B237&gt;0, (B237+C237)-TIME(13,30,0), "")</f>
        <v>46098.2680555556</v>
      </c>
      <c r="AU237" s="17" t="str">
        <f aca="false">IF(V237&gt;0, (V237+W237)-TIME(13,30,0), "")</f>
        <v/>
      </c>
      <c r="AV237" s="18" t="str">
        <f aca="false">IF(V237&gt;0, (V237+W237)-TIME(13,30,0), "")</f>
        <v/>
      </c>
      <c r="AW237" s="19" t="e">
        <f aca="false">24*(
MAX(0,
IF(NETWORKDAYS(AS237,AU237)=1,
MIN(MOD(AV237,1),TIME(17,30,0)) - MAX(MOD(AT237,1),TIME(8,30,0)),
(TIME(17,30,0)-MAX(MOD(AT237,1),TIME(8,30,0)))
+ (MIN(MOD(AV237,1),TIME(17,30,0))-TIME(8,30,0))
+ (NETWORKDAYS(AS237,AU237)-2)*9/24
)
)
)</f>
        <v>#VALUE!</v>
      </c>
      <c r="AX237" s="19" t="e">
        <f aca="false">24*(
MAX(0,
IF(NETWORKDAYS(AS237,AU237)=1,
MIN(MOD(AV237,1),TIME(17,30,0)) - MAX(MOD(AT237,1),TIME(8,30,0)),
(TIME(17,30,0)-MAX(MOD(AT237,1),TIME(8,30,0)))
+ (MIN(MOD(AV237,1),TIME(17,30,0))-TIME(8,30,0))
+ (NETWORKDAYS(AS237,AU237)-2)* (TIME(17,30,0)-TIME(8,30,0))
)
)
)</f>
        <v>#VALUE!</v>
      </c>
      <c r="AY237" s="20" t="e">
        <f aca="false">ROUND(
IF(AS237=AU237,
MAX(0,
(MIN(MOD(AV237,1),TIME(17,30,0))-
MAX(MOD(AT237,1),TIME(8,30,0)))*24
),
(
(MAX(0,TIME(17,30,0)-MAX(MOD(AT237,1),TIME(8,30,0)))*24)
+
(MAX(0,MIN(MOD(AV237,1),TIME(17,30,0))-TIME(8,30,0))*24)
+
(MAX(0,NETWORKDAYS(AS237+1,AU237-1))*9)
)
),
2)</f>
        <v>#VALUE!</v>
      </c>
      <c r="AZ237" s="0" t="n">
        <f aca="false" t="array" ref="AZ237:AZ237">_xlfn.XLOOKUP(J237,{"Low","Medium","High"},{270,72,24})</f>
        <v>270</v>
      </c>
      <c r="BA237" s="0" t="e">
        <f aca="false">IF(AW237&gt;AZ237,"Not Met","Met")</f>
        <v>#VALUE!</v>
      </c>
      <c r="BB237" s="21" t="str">
        <f aca="false">IF(AS237="","",TEXT(AS237,"MMM")&amp;"'"&amp;TEXT(AS237,"yy"))</f>
        <v>Mar'26</v>
      </c>
      <c r="BC237" s="0" t="str">
        <f aca="false">IF(AU237="","",TEXT(AU237,"MMM")&amp;"'"&amp;TEXT(AU237,"yy"))</f>
        <v/>
      </c>
      <c r="BE237" s="0" t="s">
        <v>144</v>
      </c>
    </row>
    <row r="238" customFormat="false" ht="15" hidden="false" customHeight="false" outlineLevel="0" collapsed="false">
      <c r="A238" s="1" t="s">
        <v>854</v>
      </c>
      <c r="B238" s="11" t="n">
        <v>46099</v>
      </c>
      <c r="C238" s="12" t="n">
        <v>0.0569444444444444</v>
      </c>
      <c r="D238" s="13" t="str">
        <f aca="false">IF(B238="","",TEXT(B238,"MMM")&amp;"'"&amp;TEXT(B238,"yy"))</f>
        <v>Mar'26</v>
      </c>
      <c r="E238" s="27" t="s">
        <v>55</v>
      </c>
      <c r="F238" s="1" t="s">
        <v>39</v>
      </c>
      <c r="G238" s="1" t="str">
        <f aca="false">IF(F238="Closed","Closed","Pending")</f>
        <v>Closed</v>
      </c>
      <c r="H238" s="1" t="s">
        <v>72</v>
      </c>
      <c r="I238" s="1" t="s">
        <v>855</v>
      </c>
      <c r="J238" s="1" t="s">
        <v>74</v>
      </c>
      <c r="K238" s="1" t="s">
        <v>59</v>
      </c>
      <c r="L238" s="1" t="s">
        <v>856</v>
      </c>
      <c r="M238" s="35" t="s">
        <v>857</v>
      </c>
      <c r="N238" s="1" t="s">
        <v>65</v>
      </c>
      <c r="O238" s="1" t="s">
        <v>77</v>
      </c>
      <c r="Q238" s="1" t="s">
        <v>65</v>
      </c>
      <c r="R238" s="1" t="s">
        <v>66</v>
      </c>
      <c r="U238" s="12" t="n">
        <v>0.0826388888888889</v>
      </c>
      <c r="V238" s="11" t="n">
        <v>46113</v>
      </c>
      <c r="W238" s="12" t="n">
        <v>0.879166666666667</v>
      </c>
      <c r="X238" s="11" t="n">
        <v>46128</v>
      </c>
      <c r="Y238" s="12" t="n">
        <v>0.99375</v>
      </c>
      <c r="Z238" s="1" t="s">
        <v>108</v>
      </c>
      <c r="AA238" s="1" t="s">
        <v>68</v>
      </c>
      <c r="AB238" s="2" t="e">
        <f aca="false">U238-#REF!</f>
        <v>#REF!</v>
      </c>
      <c r="AC238" s="14" t="n">
        <f aca="false">(V238+W238)-(B238+C238)</f>
        <v>14.8222222222222</v>
      </c>
      <c r="AD238" s="4" t="str">
        <f aca="false">INT((V238+W238)-(B238+C238)) &amp; ":" &amp;
TEXT(HOUR((V238+W238)-(B238+C238)), "00") &amp; ":" &amp;
TEXT(MINUTE((V238+W238)-(B238+C238)), "00")</f>
        <v>14:19:44</v>
      </c>
      <c r="AE238" s="1" t="n">
        <f aca="false">IFERROR(
LEFT(AD238,FIND(":",AD238)-1)
+ MID(AD238,FIND(":",AD238)+1,2)/24
+ RIGHT(AD238,2)/1440,
"")</f>
        <v>14.8222222222222</v>
      </c>
      <c r="AF238" s="4" t="str">
        <f aca="false">INT((X238+Y238)-(B238+C238)) &amp; ":" &amp;
TEXT(HOUR((X238+Y238)-(B238+C238)), "00") &amp; ":" &amp;
TEXT(MINUTE((X238+Y238)-(B238+C238)), "00")</f>
        <v>29:22:29</v>
      </c>
      <c r="AG238" s="4" t="str">
        <f aca="false" t="array" ref="AG238:AG238">INT(_xlfn.XLOOKUP(J238,{"Low","Medium","High","Urgent"},{48,24,12,8})/24) &amp; ":" &amp;
TEXT(MOD(_xlfn.XLOOKUP(J238,{"Low","Medium","High","Urgent"},{48,24,12,8}),24)/24,"hh:mm")</f>
        <v>2:00:00</v>
      </c>
      <c r="AH238" s="4" t="str">
        <f aca="false">IF(AD238&gt;AG238,"Not Met","Met")</f>
        <v>Met</v>
      </c>
      <c r="AI238" s="4" t="e">
        <f aca="false">IF(AB238&lt;TIME(0,30,0),"Met","Not Met")</f>
        <v>#REF!</v>
      </c>
      <c r="AN238" s="1" t="str">
        <f aca="false">TEXT(B238,"dd")</f>
        <v>18</v>
      </c>
      <c r="AO238" s="1" t="str">
        <f aca="false">TEXT(X238,"dd")</f>
        <v>16</v>
      </c>
      <c r="AP238" s="16" t="str">
        <f aca="false">INT(
  NETWORKDAYS(B238,V238)-1
  + IF(WEEKDAY(V238,2)&lt;6,MOD(V238+W238,1),0)
  - IF(WEEKDAY(B238,2)&lt;6,MOD(B238+C238,1),0)
)
&amp; ":" &amp;
TEXT(HOUR(
  NETWORKDAYS(B238,V238)-1
  + IF(WEEKDAY(V238,2)&lt;6,MOD(V238+W238,1),0)
  - IF(WEEKDAY(B238,2)&lt;6,MOD(B238+C238,1),0)
),"00")
&amp; ":" &amp;
TEXT(MINUTE(
  NETWORKDAYS(B238,V238)-1
  + IF(WEEKDAY(V238,2)&lt;6,MOD(V238+W238,1),0)
  - IF(WEEKDAY(B238,2)&lt;6,MOD(B238+C238,1),0)
),"00")</f>
        <v>10:19:44</v>
      </c>
      <c r="AQ238" s="0" t="n">
        <f aca="false">IFERROR(
LEFT(AP238,FIND(":",AP238)-1)
+ MID(AP238,FIND(":",AP238)+1,2)/24
+ RIGHT(AP238,2)/1440,
"")</f>
        <v>10.8222222222222</v>
      </c>
      <c r="AR238" s="0" t="n">
        <f aca="false">WEEKNUM(B238,1)</f>
        <v>12</v>
      </c>
      <c r="AS238" s="17" t="n">
        <f aca="false">IF(B238&gt;0, (B238+C238)-TIME(13,30,0), "")</f>
        <v>46098.4944444444</v>
      </c>
      <c r="AT238" s="18" t="n">
        <f aca="false">IF(B238&gt;0, (B238+C238)-TIME(13,30,0), "")</f>
        <v>46098.4944444444</v>
      </c>
      <c r="AU238" s="17" t="n">
        <f aca="false">IF(V238&gt;0, (V238+W238)-TIME(13,30,0), "")</f>
        <v>46113.3166666667</v>
      </c>
      <c r="AV238" s="18" t="n">
        <f aca="false">IF(V238&gt;0, (V238+W238)-TIME(13,30,0), "")</f>
        <v>46113.3166666667</v>
      </c>
      <c r="AW238" s="19" t="n">
        <f aca="false">24*(
MAX(0,
IF(NETWORKDAYS(AS238,AU238)=1,
MIN(MOD(AV238,1),TIME(17,30,0)) - MAX(MOD(AT238,1),TIME(8,30,0)),
(TIME(17,30,0)-MAX(MOD(AT238,1),TIME(8,30,0)))
+ (MIN(MOD(AV238,1),TIME(17,30,0))-TIME(8,30,0))
+ (NETWORKDAYS(AS238,AU238)-2)*9/24
)
)
)</f>
        <v>94.7333333333333</v>
      </c>
      <c r="AX238" s="19" t="n">
        <f aca="false">24*(
MAX(0,
IF(NETWORKDAYS(AS238,AU238)=1,
MIN(MOD(AV238,1),TIME(17,30,0)) - MAX(MOD(AT238,1),TIME(8,30,0)),
(TIME(17,30,0)-MAX(MOD(AT238,1),TIME(8,30,0)))
+ (MIN(MOD(AV238,1),TIME(17,30,0))-TIME(8,30,0))
+ (NETWORKDAYS(AS238,AU238)-2)* (TIME(17,30,0)-TIME(8,30,0))
)
)
)</f>
        <v>94.7333333333333</v>
      </c>
      <c r="AY238" s="20" t="n">
        <f aca="false">ROUND(
IF(AS238=AU238,
MAX(0,
(MIN(MOD(AV238,1),TIME(17,30,0))-
MAX(MOD(AT238,1),TIME(8,30,0)))*24
),
(
(MAX(0,TIME(17,30,0)-MAX(MOD(AT238,1),TIME(8,30,0)))*24)
+
(MAX(0,MIN(MOD(AV238,1),TIME(17,30,0))-TIME(8,30,0))*24)
+
(MAX(0,NETWORKDAYS(AS238+1,AU238-1))*9)
)
),
2)</f>
        <v>95.63</v>
      </c>
      <c r="AZ238" s="0" t="n">
        <f aca="false" t="array" ref="AZ238:AZ238">_xlfn.XLOOKUP(J238,{"Low","Medium","High"},{270,72,24})</f>
        <v>270</v>
      </c>
      <c r="BA238" s="0" t="str">
        <f aca="false">IF(AW238&gt;AZ238,"Not Met","Met")</f>
        <v>Met</v>
      </c>
      <c r="BB238" s="21" t="str">
        <f aca="false">IF(AS238="","",TEXT(AS238,"MMM")&amp;"'"&amp;TEXT(AS238,"yy"))</f>
        <v>Mar'26</v>
      </c>
      <c r="BC238" s="0" t="str">
        <f aca="false">IF(AU238="","",TEXT(AU238,"MMM")&amp;"'"&amp;TEXT(AU238,"yy"))</f>
        <v>Apr'26</v>
      </c>
    </row>
    <row r="239" customFormat="false" ht="15" hidden="false" customHeight="false" outlineLevel="0" collapsed="false">
      <c r="A239" s="1" t="s">
        <v>858</v>
      </c>
      <c r="B239" s="11" t="n">
        <v>46099</v>
      </c>
      <c r="C239" s="12" t="n">
        <v>0.853472222222222</v>
      </c>
      <c r="D239" s="13" t="str">
        <f aca="false">IF(B239="","",TEXT(B239,"MMM")&amp;"'"&amp;TEXT(B239,"yy"))</f>
        <v>Mar'26</v>
      </c>
      <c r="E239" s="27" t="s">
        <v>55</v>
      </c>
      <c r="F239" s="1" t="s">
        <v>39</v>
      </c>
      <c r="G239" s="1" t="str">
        <f aca="false">IF(F239="Closed","Closed","Pending")</f>
        <v>Closed</v>
      </c>
      <c r="H239" s="1" t="s">
        <v>691</v>
      </c>
      <c r="I239" s="1" t="s">
        <v>663</v>
      </c>
      <c r="J239" s="1" t="s">
        <v>74</v>
      </c>
      <c r="K239" s="1" t="s">
        <v>59</v>
      </c>
      <c r="L239" s="1" t="s">
        <v>821</v>
      </c>
      <c r="M239" s="35" t="s">
        <v>361</v>
      </c>
      <c r="N239" s="1" t="s">
        <v>65</v>
      </c>
      <c r="O239" s="1" t="s">
        <v>106</v>
      </c>
      <c r="Q239" s="1" t="s">
        <v>65</v>
      </c>
      <c r="R239" s="1" t="s">
        <v>87</v>
      </c>
      <c r="U239" s="12" t="n">
        <v>0.857638888888889</v>
      </c>
      <c r="V239" s="11" t="n">
        <v>46101</v>
      </c>
      <c r="W239" s="12" t="n">
        <v>0.0430555555555556</v>
      </c>
      <c r="X239" s="11" t="n">
        <v>46105</v>
      </c>
      <c r="Y239" s="12" t="n">
        <v>0.0256944444444444</v>
      </c>
      <c r="Z239" s="1" t="s">
        <v>67</v>
      </c>
      <c r="AA239" s="1" t="s">
        <v>68</v>
      </c>
      <c r="AB239" s="2" t="e">
        <f aca="false">U239-#REF!</f>
        <v>#REF!</v>
      </c>
      <c r="AC239" s="14" t="n">
        <f aca="false">(V239+W239)-(B239+C239)</f>
        <v>1.18958333333333</v>
      </c>
      <c r="AD239" s="4" t="str">
        <f aca="false">INT((V239+W239)-(B239+C239)) &amp; ":" &amp;
TEXT(HOUR((V239+W239)-(B239+C239)), "00") &amp; ":" &amp;
TEXT(MINUTE((V239+W239)-(B239+C239)), "00")</f>
        <v>1:04:33</v>
      </c>
      <c r="AE239" s="1" t="n">
        <f aca="false">IFERROR(
LEFT(AD239,FIND(":",AD239)-1)
+ MID(AD239,FIND(":",AD239)+1,2)/24
+ RIGHT(AD239,2)/1440,
"")</f>
        <v>1.18958333333333</v>
      </c>
      <c r="AF239" s="4" t="str">
        <f aca="false">INT((X239+Y239)-(B239+C239)) &amp; ":" &amp;
TEXT(HOUR((X239+Y239)-(B239+C239)), "00") &amp; ":" &amp;
TEXT(MINUTE((X239+Y239)-(B239+C239)), "00")</f>
        <v>5:04:08</v>
      </c>
      <c r="AG239" s="4" t="str">
        <f aca="false" t="array" ref="AG239:AG239">INT(_xlfn.XLOOKUP(J239,{"Low","Medium","High","Urgent"},{48,24,12,8})/24) &amp; ":" &amp;
TEXT(MOD(_xlfn.XLOOKUP(J239,{"Low","Medium","High","Urgent"},{48,24,12,8}),24)/24,"hh:mm")</f>
        <v>2:00:00</v>
      </c>
      <c r="AH239" s="4" t="str">
        <f aca="false">IF(AD239&gt;AG239,"Not Met","Met")</f>
        <v>Met</v>
      </c>
      <c r="AI239" s="4" t="e">
        <f aca="false">IF(AB239&lt;TIME(0,30,0),"Met","Not Met")</f>
        <v>#REF!</v>
      </c>
      <c r="AN239" s="1" t="str">
        <f aca="false">TEXT(B239,"dd")</f>
        <v>18</v>
      </c>
      <c r="AO239" s="1" t="str">
        <f aca="false">TEXT(X239,"dd")</f>
        <v>24</v>
      </c>
      <c r="AP239" s="16" t="str">
        <f aca="false">INT(
  NETWORKDAYS(B239,V239)-1
  + IF(WEEKDAY(V239,2)&lt;6,MOD(V239+W239,1),0)
  - IF(WEEKDAY(B239,2)&lt;6,MOD(B239+C239,1),0)
)
&amp; ":" &amp;
TEXT(HOUR(
  NETWORKDAYS(B239,V239)-1
  + IF(WEEKDAY(V239,2)&lt;6,MOD(V239+W239,1),0)
  - IF(WEEKDAY(B239,2)&lt;6,MOD(B239+C239,1),0)
),"00")
&amp; ":" &amp;
TEXT(MINUTE(
  NETWORKDAYS(B239,V239)-1
  + IF(WEEKDAY(V239,2)&lt;6,MOD(V239+W239,1),0)
  - IF(WEEKDAY(B239,2)&lt;6,MOD(B239+C239,1),0)
),"00")</f>
        <v>1:04:32</v>
      </c>
      <c r="AQ239" s="0" t="n">
        <f aca="false">IFERROR(
LEFT(AP239,FIND(":",AP239)-1)
+ MID(AP239,FIND(":",AP239)+1,2)/24
+ RIGHT(AP239,2)/1440,
"")</f>
        <v>1.18888888888889</v>
      </c>
      <c r="AR239" s="0" t="n">
        <f aca="false">WEEKNUM(B239,1)</f>
        <v>12</v>
      </c>
      <c r="AS239" s="17" t="n">
        <f aca="false">IF(B239&gt;0, (B239+C239)-TIME(13,30,0), "")</f>
        <v>46099.2909722222</v>
      </c>
      <c r="AT239" s="18" t="n">
        <f aca="false">IF(B239&gt;0, (B239+C239)-TIME(13,30,0), "")</f>
        <v>46099.2909722222</v>
      </c>
      <c r="AU239" s="17" t="n">
        <f aca="false">IF(V239&gt;0, (V239+W239)-TIME(13,30,0), "")</f>
        <v>46100.4805555556</v>
      </c>
      <c r="AV239" s="18" t="n">
        <f aca="false">IF(V239&gt;0, (V239+W239)-TIME(13,30,0), "")</f>
        <v>46100.4805555556</v>
      </c>
      <c r="AW239" s="19" t="n">
        <f aca="false">24*(
MAX(0,
IF(NETWORKDAYS(AS239,AU239)=1,
MIN(MOD(AV239,1),TIME(17,30,0)) - MAX(MOD(AT239,1),TIME(8,30,0)),
(TIME(17,30,0)-MAX(MOD(AT239,1),TIME(8,30,0)))
+ (MIN(MOD(AV239,1),TIME(17,30,0))-TIME(8,30,0))
+ (NETWORKDAYS(AS239,AU239)-2)*9/24
)
)
)</f>
        <v>12.0333333333333</v>
      </c>
      <c r="AX239" s="19" t="n">
        <f aca="false">24*(
MAX(0,
IF(NETWORKDAYS(AS239,AU239)=1,
MIN(MOD(AV239,1),TIME(17,30,0)) - MAX(MOD(AT239,1),TIME(8,30,0)),
(TIME(17,30,0)-MAX(MOD(AT239,1),TIME(8,30,0)))
+ (MIN(MOD(AV239,1),TIME(17,30,0))-TIME(8,30,0))
+ (NETWORKDAYS(AS239,AU239)-2)* (TIME(17,30,0)-TIME(8,30,0))
)
)
)</f>
        <v>12.0333333333333</v>
      </c>
      <c r="AY239" s="20" t="n">
        <f aca="false">ROUND(
IF(AS239=AU239,
MAX(0,
(MIN(MOD(AV239,1),TIME(17,30,0))-
MAX(MOD(AT239,1),TIME(8,30,0)))*24
),
(
(MAX(0,TIME(17,30,0)-MAX(MOD(AT239,1),TIME(8,30,0)))*24)
+
(MAX(0,MIN(MOD(AV239,1),TIME(17,30,0))-TIME(8,30,0))*24)
+
(MAX(0,NETWORKDAYS(AS239+1,AU239-1))*9)
)
),
2)</f>
        <v>12.03</v>
      </c>
      <c r="AZ239" s="0" t="n">
        <f aca="false" t="array" ref="AZ239:AZ239">_xlfn.XLOOKUP(J239,{"Low","Medium","High"},{270,72,24})</f>
        <v>270</v>
      </c>
      <c r="BA239" s="0" t="str">
        <f aca="false">IF(AW239&gt;AZ239,"Not Met","Met")</f>
        <v>Met</v>
      </c>
      <c r="BB239" s="21" t="str">
        <f aca="false">IF(AS239="","",TEXT(AS239,"MMM")&amp;"'"&amp;TEXT(AS239,"yy"))</f>
        <v>Mar'26</v>
      </c>
      <c r="BC239" s="0" t="str">
        <f aca="false">IF(AU239="","",TEXT(AU239,"MMM")&amp;"'"&amp;TEXT(AU239,"yy"))</f>
        <v>Mar'26</v>
      </c>
    </row>
    <row r="240" customFormat="false" ht="15" hidden="false" customHeight="false" outlineLevel="0" collapsed="false">
      <c r="A240" s="1" t="s">
        <v>859</v>
      </c>
      <c r="B240" s="11" t="n">
        <v>46100</v>
      </c>
      <c r="C240" s="12" t="n">
        <v>0.114583333333333</v>
      </c>
      <c r="D240" s="13" t="str">
        <f aca="false">IF(B240="","",TEXT(B240,"MMM")&amp;"'"&amp;TEXT(B240,"yy"))</f>
        <v>Mar'26</v>
      </c>
      <c r="E240" s="27" t="s">
        <v>55</v>
      </c>
      <c r="F240" s="1" t="s">
        <v>39</v>
      </c>
      <c r="G240" s="1" t="str">
        <f aca="false">IF(F240="Closed","Closed","Pending")</f>
        <v>Closed</v>
      </c>
      <c r="H240" s="1" t="s">
        <v>81</v>
      </c>
      <c r="I240" s="1" t="s">
        <v>82</v>
      </c>
      <c r="J240" s="1" t="s">
        <v>74</v>
      </c>
      <c r="K240" s="1" t="s">
        <v>59</v>
      </c>
      <c r="L240" s="1" t="s">
        <v>860</v>
      </c>
      <c r="M240" s="35" t="s">
        <v>861</v>
      </c>
      <c r="N240" s="1" t="s">
        <v>65</v>
      </c>
      <c r="O240" s="1" t="s">
        <v>106</v>
      </c>
      <c r="Q240" s="1" t="s">
        <v>65</v>
      </c>
      <c r="R240" s="1" t="s">
        <v>87</v>
      </c>
      <c r="U240" s="12" t="n">
        <v>0.118055555555556</v>
      </c>
      <c r="V240" s="11" t="n">
        <v>46106</v>
      </c>
      <c r="W240" s="12" t="n">
        <v>0.888888888888889</v>
      </c>
      <c r="X240" s="11" t="n">
        <v>46106</v>
      </c>
      <c r="Y240" s="12" t="n">
        <v>0.933333333333333</v>
      </c>
      <c r="Z240" s="1" t="s">
        <v>67</v>
      </c>
      <c r="AA240" s="1" t="s">
        <v>68</v>
      </c>
      <c r="AB240" s="2" t="e">
        <f aca="false">U240-#REF!</f>
        <v>#REF!</v>
      </c>
      <c r="AC240" s="14" t="n">
        <f aca="false">(V240+W240)-(B240+C240)</f>
        <v>6.77430555555556</v>
      </c>
      <c r="AD240" s="4" t="str">
        <f aca="false">INT((V240+W240)-(B240+C240)) &amp; ":" &amp;
TEXT(HOUR((V240+W240)-(B240+C240)), "00") &amp; ":" &amp;
TEXT(MINUTE((V240+W240)-(B240+C240)), "00")</f>
        <v>6:18:35</v>
      </c>
      <c r="AE240" s="1" t="n">
        <f aca="false">IFERROR(
LEFT(AD240,FIND(":",AD240)-1)
+ MID(AD240,FIND(":",AD240)+1,2)/24
+ RIGHT(AD240,2)/1440,
"")</f>
        <v>6.77430555555556</v>
      </c>
      <c r="AF240" s="4" t="str">
        <f aca="false">INT((X240+Y240)-(B240+C240)) &amp; ":" &amp;
TEXT(HOUR((X240+Y240)-(B240+C240)), "00") &amp; ":" &amp;
TEXT(MINUTE((X240+Y240)-(B240+C240)), "00")</f>
        <v>6:19:39</v>
      </c>
      <c r="AG240" s="4" t="str">
        <f aca="false" t="array" ref="AG240:AG240">INT(_xlfn.XLOOKUP(J240,{"Low","Medium","High","Urgent"},{48,24,12,8})/24) &amp; ":" &amp;
TEXT(MOD(_xlfn.XLOOKUP(J240,{"Low","Medium","High","Urgent"},{48,24,12,8}),24)/24,"hh:mm")</f>
        <v>2:00:00</v>
      </c>
      <c r="AH240" s="4" t="str">
        <f aca="false">IF(AD240&gt;AG240,"Not Met","Met")</f>
        <v>Not Met</v>
      </c>
      <c r="AI240" s="4" t="e">
        <f aca="false">IF(AB240&lt;TIME(0,30,0),"Met","Not Met")</f>
        <v>#REF!</v>
      </c>
      <c r="AN240" s="1" t="str">
        <f aca="false">TEXT(B240,"dd")</f>
        <v>19</v>
      </c>
      <c r="AO240" s="1" t="str">
        <f aca="false">TEXT(X240,"dd")</f>
        <v>25</v>
      </c>
      <c r="AP240" s="16" t="str">
        <f aca="false">INT(
  NETWORKDAYS(B240,V240)-1
  + IF(WEEKDAY(V240,2)&lt;6,MOD(V240+W240,1),0)
  - IF(WEEKDAY(B240,2)&lt;6,MOD(B240+C240,1),0)
)
&amp; ":" &amp;
TEXT(HOUR(
  NETWORKDAYS(B240,V240)-1
  + IF(WEEKDAY(V240,2)&lt;6,MOD(V240+W240,1),0)
  - IF(WEEKDAY(B240,2)&lt;6,MOD(B240+C240,1),0)
),"00")
&amp; ":" &amp;
TEXT(MINUTE(
  NETWORKDAYS(B240,V240)-1
  + IF(WEEKDAY(V240,2)&lt;6,MOD(V240+W240,1),0)
  - IF(WEEKDAY(B240,2)&lt;6,MOD(B240+C240,1),0)
),"00")</f>
        <v>4:18:34</v>
      </c>
      <c r="AQ240" s="0" t="n">
        <f aca="false">IFERROR(
LEFT(AP240,FIND(":",AP240)-1)
+ MID(AP240,FIND(":",AP240)+1,2)/24
+ RIGHT(AP240,2)/1440,
"")</f>
        <v>4.77361111111111</v>
      </c>
      <c r="AR240" s="0" t="n">
        <f aca="false">WEEKNUM(B240,1)</f>
        <v>12</v>
      </c>
      <c r="AS240" s="17" t="n">
        <f aca="false">IF(B240&gt;0, (B240+C240)-TIME(13,30,0), "")</f>
        <v>46099.5520833333</v>
      </c>
      <c r="AT240" s="18" t="n">
        <f aca="false">IF(B240&gt;0, (B240+C240)-TIME(13,30,0), "")</f>
        <v>46099.5520833333</v>
      </c>
      <c r="AU240" s="17" t="n">
        <f aca="false">IF(V240&gt;0, (V240+W240)-TIME(13,30,0), "")</f>
        <v>46106.3263888889</v>
      </c>
      <c r="AV240" s="18" t="n">
        <f aca="false">IF(V240&gt;0, (V240+W240)-TIME(13,30,0), "")</f>
        <v>46106.3263888889</v>
      </c>
      <c r="AW240" s="19" t="n">
        <f aca="false">24*(
MAX(0,
IF(NETWORKDAYS(AS240,AU240)=1,
MIN(MOD(AV240,1),TIME(17,30,0)) - MAX(MOD(AT240,1),TIME(8,30,0)),
(TIME(17,30,0)-MAX(MOD(AT240,1),TIME(8,30,0)))
+ (MIN(MOD(AV240,1),TIME(17,30,0))-TIME(8,30,0))
+ (NETWORKDAYS(AS240,AU240)-2)*9/24
)
)
)</f>
        <v>39.5833333333333</v>
      </c>
      <c r="AX240" s="19" t="n">
        <f aca="false">24*(
MAX(0,
IF(NETWORKDAYS(AS240,AU240)=1,
MIN(MOD(AV240,1),TIME(17,30,0)) - MAX(MOD(AT240,1),TIME(8,30,0)),
(TIME(17,30,0)-MAX(MOD(AT240,1),TIME(8,30,0)))
+ (MIN(MOD(AV240,1),TIME(17,30,0))-TIME(8,30,0))
+ (NETWORKDAYS(AS240,AU240)-2)* (TIME(17,30,0)-TIME(8,30,0))
)
)
)</f>
        <v>39.5833333333333</v>
      </c>
      <c r="AY240" s="20" t="n">
        <f aca="false">ROUND(
IF(AS240=AU240,
MAX(0,
(MIN(MOD(AV240,1),TIME(17,30,0))-
MAX(MOD(AT240,1),TIME(8,30,0)))*24
),
(
(MAX(0,TIME(17,30,0)-MAX(MOD(AT240,1),TIME(8,30,0)))*24)
+
(MAX(0,MIN(MOD(AV240,1),TIME(17,30,0))-TIME(8,30,0))*24)
+
(MAX(0,NETWORKDAYS(AS240+1,AU240-1))*9)
)
),
2)</f>
        <v>40.25</v>
      </c>
      <c r="AZ240" s="0" t="n">
        <f aca="false" t="array" ref="AZ240:AZ240">_xlfn.XLOOKUP(J240,{"Low","Medium","High"},{270,72,24})</f>
        <v>270</v>
      </c>
      <c r="BA240" s="0" t="str">
        <f aca="false">IF(AW240&gt;AZ240,"Not Met","Met")</f>
        <v>Met</v>
      </c>
      <c r="BB240" s="21" t="str">
        <f aca="false">IF(AS240="","",TEXT(AS240,"MMM")&amp;"'"&amp;TEXT(AS240,"yy"))</f>
        <v>Mar'26</v>
      </c>
      <c r="BC240" s="0" t="str">
        <f aca="false">IF(AU240="","",TEXT(AU240,"MMM")&amp;"'"&amp;TEXT(AU240,"yy"))</f>
        <v>Mar'26</v>
      </c>
    </row>
    <row r="241" customFormat="false" ht="15" hidden="false" customHeight="false" outlineLevel="0" collapsed="false">
      <c r="A241" s="1" t="s">
        <v>862</v>
      </c>
      <c r="B241" s="11" t="n">
        <v>46100</v>
      </c>
      <c r="C241" s="12" t="n">
        <v>0.159722222222222</v>
      </c>
      <c r="D241" s="13" t="str">
        <f aca="false">IF(B241="","",TEXT(B241,"MMM")&amp;"'"&amp;TEXT(B241,"yy"))</f>
        <v>Mar'26</v>
      </c>
      <c r="E241" s="27" t="s">
        <v>55</v>
      </c>
      <c r="F241" s="1" t="s">
        <v>39</v>
      </c>
      <c r="G241" s="1" t="str">
        <f aca="false">IF(F241="Closed","Closed","Pending")</f>
        <v>Closed</v>
      </c>
      <c r="H241" s="26" t="s">
        <v>157</v>
      </c>
      <c r="I241" s="26" t="s">
        <v>863</v>
      </c>
      <c r="J241" s="1" t="s">
        <v>74</v>
      </c>
      <c r="K241" s="1" t="s">
        <v>59</v>
      </c>
      <c r="L241" s="1" t="s">
        <v>864</v>
      </c>
      <c r="M241" s="35" t="s">
        <v>865</v>
      </c>
      <c r="N241" s="1" t="s">
        <v>65</v>
      </c>
      <c r="O241" s="1" t="s">
        <v>106</v>
      </c>
      <c r="Q241" s="1" t="s">
        <v>65</v>
      </c>
      <c r="R241" s="1" t="s">
        <v>66</v>
      </c>
      <c r="U241" s="12" t="n">
        <v>0.225694444444444</v>
      </c>
      <c r="V241" s="11" t="n">
        <v>46101</v>
      </c>
      <c r="W241" s="12" t="n">
        <v>0.0486111111111111</v>
      </c>
      <c r="X241" s="11" t="n">
        <v>46101</v>
      </c>
      <c r="Y241" s="12" t="n">
        <v>0.111805555555556</v>
      </c>
      <c r="Z241" s="1" t="s">
        <v>108</v>
      </c>
      <c r="AA241" s="1" t="s">
        <v>68</v>
      </c>
      <c r="AB241" s="2" t="e">
        <f aca="false">U241-#REF!</f>
        <v>#REF!</v>
      </c>
      <c r="AC241" s="14" t="n">
        <f aca="false">(V241+W241)-(B241+C241)</f>
        <v>0.888888888888889</v>
      </c>
      <c r="AD241" s="4" t="str">
        <f aca="false">INT((V241+W241)-(B241+C241)) &amp; ":" &amp;
TEXT(HOUR((V241+W241)-(B241+C241)), "00") &amp; ":" &amp;
TEXT(MINUTE((V241+W241)-(B241+C241)), "00")</f>
        <v>0:21:20</v>
      </c>
      <c r="AE241" s="1" t="n">
        <f aca="false">IFERROR(
LEFT(AD241,FIND(":",AD241)-1)
+ MID(AD241,FIND(":",AD241)+1,2)/24
+ RIGHT(AD241,2)/1440,
"")</f>
        <v>0.888888888888889</v>
      </c>
      <c r="AF241" s="4" t="str">
        <f aca="false">INT((X241+Y241)-(B241+C241)) &amp; ":" &amp;
TEXT(HOUR((X241+Y241)-(B241+C241)), "00") &amp; ":" &amp;
TEXT(MINUTE((X241+Y241)-(B241+C241)), "00")</f>
        <v>0:22:51</v>
      </c>
      <c r="AG241" s="4" t="str">
        <f aca="false" t="array" ref="AG241:AG241">INT(_xlfn.XLOOKUP(J241,{"Low","Medium","High","Urgent"},{48,24,12,8})/24) &amp; ":" &amp;
TEXT(MOD(_xlfn.XLOOKUP(J241,{"Low","Medium","High","Urgent"},{48,24,12,8}),24)/24,"hh:mm")</f>
        <v>2:00:00</v>
      </c>
      <c r="AH241" s="4" t="str">
        <f aca="false">IF(AD241&gt;AG241,"Not Met","Met")</f>
        <v>Met</v>
      </c>
      <c r="AI241" s="4" t="e">
        <f aca="false">IF(AB241&lt;TIME(0,30,0),"Met","Not Met")</f>
        <v>#REF!</v>
      </c>
      <c r="AN241" s="1" t="str">
        <f aca="false">TEXT(B241,"dd")</f>
        <v>19</v>
      </c>
      <c r="AO241" s="1" t="str">
        <f aca="false">TEXT(X241,"dd")</f>
        <v>20</v>
      </c>
      <c r="AP241" s="16" t="str">
        <f aca="false">INT(
  NETWORKDAYS(B241,V241)-1
  + IF(WEEKDAY(V241,2)&lt;6,MOD(V241+W241,1),0)
  - IF(WEEKDAY(B241,2)&lt;6,MOD(B241+C241,1),0)
)
&amp; ":" &amp;
TEXT(HOUR(
  NETWORKDAYS(B241,V241)-1
  + IF(WEEKDAY(V241,2)&lt;6,MOD(V241+W241,1),0)
  - IF(WEEKDAY(B241,2)&lt;6,MOD(B241+C241,1),0)
),"00")
&amp; ":" &amp;
TEXT(MINUTE(
  NETWORKDAYS(B241,V241)-1
  + IF(WEEKDAY(V241,2)&lt;6,MOD(V241+W241,1),0)
  - IF(WEEKDAY(B241,2)&lt;6,MOD(B241+C241,1),0)
),"00")</f>
        <v>0:21:20</v>
      </c>
      <c r="AQ241" s="0" t="n">
        <f aca="false">IFERROR(
LEFT(AP241,FIND(":",AP241)-1)
+ MID(AP241,FIND(":",AP241)+1,2)/24
+ RIGHT(AP241,2)/1440,
"")</f>
        <v>0.888888888888889</v>
      </c>
      <c r="AR241" s="0" t="n">
        <f aca="false">WEEKNUM(B241,1)</f>
        <v>12</v>
      </c>
      <c r="AS241" s="17" t="n">
        <f aca="false">IF(B241&gt;0, (B241+C241)-TIME(13,30,0), "")</f>
        <v>46099.5972222222</v>
      </c>
      <c r="AT241" s="18" t="n">
        <f aca="false">IF(B241&gt;0, (B241+C241)-TIME(13,30,0), "")</f>
        <v>46099.5972222222</v>
      </c>
      <c r="AU241" s="17" t="n">
        <f aca="false">IF(V241&gt;0, (V241+W241)-TIME(13,30,0), "")</f>
        <v>46100.4861111111</v>
      </c>
      <c r="AV241" s="18" t="n">
        <f aca="false">IF(V241&gt;0, (V241+W241)-TIME(13,30,0), "")</f>
        <v>46100.4861111111</v>
      </c>
      <c r="AW241" s="19" t="n">
        <f aca="false">24*(
MAX(0,
IF(NETWORKDAYS(AS241,AU241)=1,
MIN(MOD(AV241,1),TIME(17,30,0)) - MAX(MOD(AT241,1),TIME(8,30,0)),
(TIME(17,30,0)-MAX(MOD(AT241,1),TIME(8,30,0)))
+ (MIN(MOD(AV241,1),TIME(17,30,0))-TIME(8,30,0))
+ (NETWORKDAYS(AS241,AU241)-2)*9/24
)
)
)</f>
        <v>6.33333333333333</v>
      </c>
      <c r="AX241" s="19" t="n">
        <f aca="false">24*(
MAX(0,
IF(NETWORKDAYS(AS241,AU241)=1,
MIN(MOD(AV241,1),TIME(17,30,0)) - MAX(MOD(AT241,1),TIME(8,30,0)),
(TIME(17,30,0)-MAX(MOD(AT241,1),TIME(8,30,0)))
+ (MIN(MOD(AV241,1),TIME(17,30,0))-TIME(8,30,0))
+ (NETWORKDAYS(AS241,AU241)-2)* (TIME(17,30,0)-TIME(8,30,0))
)
)
)</f>
        <v>6.33333333333333</v>
      </c>
      <c r="AY241" s="20" t="n">
        <f aca="false">ROUND(
IF(AS241=AU241,
MAX(0,
(MIN(MOD(AV241,1),TIME(17,30,0))-
MAX(MOD(AT241,1),TIME(8,30,0)))*24
),
(
(MAX(0,TIME(17,30,0)-MAX(MOD(AT241,1),TIME(8,30,0)))*24)
+
(MAX(0,MIN(MOD(AV241,1),TIME(17,30,0))-TIME(8,30,0))*24)
+
(MAX(0,NETWORKDAYS(AS241+1,AU241-1))*9)
)
),
2)</f>
        <v>6.33</v>
      </c>
      <c r="AZ241" s="0" t="n">
        <f aca="false" t="array" ref="AZ241:AZ241">_xlfn.XLOOKUP(J241,{"Low","Medium","High"},{270,72,24})</f>
        <v>270</v>
      </c>
      <c r="BA241" s="0" t="str">
        <f aca="false">IF(AW241&gt;AZ241,"Not Met","Met")</f>
        <v>Met</v>
      </c>
      <c r="BB241" s="21" t="str">
        <f aca="false">IF(AS241="","",TEXT(AS241,"MMM")&amp;"'"&amp;TEXT(AS241,"yy"))</f>
        <v>Mar'26</v>
      </c>
      <c r="BC241" s="0" t="str">
        <f aca="false">IF(AU241="","",TEXT(AU241,"MMM")&amp;"'"&amp;TEXT(AU241,"yy"))</f>
        <v>Mar'26</v>
      </c>
    </row>
    <row r="242" customFormat="false" ht="15" hidden="false" customHeight="false" outlineLevel="0" collapsed="false">
      <c r="A242" s="1" t="s">
        <v>866</v>
      </c>
      <c r="B242" s="11" t="n">
        <v>46100</v>
      </c>
      <c r="C242" s="12" t="n">
        <v>0.8125</v>
      </c>
      <c r="D242" s="13" t="str">
        <f aca="false">IF(B242="","",TEXT(B242,"MMM")&amp;"'"&amp;TEXT(B242,"yy"))</f>
        <v>Mar'26</v>
      </c>
      <c r="E242" s="27" t="s">
        <v>55</v>
      </c>
      <c r="F242" s="29" t="s">
        <v>39</v>
      </c>
      <c r="G242" s="1" t="str">
        <f aca="false">IF(F242="Closed","Closed","Pending")</f>
        <v>Closed</v>
      </c>
      <c r="H242" s="1" t="s">
        <v>72</v>
      </c>
      <c r="I242" s="1" t="s">
        <v>867</v>
      </c>
      <c r="J242" s="35" t="s">
        <v>74</v>
      </c>
      <c r="K242" s="1" t="s">
        <v>59</v>
      </c>
      <c r="L242" s="29" t="s">
        <v>868</v>
      </c>
      <c r="M242" s="1" t="s">
        <v>869</v>
      </c>
      <c r="N242" s="1" t="s">
        <v>62</v>
      </c>
      <c r="O242" s="1" t="s">
        <v>77</v>
      </c>
      <c r="Q242" s="1" t="s">
        <v>65</v>
      </c>
      <c r="R242" s="1" t="s">
        <v>66</v>
      </c>
      <c r="U242" s="12" t="n">
        <v>0.8875</v>
      </c>
      <c r="V242" s="11" t="n">
        <v>46101</v>
      </c>
      <c r="W242" s="12" t="n">
        <v>0.900694444444445</v>
      </c>
      <c r="X242" s="11" t="n">
        <v>46109</v>
      </c>
      <c r="Y242" s="12" t="n">
        <v>0.0118055555555556</v>
      </c>
      <c r="Z242" s="1" t="s">
        <v>108</v>
      </c>
      <c r="AA242" s="1" t="s">
        <v>68</v>
      </c>
      <c r="AB242" s="2" t="e">
        <f aca="false">U242-#REF!</f>
        <v>#REF!</v>
      </c>
      <c r="AC242" s="14" t="n">
        <f aca="false">(V242+W242)-(B242+C242)</f>
        <v>1.08819444444444</v>
      </c>
      <c r="AD242" s="4" t="str">
        <f aca="false">INT((V242+W242)-(B242+C242)) &amp; ":" &amp;
TEXT(HOUR((V242+W242)-(B242+C242)), "00") &amp; ":" &amp;
TEXT(MINUTE((V242+W242)-(B242+C242)), "00")</f>
        <v>1:02:07</v>
      </c>
      <c r="AE242" s="1" t="n">
        <f aca="false">IFERROR(
LEFT(AD242,FIND(":",AD242)-1)
+ MID(AD242,FIND(":",AD242)+1,2)/24
+ RIGHT(AD242,2)/1440,
"")</f>
        <v>1.08819444444444</v>
      </c>
      <c r="AF242" s="4" t="str">
        <f aca="false">INT((X242+Y242)-(B242+C242)) &amp; ":" &amp;
TEXT(HOUR((X242+Y242)-(B242+C242)), "00") &amp; ":" &amp;
TEXT(MINUTE((X242+Y242)-(B242+C242)), "00")</f>
        <v>8:04:47</v>
      </c>
      <c r="AG242" s="4" t="str">
        <f aca="false" t="array" ref="AG242:AG242">INT(_xlfn.XLOOKUP(J242,{"Low","Medium","High","Urgent"},{48,24,12,8})/24) &amp; ":" &amp;
TEXT(MOD(_xlfn.XLOOKUP(J242,{"Low","Medium","High","Urgent"},{48,24,12,8}),24)/24,"hh:mm")</f>
        <v>2:00:00</v>
      </c>
      <c r="AH242" s="4" t="str">
        <f aca="false">IF(AD242&gt;AG242,"Not Met","Met")</f>
        <v>Met</v>
      </c>
      <c r="AI242" s="4" t="e">
        <f aca="false">IF(AB242&lt;TIME(0,30,0),"Met","Not Met")</f>
        <v>#REF!</v>
      </c>
      <c r="AN242" s="1" t="str">
        <f aca="false">TEXT(B242,"dd")</f>
        <v>19</v>
      </c>
      <c r="AO242" s="1" t="str">
        <f aca="false">TEXT(X242,"dd")</f>
        <v>28</v>
      </c>
      <c r="AP242" s="16" t="str">
        <f aca="false">INT(
  NETWORKDAYS(B242,V242)-1
  + IF(WEEKDAY(V242,2)&lt;6,MOD(V242+W242,1),0)
  - IF(WEEKDAY(B242,2)&lt;6,MOD(B242+C242,1),0)
)
&amp; ":" &amp;
TEXT(HOUR(
  NETWORKDAYS(B242,V242)-1
  + IF(WEEKDAY(V242,2)&lt;6,MOD(V242+W242,1),0)
  - IF(WEEKDAY(B242,2)&lt;6,MOD(B242+C242,1),0)
),"00")
&amp; ":" &amp;
TEXT(MINUTE(
  NETWORKDAYS(B242,V242)-1
  + IF(WEEKDAY(V242,2)&lt;6,MOD(V242+W242,1),0)
  - IF(WEEKDAY(B242,2)&lt;6,MOD(B242+C242,1),0)
),"00")</f>
        <v>1:02:06</v>
      </c>
      <c r="AQ242" s="0" t="n">
        <f aca="false">IFERROR(
LEFT(AP242,FIND(":",AP242)-1)
+ MID(AP242,FIND(":",AP242)+1,2)/24
+ RIGHT(AP242,2)/1440,
"")</f>
        <v>1.0875</v>
      </c>
      <c r="AR242" s="0" t="n">
        <f aca="false">WEEKNUM(B242,1)</f>
        <v>12</v>
      </c>
      <c r="AS242" s="17" t="n">
        <f aca="false">IF(B242&gt;0, (B242+C242)-TIME(13,30,0), "")</f>
        <v>46100.25</v>
      </c>
      <c r="AT242" s="18" t="n">
        <f aca="false">IF(B242&gt;0, (B242+C242)-TIME(13,30,0), "")</f>
        <v>46100.25</v>
      </c>
      <c r="AU242" s="17" t="n">
        <f aca="false">IF(V242&gt;0, (V242+W242)-TIME(13,30,0), "")</f>
        <v>46101.3381944444</v>
      </c>
      <c r="AV242" s="18" t="n">
        <f aca="false">IF(V242&gt;0, (V242+W242)-TIME(13,30,0), "")</f>
        <v>46101.3381944444</v>
      </c>
      <c r="AW242" s="19" t="n">
        <f aca="false">24*(
MAX(0,
IF(NETWORKDAYS(AS242,AU242)=1,
MIN(MOD(AV242,1),TIME(17,30,0)) - MAX(MOD(AT242,1),TIME(8,30,0)),
(TIME(17,30,0)-MAX(MOD(AT242,1),TIME(8,30,0)))
+ (MIN(MOD(AV242,1),TIME(17,30,0))-TIME(8,30,0))
+ (NETWORKDAYS(AS242,AU242)-2)*9/24
)
)
)</f>
        <v>8.61666666658111</v>
      </c>
      <c r="AX242" s="19" t="n">
        <f aca="false">24*(
MAX(0,
IF(NETWORKDAYS(AS242,AU242)=1,
MIN(MOD(AV242,1),TIME(17,30,0)) - MAX(MOD(AT242,1),TIME(8,30,0)),
(TIME(17,30,0)-MAX(MOD(AT242,1),TIME(8,30,0)))
+ (MIN(MOD(AV242,1),TIME(17,30,0))-TIME(8,30,0))
+ (NETWORKDAYS(AS242,AU242)-2)* (TIME(17,30,0)-TIME(8,30,0))
)
)
)</f>
        <v>8.61666666658111</v>
      </c>
      <c r="AY242" s="20" t="n">
        <f aca="false">ROUND(
IF(AS242=AU242,
MAX(0,
(MIN(MOD(AV242,1),TIME(17,30,0))-
MAX(MOD(AT242,1),TIME(8,30,0)))*24
),
(
(MAX(0,TIME(17,30,0)-MAX(MOD(AT242,1),TIME(8,30,0)))*24)
+
(MAX(0,MIN(MOD(AV242,1),TIME(17,30,0))-TIME(8,30,0))*24)
+
(MAX(0,NETWORKDAYS(AS242+1,AU242-1))*9)
)
),
2)</f>
        <v>9</v>
      </c>
      <c r="AZ242" s="0" t="n">
        <f aca="false" t="array" ref="AZ242:AZ242">_xlfn.XLOOKUP(J242,{"Low","Medium","High"},{270,72,24})</f>
        <v>270</v>
      </c>
      <c r="BA242" s="0" t="str">
        <f aca="false">IF(AW242&gt;AZ242,"Not Met","Met")</f>
        <v>Met</v>
      </c>
      <c r="BB242" s="21" t="str">
        <f aca="false">IF(AS242="","",TEXT(AS242,"MMM")&amp;"'"&amp;TEXT(AS242,"yy"))</f>
        <v>Mar'26</v>
      </c>
      <c r="BC242" s="0" t="str">
        <f aca="false">IF(AU242="","",TEXT(AU242,"MMM")&amp;"'"&amp;TEXT(AU242,"yy"))</f>
        <v>Mar'26</v>
      </c>
    </row>
    <row r="243" customFormat="false" ht="15" hidden="false" customHeight="false" outlineLevel="0" collapsed="false">
      <c r="A243" s="1" t="s">
        <v>870</v>
      </c>
      <c r="B243" s="11" t="n">
        <v>46101</v>
      </c>
      <c r="C243" s="12" t="n">
        <v>0.0229166666666667</v>
      </c>
      <c r="D243" s="13" t="str">
        <f aca="false">IF(B243="","",TEXT(B243,"MMM")&amp;"'"&amp;TEXT(B243,"yy"))</f>
        <v>Mar'26</v>
      </c>
      <c r="E243" s="27" t="s">
        <v>55</v>
      </c>
      <c r="F243" s="1" t="s">
        <v>39</v>
      </c>
      <c r="G243" s="1" t="str">
        <f aca="false">IF(F243="Closed","Closed","Pending")</f>
        <v>Closed</v>
      </c>
      <c r="H243" s="1" t="s">
        <v>120</v>
      </c>
      <c r="I243" s="1" t="s">
        <v>771</v>
      </c>
      <c r="J243" s="35" t="s">
        <v>74</v>
      </c>
      <c r="K243" s="1" t="s">
        <v>59</v>
      </c>
      <c r="L243" s="1" t="s">
        <v>871</v>
      </c>
      <c r="M243" s="1" t="s">
        <v>872</v>
      </c>
      <c r="N243" s="1" t="s">
        <v>62</v>
      </c>
      <c r="O243" s="1" t="s">
        <v>63</v>
      </c>
      <c r="Q243" s="1" t="s">
        <v>229</v>
      </c>
      <c r="R243" s="1" t="s">
        <v>87</v>
      </c>
      <c r="U243" s="12" t="n">
        <v>0.0569444444444444</v>
      </c>
      <c r="V243" s="11" t="n">
        <v>46104</v>
      </c>
      <c r="W243" s="12" t="n">
        <v>0.976388888888889</v>
      </c>
      <c r="X243" s="11" t="n">
        <v>46104</v>
      </c>
      <c r="Y243" s="12" t="n">
        <v>0.979166666666667</v>
      </c>
      <c r="Z243" s="1" t="s">
        <v>67</v>
      </c>
      <c r="AA243" s="1" t="s">
        <v>68</v>
      </c>
      <c r="AB243" s="2" t="e">
        <f aca="false">U243-#REF!</f>
        <v>#REF!</v>
      </c>
      <c r="AC243" s="14" t="n">
        <f aca="false">(V243+W243)-(B243+C243)</f>
        <v>3.95347222222222</v>
      </c>
      <c r="AD243" s="4" t="str">
        <f aca="false">INT((V243+W243)-(B243+C243)) &amp; ":" &amp;
TEXT(HOUR((V243+W243)-(B243+C243)), "00") &amp; ":" &amp;
TEXT(MINUTE((V243+W243)-(B243+C243)), "00")</f>
        <v>3:22:53</v>
      </c>
      <c r="AE243" s="1" t="n">
        <f aca="false">IFERROR(
LEFT(AD243,FIND(":",AD243)-1)
+ MID(AD243,FIND(":",AD243)+1,2)/24
+ RIGHT(AD243,2)/1440,
"")</f>
        <v>3.95347222222222</v>
      </c>
      <c r="AF243" s="4" t="str">
        <f aca="false">INT((X243+Y243)-(B243+C243)) &amp; ":" &amp;
TEXT(HOUR((X243+Y243)-(B243+C243)), "00") &amp; ":" &amp;
TEXT(MINUTE((X243+Y243)-(B243+C243)), "00")</f>
        <v>3:22:57</v>
      </c>
      <c r="AG243" s="4" t="str">
        <f aca="false" t="array" ref="AG243:AG243">INT(_xlfn.XLOOKUP(J243,{"Low","Medium","High","Urgent"},{48,24,12,8})/24) &amp; ":" &amp;
TEXT(MOD(_xlfn.XLOOKUP(J243,{"Low","Medium","High","Urgent"},{48,24,12,8}),24)/24,"hh:mm")</f>
        <v>2:00:00</v>
      </c>
      <c r="AH243" s="4" t="str">
        <f aca="false">IF(AD243&gt;AG243,"Not Met","Met")</f>
        <v>Not Met</v>
      </c>
      <c r="AI243" s="4" t="e">
        <f aca="false">IF(AB243&lt;TIME(0,30,0),"Met","Not Met")</f>
        <v>#REF!</v>
      </c>
      <c r="AN243" s="1" t="str">
        <f aca="false">TEXT(B243,"dd")</f>
        <v>20</v>
      </c>
      <c r="AO243" s="1" t="str">
        <f aca="false">TEXT(X243,"dd")</f>
        <v>23</v>
      </c>
      <c r="AP243" s="16" t="str">
        <f aca="false">INT(
  NETWORKDAYS(B243,V243)-1
  + IF(WEEKDAY(V243,2)&lt;6,MOD(V243+W243,1),0)
  - IF(WEEKDAY(B243,2)&lt;6,MOD(B243+C243,1),0)
)
&amp; ":" &amp;
TEXT(HOUR(
  NETWORKDAYS(B243,V243)-1
  + IF(WEEKDAY(V243,2)&lt;6,MOD(V243+W243,1),0)
  - IF(WEEKDAY(B243,2)&lt;6,MOD(B243+C243,1),0)
),"00")
&amp; ":" &amp;
TEXT(MINUTE(
  NETWORKDAYS(B243,V243)-1
  + IF(WEEKDAY(V243,2)&lt;6,MOD(V243+W243,1),0)
  - IF(WEEKDAY(B243,2)&lt;6,MOD(B243+C243,1),0)
),"00")</f>
        <v>1:22:53</v>
      </c>
      <c r="AQ243" s="0" t="n">
        <f aca="false">IFERROR(
LEFT(AP243,FIND(":",AP243)-1)
+ MID(AP243,FIND(":",AP243)+1,2)/24
+ RIGHT(AP243,2)/1440,
"")</f>
        <v>1.95347222222222</v>
      </c>
      <c r="AR243" s="0" t="n">
        <f aca="false">WEEKNUM(B243,1)</f>
        <v>12</v>
      </c>
      <c r="AS243" s="17" t="n">
        <f aca="false">IF(B243&gt;0, (B243+C243)-TIME(13,30,0), "")</f>
        <v>46100.4604166667</v>
      </c>
      <c r="AT243" s="18" t="n">
        <f aca="false">IF(B243&gt;0, (B243+C243)-TIME(13,30,0), "")</f>
        <v>46100.4604166667</v>
      </c>
      <c r="AU243" s="17" t="n">
        <f aca="false">IF(V243&gt;0, (V243+W243)-TIME(13,30,0), "")</f>
        <v>46104.4138888889</v>
      </c>
      <c r="AV243" s="18" t="n">
        <f aca="false">IF(V243&gt;0, (V243+W243)-TIME(13,30,0), "")</f>
        <v>46104.4138888889</v>
      </c>
      <c r="AW243" s="19" t="n">
        <f aca="false">24*(
MAX(0,
IF(NETWORKDAYS(AS243,AU243)=1,
MIN(MOD(AV243,1),TIME(17,30,0)) - MAX(MOD(AT243,1),TIME(8,30,0)),
(TIME(17,30,0)-MAX(MOD(AT243,1),TIME(8,30,0)))
+ (MIN(MOD(AV243,1),TIME(17,30,0))-TIME(8,30,0))
+ (NETWORKDAYS(AS243,AU243)-2)*9/24
)
)
)</f>
        <v>16.8833333333333</v>
      </c>
      <c r="AX243" s="19" t="n">
        <f aca="false">24*(
MAX(0,
IF(NETWORKDAYS(AS243,AU243)=1,
MIN(MOD(AV243,1),TIME(17,30,0)) - MAX(MOD(AT243,1),TIME(8,30,0)),
(TIME(17,30,0)-MAX(MOD(AT243,1),TIME(8,30,0)))
+ (MIN(MOD(AV243,1),TIME(17,30,0))-TIME(8,30,0))
+ (NETWORKDAYS(AS243,AU243)-2)* (TIME(17,30,0)-TIME(8,30,0))
)
)
)</f>
        <v>16.8833333333333</v>
      </c>
      <c r="AY243" s="20" t="n">
        <f aca="false">ROUND(
IF(AS243=AU243,
MAX(0,
(MIN(MOD(AV243,1),TIME(17,30,0))-
MAX(MOD(AT243,1),TIME(8,30,0)))*24
),
(
(MAX(0,TIME(17,30,0)-MAX(MOD(AT243,1),TIME(8,30,0)))*24)
+
(MAX(0,MIN(MOD(AV243,1),TIME(17,30,0))-TIME(8,30,0))*24)
+
(MAX(0,NETWORKDAYS(AS243+1,AU243-1))*9)
)
),
2)</f>
        <v>16.88</v>
      </c>
      <c r="AZ243" s="0" t="n">
        <f aca="false" t="array" ref="AZ243:AZ243">_xlfn.XLOOKUP(J243,{"Low","Medium","High"},{270,72,24})</f>
        <v>270</v>
      </c>
      <c r="BA243" s="0" t="str">
        <f aca="false">IF(AW243&gt;AZ243,"Not Met","Met")</f>
        <v>Met</v>
      </c>
      <c r="BB243" s="21" t="str">
        <f aca="false">IF(AS243="","",TEXT(AS243,"MMM")&amp;"'"&amp;TEXT(AS243,"yy"))</f>
        <v>Mar'26</v>
      </c>
      <c r="BC243" s="0" t="str">
        <f aca="false">IF(AU243="","",TEXT(AU243,"MMM")&amp;"'"&amp;TEXT(AU243,"yy"))</f>
        <v>Mar'26</v>
      </c>
    </row>
    <row r="244" customFormat="false" ht="15" hidden="false" customHeight="false" outlineLevel="0" collapsed="false">
      <c r="A244" s="1" t="s">
        <v>873</v>
      </c>
      <c r="B244" s="11" t="n">
        <v>46101</v>
      </c>
      <c r="C244" s="12" t="n">
        <v>0.107638888888889</v>
      </c>
      <c r="D244" s="13" t="str">
        <f aca="false">IF(B244="","",TEXT(B244,"MMM")&amp;"'"&amp;TEXT(B244,"yy"))</f>
        <v>Mar'26</v>
      </c>
      <c r="E244" s="27" t="s">
        <v>55</v>
      </c>
      <c r="F244" s="1" t="s">
        <v>39</v>
      </c>
      <c r="G244" s="1" t="str">
        <f aca="false">IF(F244="Closed","Closed","Pending")</f>
        <v>Closed</v>
      </c>
      <c r="H244" s="1" t="s">
        <v>157</v>
      </c>
      <c r="I244" s="1" t="s">
        <v>82</v>
      </c>
      <c r="J244" s="35" t="s">
        <v>74</v>
      </c>
      <c r="K244" s="1" t="s">
        <v>59</v>
      </c>
      <c r="L244" s="1" t="s">
        <v>874</v>
      </c>
      <c r="M244" s="1" t="s">
        <v>875</v>
      </c>
      <c r="N244" s="1" t="s">
        <v>65</v>
      </c>
      <c r="O244" s="1" t="s">
        <v>106</v>
      </c>
      <c r="Q244" s="1" t="s">
        <v>65</v>
      </c>
      <c r="R244" s="1" t="s">
        <v>87</v>
      </c>
      <c r="U244" s="12" t="n">
        <v>0.1125</v>
      </c>
      <c r="V244" s="11" t="n">
        <v>46101</v>
      </c>
      <c r="W244" s="12" t="n">
        <v>0.903472222222222</v>
      </c>
      <c r="X244" s="11" t="n">
        <v>46104</v>
      </c>
      <c r="Y244" s="12" t="n">
        <v>0.879166666666667</v>
      </c>
      <c r="Z244" s="1" t="s">
        <v>67</v>
      </c>
      <c r="AA244" s="1" t="s">
        <v>68</v>
      </c>
      <c r="AB244" s="2" t="e">
        <f aca="false">U244-#REF!</f>
        <v>#REF!</v>
      </c>
      <c r="AC244" s="14" t="n">
        <f aca="false">(V244+W244)-(B244+C244)</f>
        <v>0.795833333333333</v>
      </c>
      <c r="AD244" s="4" t="str">
        <f aca="false">INT((V244+W244)-(B244+C244)) &amp; ":" &amp;
TEXT(HOUR((V244+W244)-(B244+C244)), "00") &amp; ":" &amp;
TEXT(MINUTE((V244+W244)-(B244+C244)), "00")</f>
        <v>0:19:06</v>
      </c>
      <c r="AE244" s="1" t="n">
        <f aca="false">IFERROR(
LEFT(AD244,FIND(":",AD244)-1)
+ MID(AD244,FIND(":",AD244)+1,2)/24
+ RIGHT(AD244,2)/1440,
"")</f>
        <v>0.795833333333333</v>
      </c>
      <c r="AF244" s="4" t="str">
        <f aca="false">INT((X244+Y244)-(B244+C244)) &amp; ":" &amp;
TEXT(HOUR((X244+Y244)-(B244+C244)), "00") &amp; ":" &amp;
TEXT(MINUTE((X244+Y244)-(B244+C244)), "00")</f>
        <v>3:18:31</v>
      </c>
      <c r="AG244" s="4" t="str">
        <f aca="false" t="array" ref="AG244:AG244">INT(_xlfn.XLOOKUP(J244,{"Low","Medium","High","Urgent"},{48,24,12,8})/24) &amp; ":" &amp;
TEXT(MOD(_xlfn.XLOOKUP(J244,{"Low","Medium","High","Urgent"},{48,24,12,8}),24)/24,"hh:mm")</f>
        <v>2:00:00</v>
      </c>
      <c r="AH244" s="4" t="str">
        <f aca="false">IF(AD244&gt;AG244,"Not Met","Met")</f>
        <v>Met</v>
      </c>
      <c r="AI244" s="4" t="e">
        <f aca="false">IF(AB244&lt;TIME(0,30,0),"Met","Not Met")</f>
        <v>#REF!</v>
      </c>
      <c r="AN244" s="1" t="str">
        <f aca="false">TEXT(B244,"dd")</f>
        <v>20</v>
      </c>
      <c r="AO244" s="1" t="str">
        <f aca="false">TEXT(X244,"dd")</f>
        <v>23</v>
      </c>
      <c r="AP244" s="16" t="str">
        <f aca="false">INT(
  NETWORKDAYS(B244,V244)-1
  + IF(WEEKDAY(V244,2)&lt;6,MOD(V244+W244,1),0)
  - IF(WEEKDAY(B244,2)&lt;6,MOD(B244+C244,1),0)
)
&amp; ":" &amp;
TEXT(HOUR(
  NETWORKDAYS(B244,V244)-1
  + IF(WEEKDAY(V244,2)&lt;6,MOD(V244+W244,1),0)
  - IF(WEEKDAY(B244,2)&lt;6,MOD(B244+C244,1),0)
),"00")
&amp; ":" &amp;
TEXT(MINUTE(
  NETWORKDAYS(B244,V244)-1
  + IF(WEEKDAY(V244,2)&lt;6,MOD(V244+W244,1),0)
  - IF(WEEKDAY(B244,2)&lt;6,MOD(B244+C244,1),0)
),"00")</f>
        <v>0:19:05</v>
      </c>
      <c r="AQ244" s="0" t="n">
        <f aca="false">IFERROR(
LEFT(AP244,FIND(":",AP244)-1)
+ MID(AP244,FIND(":",AP244)+1,2)/24
+ RIGHT(AP244,2)/1440,
"")</f>
        <v>0.795138888888889</v>
      </c>
      <c r="AR244" s="0" t="n">
        <f aca="false">WEEKNUM(B244,1)</f>
        <v>12</v>
      </c>
      <c r="AS244" s="17" t="n">
        <f aca="false">IF(B244&gt;0, (B244+C244)-TIME(13,30,0), "")</f>
        <v>46100.5451388889</v>
      </c>
      <c r="AT244" s="18" t="n">
        <f aca="false">IF(B244&gt;0, (B244+C244)-TIME(13,30,0), "")</f>
        <v>46100.5451388889</v>
      </c>
      <c r="AU244" s="17" t="n">
        <f aca="false">IF(V244&gt;0, (V244+W244)-TIME(13,30,0), "")</f>
        <v>46101.3409722222</v>
      </c>
      <c r="AV244" s="18" t="n">
        <f aca="false">IF(V244&gt;0, (V244+W244)-TIME(13,30,0), "")</f>
        <v>46101.3409722222</v>
      </c>
      <c r="AW244" s="19" t="n">
        <f aca="false">24*(
MAX(0,
IF(NETWORKDAYS(AS244,AU244)=1,
MIN(MOD(AV244,1),TIME(17,30,0)) - MAX(MOD(AT244,1),TIME(8,30,0)),
(TIME(17,30,0)-MAX(MOD(AT244,1),TIME(8,30,0)))
+ (MIN(MOD(AV244,1),TIME(17,30,0))-TIME(8,30,0))
+ (NETWORKDAYS(AS244,AU244)-2)*9/24
)
)
)</f>
        <v>4.09999999991445</v>
      </c>
      <c r="AX244" s="19" t="n">
        <f aca="false">24*(
MAX(0,
IF(NETWORKDAYS(AS244,AU244)=1,
MIN(MOD(AV244,1),TIME(17,30,0)) - MAX(MOD(AT244,1),TIME(8,30,0)),
(TIME(17,30,0)-MAX(MOD(AT244,1),TIME(8,30,0)))
+ (MIN(MOD(AV244,1),TIME(17,30,0))-TIME(8,30,0))
+ (NETWORKDAYS(AS244,AU244)-2)* (TIME(17,30,0)-TIME(8,30,0))
)
)
)</f>
        <v>4.09999999991445</v>
      </c>
      <c r="AY244" s="20" t="n">
        <f aca="false">ROUND(
IF(AS244=AU244,
MAX(0,
(MIN(MOD(AV244,1),TIME(17,30,0))-
MAX(MOD(AT244,1),TIME(8,30,0)))*24
),
(
(MAX(0,TIME(17,30,0)-MAX(MOD(AT244,1),TIME(8,30,0)))*24)
+
(MAX(0,MIN(MOD(AV244,1),TIME(17,30,0))-TIME(8,30,0))*24)
+
(MAX(0,NETWORKDAYS(AS244+1,AU244-1))*9)
)
),
2)</f>
        <v>4.42</v>
      </c>
      <c r="AZ244" s="0" t="n">
        <f aca="false" t="array" ref="AZ244:AZ244">_xlfn.XLOOKUP(J244,{"Low","Medium","High"},{270,72,24})</f>
        <v>270</v>
      </c>
      <c r="BA244" s="0" t="str">
        <f aca="false">IF(AW244&gt;AZ244,"Not Met","Met")</f>
        <v>Met</v>
      </c>
      <c r="BB244" s="21" t="str">
        <f aca="false">IF(AS244="","",TEXT(AS244,"MMM")&amp;"'"&amp;TEXT(AS244,"yy"))</f>
        <v>Mar'26</v>
      </c>
      <c r="BC244" s="0" t="str">
        <f aca="false">IF(AU244="","",TEXT(AU244,"MMM")&amp;"'"&amp;TEXT(AU244,"yy"))</f>
        <v>Mar'26</v>
      </c>
    </row>
    <row r="245" customFormat="false" ht="15" hidden="false" customHeight="false" outlineLevel="0" collapsed="false">
      <c r="A245" s="1" t="s">
        <v>876</v>
      </c>
      <c r="B245" s="11" t="n">
        <v>46101</v>
      </c>
      <c r="C245" s="12" t="n">
        <v>0.149305555555556</v>
      </c>
      <c r="D245" s="13" t="str">
        <f aca="false">IF(B245="","",TEXT(B245,"MMM")&amp;"'"&amp;TEXT(B245,"yy"))</f>
        <v>Mar'26</v>
      </c>
      <c r="E245" s="27" t="s">
        <v>55</v>
      </c>
      <c r="F245" s="1" t="s">
        <v>39</v>
      </c>
      <c r="G245" s="33" t="str">
        <f aca="false">IF(F245="Closed","Closed","Pending")</f>
        <v>Closed</v>
      </c>
      <c r="H245" s="26" t="s">
        <v>56</v>
      </c>
      <c r="I245" s="26" t="s">
        <v>82</v>
      </c>
      <c r="J245" s="40" t="s">
        <v>74</v>
      </c>
      <c r="K245" s="26" t="s">
        <v>59</v>
      </c>
      <c r="L245" s="1" t="s">
        <v>877</v>
      </c>
      <c r="M245" s="1" t="s">
        <v>878</v>
      </c>
      <c r="N245" s="1" t="s">
        <v>62</v>
      </c>
      <c r="O245" s="1" t="s">
        <v>77</v>
      </c>
      <c r="Q245" s="1" t="s">
        <v>65</v>
      </c>
      <c r="R245" s="1" t="s">
        <v>87</v>
      </c>
      <c r="U245" s="12" t="n">
        <v>0.153472222222222</v>
      </c>
      <c r="V245" s="11" t="n">
        <v>46104</v>
      </c>
      <c r="W245" s="12" t="n">
        <v>0.979861111111111</v>
      </c>
      <c r="X245" s="11" t="n">
        <v>46107</v>
      </c>
      <c r="Y245" s="12" t="n">
        <v>0.03125</v>
      </c>
      <c r="Z245" s="1" t="s">
        <v>67</v>
      </c>
      <c r="AA245" s="1" t="s">
        <v>68</v>
      </c>
      <c r="AB245" s="2" t="e">
        <f aca="false">U245-#REF!</f>
        <v>#REF!</v>
      </c>
      <c r="AC245" s="14" t="n">
        <f aca="false">(V245+W245)-(B245+C245)</f>
        <v>3.83055555555556</v>
      </c>
      <c r="AD245" s="4" t="str">
        <f aca="false">INT((V245+W245)-(B245+C245)) &amp; ":" &amp;
TEXT(HOUR((V245+W245)-(B245+C245)), "00") &amp; ":" &amp;
TEXT(MINUTE((V245+W245)-(B245+C245)), "00")</f>
        <v>3:19:56</v>
      </c>
      <c r="AE245" s="1" t="n">
        <f aca="false">IFERROR(
LEFT(AD245,FIND(":",AD245)-1)
+ MID(AD245,FIND(":",AD245)+1,2)/24
+ RIGHT(AD245,2)/1440,
"")</f>
        <v>3.83055555555556</v>
      </c>
      <c r="AF245" s="4" t="str">
        <f aca="false">INT((X245+Y245)-(B245+C245)) &amp; ":" &amp;
TEXT(HOUR((X245+Y245)-(B245+C245)), "00") &amp; ":" &amp;
TEXT(MINUTE((X245+Y245)-(B245+C245)), "00")</f>
        <v>5:21:10</v>
      </c>
      <c r="AG245" s="4" t="str">
        <f aca="false" t="array" ref="AG245:AG245">INT(_xlfn.XLOOKUP(J245,{"Low","Medium","High","Urgent"},{48,24,12,8})/24) &amp; ":" &amp;
TEXT(MOD(_xlfn.XLOOKUP(J245,{"Low","Medium","High","Urgent"},{48,24,12,8}),24)/24,"hh:mm")</f>
        <v>2:00:00</v>
      </c>
      <c r="AH245" s="4" t="str">
        <f aca="false">IF(AD245&gt;AG245,"Not Met","Met")</f>
        <v>Not Met</v>
      </c>
      <c r="AI245" s="4" t="e">
        <f aca="false">IF(AB245&lt;TIME(0,30,0),"Met","Not Met")</f>
        <v>#REF!</v>
      </c>
      <c r="AN245" s="1" t="str">
        <f aca="false">TEXT(B245,"dd")</f>
        <v>20</v>
      </c>
      <c r="AO245" s="1" t="str">
        <f aca="false">TEXT(X245,"dd")</f>
        <v>26</v>
      </c>
      <c r="AP245" s="16" t="str">
        <f aca="false">INT(
  NETWORKDAYS(B245,V245)-1
  + IF(WEEKDAY(V245,2)&lt;6,MOD(V245+W245,1),0)
  - IF(WEEKDAY(B245,2)&lt;6,MOD(B245+C245,1),0)
)
&amp; ":" &amp;
TEXT(HOUR(
  NETWORKDAYS(B245,V245)-1
  + IF(WEEKDAY(V245,2)&lt;6,MOD(V245+W245,1),0)
  - IF(WEEKDAY(B245,2)&lt;6,MOD(B245+C245,1),0)
),"00")
&amp; ":" &amp;
TEXT(MINUTE(
  NETWORKDAYS(B245,V245)-1
  + IF(WEEKDAY(V245,2)&lt;6,MOD(V245+W245,1),0)
  - IF(WEEKDAY(B245,2)&lt;6,MOD(B245+C245,1),0)
),"00")</f>
        <v>1:19:56</v>
      </c>
      <c r="AQ245" s="0" t="n">
        <f aca="false">IFERROR(
LEFT(AP245,FIND(":",AP245)-1)
+ MID(AP245,FIND(":",AP245)+1,2)/24
+ RIGHT(AP245,2)/1440,
"")</f>
        <v>1.83055555555556</v>
      </c>
      <c r="AR245" s="0" t="n">
        <f aca="false">WEEKNUM(B245,1)</f>
        <v>12</v>
      </c>
      <c r="AS245" s="17" t="n">
        <f aca="false">IF(B245&gt;0, (B245+C245)-TIME(13,30,0), "")</f>
        <v>46100.5868055556</v>
      </c>
      <c r="AT245" s="18" t="n">
        <f aca="false">IF(B245&gt;0, (B245+C245)-TIME(13,30,0), "")</f>
        <v>46100.5868055556</v>
      </c>
      <c r="AU245" s="17" t="n">
        <f aca="false">IF(V245&gt;0, (V245+W245)-TIME(13,30,0), "")</f>
        <v>46104.4173611111</v>
      </c>
      <c r="AV245" s="18" t="n">
        <f aca="false">IF(V245&gt;0, (V245+W245)-TIME(13,30,0), "")</f>
        <v>46104.4173611111</v>
      </c>
      <c r="AW245" s="19" t="n">
        <f aca="false">24*(
MAX(0,
IF(NETWORKDAYS(AS245,AU245)=1,
MIN(MOD(AV245,1),TIME(17,30,0)) - MAX(MOD(AT245,1),TIME(8,30,0)),
(TIME(17,30,0)-MAX(MOD(AT245,1),TIME(8,30,0)))
+ (MIN(MOD(AV245,1),TIME(17,30,0))-TIME(8,30,0))
+ (NETWORKDAYS(AS245,AU245)-2)*9/24
)
)
)</f>
        <v>13.9333333333333</v>
      </c>
      <c r="AX245" s="19" t="n">
        <f aca="false">24*(
MAX(0,
IF(NETWORKDAYS(AS245,AU245)=1,
MIN(MOD(AV245,1),TIME(17,30,0)) - MAX(MOD(AT245,1),TIME(8,30,0)),
(TIME(17,30,0)-MAX(MOD(AT245,1),TIME(8,30,0)))
+ (MIN(MOD(AV245,1),TIME(17,30,0))-TIME(8,30,0))
+ (NETWORKDAYS(AS245,AU245)-2)* (TIME(17,30,0)-TIME(8,30,0))
)
)
)</f>
        <v>13.9333333333333</v>
      </c>
      <c r="AY245" s="20" t="n">
        <f aca="false">ROUND(
IF(AS245=AU245,
MAX(0,
(MIN(MOD(AV245,1),TIME(17,30,0))-
MAX(MOD(AT245,1),TIME(8,30,0)))*24
),
(
(MAX(0,TIME(17,30,0)-MAX(MOD(AT245,1),TIME(8,30,0)))*24)
+
(MAX(0,MIN(MOD(AV245,1),TIME(17,30,0))-TIME(8,30,0))*24)
+
(MAX(0,NETWORKDAYS(AS245+1,AU245-1))*9)
)
),
2)</f>
        <v>13.93</v>
      </c>
      <c r="AZ245" s="0" t="n">
        <f aca="false" t="array" ref="AZ245:AZ245">_xlfn.XLOOKUP(J245,{"Low","Medium","High"},{270,72,24})</f>
        <v>270</v>
      </c>
      <c r="BA245" s="0" t="str">
        <f aca="false">IF(AW245&gt;AZ245,"Not Met","Met")</f>
        <v>Met</v>
      </c>
      <c r="BB245" s="21" t="str">
        <f aca="false">IF(AS245="","",TEXT(AS245,"MMM")&amp;"'"&amp;TEXT(AS245,"yy"))</f>
        <v>Mar'26</v>
      </c>
      <c r="BC245" s="0" t="str">
        <f aca="false">IF(AU245="","",TEXT(AU245,"MMM")&amp;"'"&amp;TEXT(AU245,"yy"))</f>
        <v>Mar'26</v>
      </c>
    </row>
    <row r="246" customFormat="false" ht="15" hidden="false" customHeight="false" outlineLevel="0" collapsed="false">
      <c r="A246" s="1" t="s">
        <v>879</v>
      </c>
      <c r="B246" s="11" t="n">
        <v>46104</v>
      </c>
      <c r="C246" s="12" t="n">
        <v>0.899305555555556</v>
      </c>
      <c r="D246" s="13" t="str">
        <f aca="false">IF(B246="","",TEXT(B246,"MMM")&amp;"'"&amp;TEXT(B246,"yy"))</f>
        <v>Mar'26</v>
      </c>
      <c r="E246" s="27" t="s">
        <v>55</v>
      </c>
      <c r="F246" s="27" t="s">
        <v>39</v>
      </c>
      <c r="G246" s="1" t="str">
        <f aca="false">IF(F246="Closed","Closed","Pending")</f>
        <v>Closed</v>
      </c>
      <c r="H246" s="1" t="s">
        <v>72</v>
      </c>
      <c r="I246" s="1" t="s">
        <v>110</v>
      </c>
      <c r="J246" s="1" t="s">
        <v>58</v>
      </c>
      <c r="K246" s="1" t="s">
        <v>59</v>
      </c>
      <c r="L246" s="67" t="s">
        <v>880</v>
      </c>
      <c r="M246" s="1" t="s">
        <v>881</v>
      </c>
      <c r="N246" s="1" t="s">
        <v>143</v>
      </c>
      <c r="O246" s="1" t="s">
        <v>143</v>
      </c>
      <c r="Q246" s="1" t="s">
        <v>143</v>
      </c>
      <c r="R246" s="1" t="s">
        <v>66</v>
      </c>
      <c r="U246" s="12" t="n">
        <v>0.977777777777778</v>
      </c>
      <c r="V246" s="11" t="n">
        <v>46154</v>
      </c>
      <c r="W246" s="12" t="n">
        <v>0.895138888888889</v>
      </c>
      <c r="X246" s="11" t="n">
        <v>46154</v>
      </c>
      <c r="Y246" s="12" t="n">
        <v>0.895138888888889</v>
      </c>
      <c r="Z246" s="1" t="s">
        <v>108</v>
      </c>
      <c r="AA246" s="1" t="s">
        <v>68</v>
      </c>
      <c r="AB246" s="2" t="e">
        <f aca="false">U246-#REF!</f>
        <v>#REF!</v>
      </c>
      <c r="AC246" s="14" t="n">
        <f aca="false">(V246+W246)-(B246+C246)</f>
        <v>49.9958333333333</v>
      </c>
      <c r="AD246" s="4" t="str">
        <f aca="false">INT((V246+W246)-(B246+C246)) &amp; ":" &amp;
TEXT(HOUR((V246+W246)-(B246+C246)), "00") &amp; ":" &amp;
TEXT(MINUTE((V246+W246)-(B246+C246)), "00")</f>
        <v>49:23:54</v>
      </c>
      <c r="AE246" s="1" t="n">
        <f aca="false">IFERROR(
LEFT(AD246,FIND(":",AD246)-1)
+ MID(AD246,FIND(":",AD246)+1,2)/24
+ RIGHT(AD246,2)/1440,
"")</f>
        <v>49.9958333333333</v>
      </c>
      <c r="AF246" s="4" t="str">
        <f aca="false">INT((X246+Y246)-(B246+C246)) &amp; ":" &amp;
TEXT(HOUR((X246+Y246)-(B246+C246)), "00") &amp; ":" &amp;
TEXT(MINUTE((X246+Y246)-(B246+C246)), "00")</f>
        <v>49:23:54</v>
      </c>
      <c r="AG246" s="4" t="str">
        <f aca="false" t="array" ref="AG246:AG246">INT(_xlfn.XLOOKUP(J246,{"Low","Medium","High","Urgent"},{48,24,12,8})/24) &amp; ":" &amp;
TEXT(MOD(_xlfn.XLOOKUP(J246,{"Low","Medium","High","Urgent"},{48,24,12,8}),24)/24,"hh:mm")</f>
        <v>1:00:00</v>
      </c>
      <c r="AH246" s="4" t="str">
        <f aca="false">IF(AD246&gt;AG246,"Not Met","Met")</f>
        <v>Not Met</v>
      </c>
      <c r="AI246" s="4" t="e">
        <f aca="false">IF(AB246&lt;TIME(0,30,0),"Met","Not Met")</f>
        <v>#REF!</v>
      </c>
      <c r="AN246" s="1" t="str">
        <f aca="false">TEXT(B246,"dd")</f>
        <v>23</v>
      </c>
      <c r="AO246" s="1" t="str">
        <f aca="false">TEXT(X246,"dd")</f>
        <v>12</v>
      </c>
      <c r="AP246" s="16" t="str">
        <f aca="false">INT(
  NETWORKDAYS(B246,V246)-1
  + IF(WEEKDAY(V246,2)&lt;6,MOD(V246+W246,1),0)
  - IF(WEEKDAY(B246,2)&lt;6,MOD(B246+C246,1),0)
)
&amp; ":" &amp;
TEXT(HOUR(
  NETWORKDAYS(B246,V246)-1
  + IF(WEEKDAY(V246,2)&lt;6,MOD(V246+W246,1),0)
  - IF(WEEKDAY(B246,2)&lt;6,MOD(B246+C246,1),0)
),"00")
&amp; ":" &amp;
TEXT(MINUTE(
  NETWORKDAYS(B246,V246)-1
  + IF(WEEKDAY(V246,2)&lt;6,MOD(V246+W246,1),0)
  - IF(WEEKDAY(B246,2)&lt;6,MOD(B246+C246,1),0)
),"00")</f>
        <v>35:23:54</v>
      </c>
      <c r="AQ246" s="0" t="n">
        <f aca="false">IFERROR(
LEFT(AP246,FIND(":",AP246)-1)
+ MID(AP246,FIND(":",AP246)+1,2)/24
+ RIGHT(AP246,2)/1440,
"")</f>
        <v>35.9958333333333</v>
      </c>
      <c r="AR246" s="0" t="n">
        <f aca="false">WEEKNUM(B246,1)</f>
        <v>13</v>
      </c>
      <c r="AS246" s="17" t="n">
        <f aca="false">IF(B246&gt;0, (B246+C246)-TIME(13,30,0), "")</f>
        <v>46104.3368055556</v>
      </c>
      <c r="AT246" s="18" t="n">
        <f aca="false">IF(B246&gt;0, (B246+C246)-TIME(13,30,0), "")</f>
        <v>46104.3368055556</v>
      </c>
      <c r="AU246" s="17" t="n">
        <f aca="false">IF(V246&gt;0, (V246+W246)-TIME(13,30,0), "")</f>
        <v>46154.3326388889</v>
      </c>
      <c r="AV246" s="18" t="n">
        <f aca="false">IF(V246&gt;0, (V246+W246)-TIME(13,30,0), "")</f>
        <v>46154.3326388889</v>
      </c>
      <c r="AW246" s="19" t="n">
        <f aca="false">24*(
MAX(0,
IF(NETWORKDAYS(AS246,AU246)=1,
MIN(MOD(AV246,1),TIME(17,30,0)) - MAX(MOD(AT246,1),TIME(8,30,0)),
(TIME(17,30,0)-MAX(MOD(AT246,1),TIME(8,30,0)))
+ (MIN(MOD(AV246,1),TIME(17,30,0))-TIME(8,30,0))
+ (NETWORKDAYS(AS246,AU246)-2)*9/24
)
)
)</f>
        <v>323.483333333333</v>
      </c>
      <c r="AX246" s="19" t="n">
        <f aca="false">24*(
MAX(0,
IF(NETWORKDAYS(AS246,AU246)=1,
MIN(MOD(AV246,1),TIME(17,30,0)) - MAX(MOD(AT246,1),TIME(8,30,0)),
(TIME(17,30,0)-MAX(MOD(AT246,1),TIME(8,30,0)))
+ (MIN(MOD(AV246,1),TIME(17,30,0))-TIME(8,30,0))
+ (NETWORKDAYS(AS246,AU246)-2)* (TIME(17,30,0)-TIME(8,30,0))
)
)
)</f>
        <v>323.483333333333</v>
      </c>
      <c r="AY246" s="20" t="n">
        <f aca="false">ROUND(
IF(AS246=AU246,
MAX(0,
(MIN(MOD(AV246,1),TIME(17,30,0))-
MAX(MOD(AT246,1),TIME(8,30,0)))*24
),
(
(MAX(0,TIME(17,30,0)-MAX(MOD(AT246,1),TIME(8,30,0)))*24)
+
(MAX(0,MIN(MOD(AV246,1),TIME(17,30,0))-TIME(8,30,0))*24)
+
(MAX(0,NETWORKDAYS(AS246+1,AU246-1))*9)
)
),
2)</f>
        <v>324</v>
      </c>
      <c r="AZ246" s="0" t="n">
        <f aca="false" t="array" ref="AZ246:AZ246">_xlfn.XLOOKUP(J246,{"Low","Medium","High"},{270,72,24})</f>
        <v>72</v>
      </c>
      <c r="BA246" s="0" t="str">
        <f aca="false">IF(AW246&gt;AZ246,"Not Met","Met")</f>
        <v>Not Met</v>
      </c>
      <c r="BB246" s="21" t="str">
        <f aca="false">IF(AS246="","",TEXT(AS246,"MMM")&amp;"'"&amp;TEXT(AS246,"yy"))</f>
        <v>Mar'26</v>
      </c>
      <c r="BC246" s="0" t="str">
        <f aca="false">IF(AU246="","",TEXT(AU246,"MMM")&amp;"'"&amp;TEXT(AU246,"yy"))</f>
        <v>May'26</v>
      </c>
    </row>
    <row r="247" customFormat="false" ht="15" hidden="false" customHeight="false" outlineLevel="0" collapsed="false">
      <c r="A247" s="1" t="s">
        <v>882</v>
      </c>
      <c r="B247" s="11" t="n">
        <v>46105</v>
      </c>
      <c r="C247" s="12" t="n">
        <v>0.129166666666667</v>
      </c>
      <c r="D247" s="13" t="str">
        <f aca="false">IF(B247="","",TEXT(B247,"MMM")&amp;"'"&amp;TEXT(B247,"yy"))</f>
        <v>Mar'26</v>
      </c>
      <c r="E247" s="27" t="s">
        <v>55</v>
      </c>
      <c r="F247" s="27" t="s">
        <v>39</v>
      </c>
      <c r="G247" s="33" t="str">
        <f aca="false">IF(F247="Closed","Closed","Pending")</f>
        <v>Closed</v>
      </c>
      <c r="H247" s="26" t="s">
        <v>56</v>
      </c>
      <c r="I247" s="26" t="s">
        <v>639</v>
      </c>
      <c r="J247" s="26" t="s">
        <v>74</v>
      </c>
      <c r="K247" s="26" t="s">
        <v>59</v>
      </c>
      <c r="L247" s="35" t="s">
        <v>883</v>
      </c>
      <c r="M247" s="1" t="s">
        <v>884</v>
      </c>
      <c r="N247" s="1" t="s">
        <v>65</v>
      </c>
      <c r="O247" s="1" t="s">
        <v>106</v>
      </c>
      <c r="Q247" s="1" t="s">
        <v>65</v>
      </c>
      <c r="R247" s="1" t="s">
        <v>87</v>
      </c>
      <c r="U247" s="12" t="n">
        <v>0.866666666666667</v>
      </c>
      <c r="V247" s="11" t="n">
        <v>46105</v>
      </c>
      <c r="W247" s="12" t="n">
        <v>0.866666666666667</v>
      </c>
      <c r="X247" s="11" t="n">
        <v>46105</v>
      </c>
      <c r="Y247" s="12" t="n">
        <v>0.888888888888889</v>
      </c>
      <c r="Z247" s="1" t="s">
        <v>67</v>
      </c>
      <c r="AA247" s="1" t="s">
        <v>68</v>
      </c>
      <c r="AB247" s="2" t="e">
        <f aca="false">U247-#REF!</f>
        <v>#REF!</v>
      </c>
      <c r="AC247" s="14" t="n">
        <f aca="false">(V247+W247)-(B247+C247)</f>
        <v>0.7375</v>
      </c>
      <c r="AD247" s="4" t="str">
        <f aca="false">INT((V247+W247)-(B247+C247)) &amp; ":" &amp;
TEXT(HOUR((V247+W247)-(B247+C247)), "00") &amp; ":" &amp;
TEXT(MINUTE((V247+W247)-(B247+C247)), "00")</f>
        <v>0:17:42</v>
      </c>
      <c r="AE247" s="1" t="n">
        <f aca="false">IFERROR(
LEFT(AD247,FIND(":",AD247)-1)
+ MID(AD247,FIND(":",AD247)+1,2)/24
+ RIGHT(AD247,2)/1440,
"")</f>
        <v>0.7375</v>
      </c>
      <c r="AF247" s="4" t="str">
        <f aca="false">INT((X247+Y247)-(B247+C247)) &amp; ":" &amp;
TEXT(HOUR((X247+Y247)-(B247+C247)), "00") &amp; ":" &amp;
TEXT(MINUTE((X247+Y247)-(B247+C247)), "00")</f>
        <v>0:18:14</v>
      </c>
      <c r="AG247" s="4" t="str">
        <f aca="false" t="array" ref="AG247:AG247">INT(_xlfn.XLOOKUP(J247,{"Low","Medium","High","Urgent"},{48,24,12,8})/24) &amp; ":" &amp;
TEXT(MOD(_xlfn.XLOOKUP(J247,{"Low","Medium","High","Urgent"},{48,24,12,8}),24)/24,"hh:mm")</f>
        <v>2:00:00</v>
      </c>
      <c r="AH247" s="4" t="str">
        <f aca="false">IF(AD247&gt;AG247,"Not Met","Met")</f>
        <v>Met</v>
      </c>
      <c r="AI247" s="4" t="e">
        <f aca="false">IF(AB247&lt;TIME(0,30,0),"Met","Not Met")</f>
        <v>#REF!</v>
      </c>
      <c r="AN247" s="1" t="str">
        <f aca="false">TEXT(B247,"dd")</f>
        <v>24</v>
      </c>
      <c r="AO247" s="1" t="str">
        <f aca="false">TEXT(X247,"dd")</f>
        <v>24</v>
      </c>
      <c r="AP247" s="16" t="str">
        <f aca="false">INT(
  NETWORKDAYS(B247,V247)-1
  + IF(WEEKDAY(V247,2)&lt;6,MOD(V247+W247,1),0)
  - IF(WEEKDAY(B247,2)&lt;6,MOD(B247+C247,1),0)
)
&amp; ":" &amp;
TEXT(HOUR(
  NETWORKDAYS(B247,V247)-1
  + IF(WEEKDAY(V247,2)&lt;6,MOD(V247+W247,1),0)
  - IF(WEEKDAY(B247,2)&lt;6,MOD(B247+C247,1),0)
),"00")
&amp; ":" &amp;
TEXT(MINUTE(
  NETWORKDAYS(B247,V247)-1
  + IF(WEEKDAY(V247,2)&lt;6,MOD(V247+W247,1),0)
  - IF(WEEKDAY(B247,2)&lt;6,MOD(B247+C247,1),0)
),"00")</f>
        <v>0:17:42</v>
      </c>
      <c r="AQ247" s="0" t="n">
        <f aca="false">IFERROR(
LEFT(AP247,FIND(":",AP247)-1)
+ MID(AP247,FIND(":",AP247)+1,2)/24
+ RIGHT(AP247,2)/1440,
"")</f>
        <v>0.7375</v>
      </c>
      <c r="AR247" s="0" t="n">
        <f aca="false">WEEKNUM(B247,1)</f>
        <v>13</v>
      </c>
      <c r="AS247" s="17" t="n">
        <f aca="false">IF(B247&gt;0, (B247+C247)-TIME(13,30,0), "")</f>
        <v>46104.5666666667</v>
      </c>
      <c r="AT247" s="18" t="n">
        <f aca="false">IF(B247&gt;0, (B247+C247)-TIME(13,30,0), "")</f>
        <v>46104.5666666667</v>
      </c>
      <c r="AU247" s="17" t="n">
        <f aca="false">IF(V247&gt;0, (V247+W247)-TIME(13,30,0), "")</f>
        <v>46105.3041666667</v>
      </c>
      <c r="AV247" s="18" t="n">
        <f aca="false">IF(V247&gt;0, (V247+W247)-TIME(13,30,0), "")</f>
        <v>46105.3041666667</v>
      </c>
      <c r="AW247" s="19" t="n">
        <f aca="false">24*(
MAX(0,
IF(NETWORKDAYS(AS247,AU247)=1,
MIN(MOD(AV247,1),TIME(17,30,0)) - MAX(MOD(AT247,1),TIME(8,30,0)),
(TIME(17,30,0)-MAX(MOD(AT247,1),TIME(8,30,0)))
+ (MIN(MOD(AV247,1),TIME(17,30,0))-TIME(8,30,0))
+ (NETWORKDAYS(AS247,AU247)-2)*9/24
)
)
)</f>
        <v>2.7</v>
      </c>
      <c r="AX247" s="19" t="n">
        <f aca="false">24*(
MAX(0,
IF(NETWORKDAYS(AS247,AU247)=1,
MIN(MOD(AV247,1),TIME(17,30,0)) - MAX(MOD(AT247,1),TIME(8,30,0)),
(TIME(17,30,0)-MAX(MOD(AT247,1),TIME(8,30,0)))
+ (MIN(MOD(AV247,1),TIME(17,30,0))-TIME(8,30,0))
+ (NETWORKDAYS(AS247,AU247)-2)* (TIME(17,30,0)-TIME(8,30,0))
)
)
)</f>
        <v>2.7</v>
      </c>
      <c r="AY247" s="20" t="n">
        <f aca="false">ROUND(
IF(AS247=AU247,
MAX(0,
(MIN(MOD(AV247,1),TIME(17,30,0))-
MAX(MOD(AT247,1),TIME(8,30,0)))*24
),
(
(MAX(0,TIME(17,30,0)-MAX(MOD(AT247,1),TIME(8,30,0)))*24)
+
(MAX(0,MIN(MOD(AV247,1),TIME(17,30,0))-TIME(8,30,0))*24)
+
(MAX(0,NETWORKDAYS(AS247+1,AU247-1))*9)
)
),
2)</f>
        <v>3.9</v>
      </c>
      <c r="AZ247" s="0" t="n">
        <f aca="false" t="array" ref="AZ247:AZ247">_xlfn.XLOOKUP(J247,{"Low","Medium","High"},{270,72,24})</f>
        <v>270</v>
      </c>
      <c r="BA247" s="0" t="str">
        <f aca="false">IF(AW247&gt;AZ247,"Not Met","Met")</f>
        <v>Met</v>
      </c>
      <c r="BB247" s="21" t="str">
        <f aca="false">IF(AS247="","",TEXT(AS247,"MMM")&amp;"'"&amp;TEXT(AS247,"yy"))</f>
        <v>Mar'26</v>
      </c>
      <c r="BC247" s="0" t="str">
        <f aca="false">IF(AU247="","",TEXT(AU247,"MMM")&amp;"'"&amp;TEXT(AU247,"yy"))</f>
        <v>Mar'26</v>
      </c>
    </row>
    <row r="248" customFormat="false" ht="15" hidden="false" customHeight="false" outlineLevel="0" collapsed="false">
      <c r="A248" s="1" t="s">
        <v>885</v>
      </c>
      <c r="B248" s="11" t="n">
        <v>46105</v>
      </c>
      <c r="C248" s="12" t="n">
        <v>0.230555555555556</v>
      </c>
      <c r="D248" s="13" t="str">
        <f aca="false">IF(B248="","",TEXT(B248,"MMM")&amp;"'"&amp;TEXT(B248,"yy"))</f>
        <v>Mar'26</v>
      </c>
      <c r="E248" s="27" t="s">
        <v>55</v>
      </c>
      <c r="F248" s="27" t="s">
        <v>39</v>
      </c>
      <c r="G248" s="1" t="str">
        <f aca="false">IF(F248="Closed","Closed","Pending")</f>
        <v>Closed</v>
      </c>
      <c r="H248" s="1" t="s">
        <v>56</v>
      </c>
      <c r="I248" s="1" t="s">
        <v>639</v>
      </c>
      <c r="J248" s="1" t="s">
        <v>74</v>
      </c>
      <c r="K248" s="1" t="s">
        <v>59</v>
      </c>
      <c r="L248" s="35" t="s">
        <v>886</v>
      </c>
      <c r="M248" s="1" t="s">
        <v>282</v>
      </c>
      <c r="N248" s="1" t="s">
        <v>65</v>
      </c>
      <c r="O248" s="1" t="s">
        <v>106</v>
      </c>
      <c r="Q248" s="1" t="s">
        <v>65</v>
      </c>
      <c r="R248" s="1" t="s">
        <v>87</v>
      </c>
      <c r="U248" s="12" t="n">
        <v>0.901388888888889</v>
      </c>
      <c r="V248" s="11" t="n">
        <v>46106</v>
      </c>
      <c r="W248" s="12" t="n">
        <v>0.89375</v>
      </c>
      <c r="X248" s="11" t="n">
        <v>46107</v>
      </c>
      <c r="Y248" s="12" t="n">
        <v>0.974305555555556</v>
      </c>
      <c r="Z248" s="1" t="s">
        <v>67</v>
      </c>
      <c r="AA248" s="1" t="s">
        <v>68</v>
      </c>
      <c r="AB248" s="2" t="e">
        <f aca="false">U248-#REF!</f>
        <v>#REF!</v>
      </c>
      <c r="AC248" s="14" t="n">
        <f aca="false">(V248+W248)-(B248+C248)</f>
        <v>1.66319444444444</v>
      </c>
      <c r="AD248" s="4" t="str">
        <f aca="false">INT((V248+W248)-(B248+C248)) &amp; ":" &amp;
TEXT(HOUR((V248+W248)-(B248+C248)), "00") &amp; ":" &amp;
TEXT(MINUTE((V248+W248)-(B248+C248)), "00")</f>
        <v>1:15:55</v>
      </c>
      <c r="AE248" s="1" t="n">
        <f aca="false">IFERROR(
LEFT(AD248,FIND(":",AD248)-1)
+ MID(AD248,FIND(":",AD248)+1,2)/24
+ RIGHT(AD248,2)/1440,
"")</f>
        <v>1.66319444444444</v>
      </c>
      <c r="AF248" s="4" t="str">
        <f aca="false">INT((X248+Y248)-(B248+C248)) &amp; ":" &amp;
TEXT(HOUR((X248+Y248)-(B248+C248)), "00") &amp; ":" &amp;
TEXT(MINUTE((X248+Y248)-(B248+C248)), "00")</f>
        <v>2:17:51</v>
      </c>
      <c r="AG248" s="4" t="str">
        <f aca="false" t="array" ref="AG248:AG248">INT(_xlfn.XLOOKUP(J248,{"Low","Medium","High","Urgent"},{48,24,12,8})/24) &amp; ":" &amp;
TEXT(MOD(_xlfn.XLOOKUP(J248,{"Low","Medium","High","Urgent"},{48,24,12,8}),24)/24,"hh:mm")</f>
        <v>2:00:00</v>
      </c>
      <c r="AH248" s="4" t="str">
        <f aca="false">IF(AD248&gt;AG248,"Not Met","Met")</f>
        <v>Met</v>
      </c>
      <c r="AI248" s="4" t="e">
        <f aca="false">IF(AB248&lt;TIME(0,30,0),"Met","Not Met")</f>
        <v>#REF!</v>
      </c>
      <c r="AN248" s="1" t="str">
        <f aca="false">TEXT(B248,"dd")</f>
        <v>24</v>
      </c>
      <c r="AO248" s="1" t="str">
        <f aca="false">TEXT(X248,"dd")</f>
        <v>26</v>
      </c>
      <c r="AP248" s="16" t="str">
        <f aca="false">INT(
  NETWORKDAYS(B248,V248)-1
  + IF(WEEKDAY(V248,2)&lt;6,MOD(V248+W248,1),0)
  - IF(WEEKDAY(B248,2)&lt;6,MOD(B248+C248,1),0)
)
&amp; ":" &amp;
TEXT(HOUR(
  NETWORKDAYS(B248,V248)-1
  + IF(WEEKDAY(V248,2)&lt;6,MOD(V248+W248,1),0)
  - IF(WEEKDAY(B248,2)&lt;6,MOD(B248+C248,1),0)
),"00")
&amp; ":" &amp;
TEXT(MINUTE(
  NETWORKDAYS(B248,V248)-1
  + IF(WEEKDAY(V248,2)&lt;6,MOD(V248+W248,1),0)
  - IF(WEEKDAY(B248,2)&lt;6,MOD(B248+C248,1),0)
),"00")</f>
        <v>1:15:55</v>
      </c>
      <c r="AQ248" s="0" t="n">
        <f aca="false">IFERROR(
LEFT(AP248,FIND(":",AP248)-1)
+ MID(AP248,FIND(":",AP248)+1,2)/24
+ RIGHT(AP248,2)/1440,
"")</f>
        <v>1.66319444444444</v>
      </c>
      <c r="AR248" s="0" t="n">
        <f aca="false">WEEKNUM(B248,1)</f>
        <v>13</v>
      </c>
      <c r="AS248" s="17" t="n">
        <f aca="false">IF(B248&gt;0, (B248+C248)-TIME(13,30,0), "")</f>
        <v>46104.6680555556</v>
      </c>
      <c r="AT248" s="18" t="n">
        <f aca="false">IF(B248&gt;0, (B248+C248)-TIME(13,30,0), "")</f>
        <v>46104.6680555556</v>
      </c>
      <c r="AU248" s="17" t="n">
        <f aca="false">IF(V248&gt;0, (V248+W248)-TIME(13,30,0), "")</f>
        <v>46106.33125</v>
      </c>
      <c r="AV248" s="18" t="n">
        <f aca="false">IF(V248&gt;0, (V248+W248)-TIME(13,30,0), "")</f>
        <v>46106.33125</v>
      </c>
      <c r="AW248" s="19" t="n">
        <f aca="false">24*(
MAX(0,
IF(NETWORKDAYS(AS248,AU248)=1,
MIN(MOD(AV248,1),TIME(17,30,0)) - MAX(MOD(AT248,1),TIME(8,30,0)),
(TIME(17,30,0)-MAX(MOD(AT248,1),TIME(8,30,0)))
+ (MIN(MOD(AV248,1),TIME(17,30,0))-TIME(8,30,0))
+ (NETWORKDAYS(AS248,AU248)-2)*9/24
)
)
)</f>
        <v>9.91666666666667</v>
      </c>
      <c r="AX248" s="19" t="n">
        <f aca="false">24*(
MAX(0,
IF(NETWORKDAYS(AS248,AU248)=1,
MIN(MOD(AV248,1),TIME(17,30,0)) - MAX(MOD(AT248,1),TIME(8,30,0)),
(TIME(17,30,0)-MAX(MOD(AT248,1),TIME(8,30,0)))
+ (MIN(MOD(AV248,1),TIME(17,30,0))-TIME(8,30,0))
+ (NETWORKDAYS(AS248,AU248)-2)* (TIME(17,30,0)-TIME(8,30,0))
)
)
)</f>
        <v>9.91666666666667</v>
      </c>
      <c r="AY248" s="20" t="n">
        <f aca="false">ROUND(
IF(AS248=AU248,
MAX(0,
(MIN(MOD(AV248,1),TIME(17,30,0))-
MAX(MOD(AT248,1),TIME(8,30,0)))*24
),
(
(MAX(0,TIME(17,30,0)-MAX(MOD(AT248,1),TIME(8,30,0)))*24)
+
(MAX(0,MIN(MOD(AV248,1),TIME(17,30,0))-TIME(8,30,0))*24)
+
(MAX(0,NETWORKDAYS(AS248+1,AU248-1))*9)
)
),
2)</f>
        <v>10.47</v>
      </c>
      <c r="AZ248" s="0" t="n">
        <f aca="false" t="array" ref="AZ248:AZ248">_xlfn.XLOOKUP(J248,{"Low","Medium","High"},{270,72,24})</f>
        <v>270</v>
      </c>
      <c r="BA248" s="0" t="str">
        <f aca="false">IF(AW248&gt;AZ248,"Not Met","Met")</f>
        <v>Met</v>
      </c>
      <c r="BB248" s="21" t="str">
        <f aca="false">IF(AS248="","",TEXT(AS248,"MMM")&amp;"'"&amp;TEXT(AS248,"yy"))</f>
        <v>Mar'26</v>
      </c>
      <c r="BC248" s="0" t="str">
        <f aca="false">IF(AU248="","",TEXT(AU248,"MMM")&amp;"'"&amp;TEXT(AU248,"yy"))</f>
        <v>Mar'26</v>
      </c>
    </row>
    <row r="249" customFormat="false" ht="15" hidden="false" customHeight="false" outlineLevel="0" collapsed="false">
      <c r="A249" s="1" t="s">
        <v>887</v>
      </c>
      <c r="B249" s="11" t="n">
        <v>46105</v>
      </c>
      <c r="C249" s="12" t="n">
        <v>0.866666666666667</v>
      </c>
      <c r="D249" s="13" t="str">
        <f aca="false">IF(B249="","",TEXT(B249,"MMM")&amp;"'"&amp;TEXT(B249,"yy"))</f>
        <v>Mar'26</v>
      </c>
      <c r="E249" s="27" t="s">
        <v>55</v>
      </c>
      <c r="F249" s="27" t="s">
        <v>39</v>
      </c>
      <c r="G249" s="1" t="str">
        <f aca="false">IF(F249="Closed","Closed","Pending")</f>
        <v>Closed</v>
      </c>
      <c r="H249" s="1" t="s">
        <v>56</v>
      </c>
      <c r="I249" s="1" t="s">
        <v>158</v>
      </c>
      <c r="J249" s="1" t="s">
        <v>74</v>
      </c>
      <c r="K249" s="1" t="s">
        <v>59</v>
      </c>
      <c r="L249" s="35" t="s">
        <v>888</v>
      </c>
      <c r="M249" s="1" t="s">
        <v>889</v>
      </c>
      <c r="N249" s="1" t="s">
        <v>65</v>
      </c>
      <c r="O249" s="1" t="s">
        <v>106</v>
      </c>
      <c r="Q249" s="1" t="s">
        <v>65</v>
      </c>
      <c r="R249" s="1" t="s">
        <v>87</v>
      </c>
      <c r="U249" s="12" t="n">
        <v>0.972222222222222</v>
      </c>
      <c r="V249" s="11" t="n">
        <v>46106</v>
      </c>
      <c r="W249" s="12" t="n">
        <v>0.896527777777778</v>
      </c>
      <c r="X249" s="11" t="n">
        <v>46106</v>
      </c>
      <c r="Y249" s="12" t="n">
        <v>0.943055555555556</v>
      </c>
      <c r="Z249" s="1" t="s">
        <v>108</v>
      </c>
      <c r="AA249" s="1" t="s">
        <v>68</v>
      </c>
      <c r="AB249" s="2" t="e">
        <f aca="false">U249-#REF!</f>
        <v>#REF!</v>
      </c>
      <c r="AC249" s="14" t="n">
        <f aca="false">(V249+W249)-(B249+C249)</f>
        <v>1.02986111111111</v>
      </c>
      <c r="AD249" s="4" t="str">
        <f aca="false">INT((V249+W249)-(B249+C249)) &amp; ":" &amp;
TEXT(HOUR((V249+W249)-(B249+C249)), "00") &amp; ":" &amp;
TEXT(MINUTE((V249+W249)-(B249+C249)), "00")</f>
        <v>1:00:43</v>
      </c>
      <c r="AE249" s="1" t="n">
        <f aca="false">IFERROR(
LEFT(AD249,FIND(":",AD249)-1)
+ MID(AD249,FIND(":",AD249)+1,2)/24
+ RIGHT(AD249,2)/1440,
"")</f>
        <v>1.02986111111111</v>
      </c>
      <c r="AF249" s="4" t="str">
        <f aca="false">INT((X249+Y249)-(B249+C249)) &amp; ":" &amp;
TEXT(HOUR((X249+Y249)-(B249+C249)), "00") &amp; ":" &amp;
TEXT(MINUTE((X249+Y249)-(B249+C249)), "00")</f>
        <v>1:01:50</v>
      </c>
      <c r="AG249" s="4" t="str">
        <f aca="false" t="array" ref="AG249:AG249">INT(_xlfn.XLOOKUP(J249,{"Low","Medium","High","Urgent"},{48,24,12,8})/24) &amp; ":" &amp;
TEXT(MOD(_xlfn.XLOOKUP(J249,{"Low","Medium","High","Urgent"},{48,24,12,8}),24)/24,"hh:mm")</f>
        <v>2:00:00</v>
      </c>
      <c r="AH249" s="4" t="str">
        <f aca="false">IF(AD249&gt;AG249,"Not Met","Met")</f>
        <v>Met</v>
      </c>
      <c r="AI249" s="4" t="e">
        <f aca="false">IF(AB249&lt;TIME(0,30,0),"Met","Not Met")</f>
        <v>#REF!</v>
      </c>
      <c r="AN249" s="1" t="str">
        <f aca="false">TEXT(B249,"dd")</f>
        <v>24</v>
      </c>
      <c r="AO249" s="1" t="str">
        <f aca="false">TEXT(X249,"dd")</f>
        <v>25</v>
      </c>
      <c r="AP249" s="16" t="str">
        <f aca="false">INT(
  NETWORKDAYS(B249,V249)-1
  + IF(WEEKDAY(V249,2)&lt;6,MOD(V249+W249,1),0)
  - IF(WEEKDAY(B249,2)&lt;6,MOD(B249+C249,1),0)
)
&amp; ":" &amp;
TEXT(HOUR(
  NETWORKDAYS(B249,V249)-1
  + IF(WEEKDAY(V249,2)&lt;6,MOD(V249+W249,1),0)
  - IF(WEEKDAY(B249,2)&lt;6,MOD(B249+C249,1),0)
),"00")
&amp; ":" &amp;
TEXT(MINUTE(
  NETWORKDAYS(B249,V249)-1
  + IF(WEEKDAY(V249,2)&lt;6,MOD(V249+W249,1),0)
  - IF(WEEKDAY(B249,2)&lt;6,MOD(B249+C249,1),0)
),"00")</f>
        <v>1:00:42</v>
      </c>
      <c r="AQ249" s="0" t="n">
        <f aca="false">IFERROR(
LEFT(AP249,FIND(":",AP249)-1)
+ MID(AP249,FIND(":",AP249)+1,2)/24
+ RIGHT(AP249,2)/1440,
"")</f>
        <v>1.02916666666667</v>
      </c>
      <c r="AR249" s="0" t="n">
        <f aca="false">WEEKNUM(B249,1)</f>
        <v>13</v>
      </c>
      <c r="AS249" s="17" t="n">
        <f aca="false">IF(B249&gt;0, (B249+C249)-TIME(13,30,0), "")</f>
        <v>46105.3041666667</v>
      </c>
      <c r="AT249" s="18" t="n">
        <f aca="false">IF(B249&gt;0, (B249+C249)-TIME(13,30,0), "")</f>
        <v>46105.3041666667</v>
      </c>
      <c r="AU249" s="17" t="n">
        <f aca="false">IF(V249&gt;0, (V249+W249)-TIME(13,30,0), "")</f>
        <v>46106.3340277778</v>
      </c>
      <c r="AV249" s="18" t="n">
        <f aca="false">IF(V249&gt;0, (V249+W249)-TIME(13,30,0), "")</f>
        <v>46106.3340277778</v>
      </c>
      <c r="AW249" s="19" t="n">
        <f aca="false">24*(
MAX(0,
IF(NETWORKDAYS(AS249,AU249)=1,
MIN(MOD(AV249,1),TIME(17,30,0)) - MAX(MOD(AT249,1),TIME(8,30,0)),
(TIME(17,30,0)-MAX(MOD(AT249,1),TIME(8,30,0)))
+ (MIN(MOD(AV249,1),TIME(17,30,0))-TIME(8,30,0))
+ (NETWORKDAYS(AS249,AU249)-2)*9/24
)
)
)</f>
        <v>8.51666666654222</v>
      </c>
      <c r="AX249" s="19" t="n">
        <f aca="false">24*(
MAX(0,
IF(NETWORKDAYS(AS249,AU249)=1,
MIN(MOD(AV249,1),TIME(17,30,0)) - MAX(MOD(AT249,1),TIME(8,30,0)),
(TIME(17,30,0)-MAX(MOD(AT249,1),TIME(8,30,0)))
+ (MIN(MOD(AV249,1),TIME(17,30,0))-TIME(8,30,0))
+ (NETWORKDAYS(AS249,AU249)-2)* (TIME(17,30,0)-TIME(8,30,0))
)
)
)</f>
        <v>8.51666666654222</v>
      </c>
      <c r="AY249" s="20" t="n">
        <f aca="false">ROUND(
IF(AS249=AU249,
MAX(0,
(MIN(MOD(AV249,1),TIME(17,30,0))-
MAX(MOD(AT249,1),TIME(8,30,0)))*24
),
(
(MAX(0,TIME(17,30,0)-MAX(MOD(AT249,1),TIME(8,30,0)))*24)
+
(MAX(0,MIN(MOD(AV249,1),TIME(17,30,0))-TIME(8,30,0))*24)
+
(MAX(0,NETWORKDAYS(AS249+1,AU249-1))*9)
)
),
2)</f>
        <v>9</v>
      </c>
      <c r="AZ249" s="0" t="n">
        <f aca="false" t="array" ref="AZ249:AZ249">_xlfn.XLOOKUP(J249,{"Low","Medium","High"},{270,72,24})</f>
        <v>270</v>
      </c>
      <c r="BA249" s="0" t="str">
        <f aca="false">IF(AW249&gt;AZ249,"Not Met","Met")</f>
        <v>Met</v>
      </c>
      <c r="BB249" s="21" t="str">
        <f aca="false">IF(AS249="","",TEXT(AS249,"MMM")&amp;"'"&amp;TEXT(AS249,"yy"))</f>
        <v>Mar'26</v>
      </c>
      <c r="BC249" s="0" t="str">
        <f aca="false">IF(AU249="","",TEXT(AU249,"MMM")&amp;"'"&amp;TEXT(AU249,"yy"))</f>
        <v>Mar'26</v>
      </c>
    </row>
    <row r="250" customFormat="false" ht="15" hidden="false" customHeight="false" outlineLevel="0" collapsed="false">
      <c r="A250" s="1" t="s">
        <v>890</v>
      </c>
      <c r="B250" s="11" t="n">
        <v>46105</v>
      </c>
      <c r="C250" s="12" t="n">
        <v>0.947916666666667</v>
      </c>
      <c r="D250" s="13" t="str">
        <f aca="false">IF(B250="","",TEXT(B250,"MMM")&amp;"'"&amp;TEXT(B250,"yy"))</f>
        <v>Mar'26</v>
      </c>
      <c r="E250" s="27" t="s">
        <v>55</v>
      </c>
      <c r="F250" s="27" t="s">
        <v>39</v>
      </c>
      <c r="G250" s="1" t="str">
        <f aca="false">IF(F250="Closed","Closed","Pending")</f>
        <v>Closed</v>
      </c>
      <c r="H250" s="26" t="s">
        <v>691</v>
      </c>
      <c r="I250" s="26" t="s">
        <v>158</v>
      </c>
      <c r="J250" s="26" t="s">
        <v>74</v>
      </c>
      <c r="K250" s="1" t="s">
        <v>59</v>
      </c>
      <c r="L250" s="35" t="s">
        <v>891</v>
      </c>
      <c r="M250" s="1" t="s">
        <v>892</v>
      </c>
      <c r="N250" s="1" t="s">
        <v>65</v>
      </c>
      <c r="O250" s="1" t="s">
        <v>106</v>
      </c>
      <c r="Q250" s="1" t="s">
        <v>86</v>
      </c>
      <c r="R250" s="1" t="s">
        <v>87</v>
      </c>
      <c r="U250" s="12" t="n">
        <v>0.971527777777778</v>
      </c>
      <c r="V250" s="11" t="n">
        <v>46106</v>
      </c>
      <c r="W250" s="12" t="n">
        <v>0.903472222222222</v>
      </c>
      <c r="X250" s="11" t="n">
        <v>46109</v>
      </c>
      <c r="Y250" s="12" t="n">
        <v>0.0138888888888889</v>
      </c>
      <c r="Z250" s="1" t="s">
        <v>67</v>
      </c>
      <c r="AA250" s="1" t="s">
        <v>68</v>
      </c>
      <c r="AB250" s="2" t="e">
        <f aca="false">U250-#REF!</f>
        <v>#REF!</v>
      </c>
      <c r="AC250" s="14" t="n">
        <f aca="false">(V250+W250)-(B250+C250)</f>
        <v>0.955555555555556</v>
      </c>
      <c r="AD250" s="4" t="str">
        <f aca="false">INT((V250+W250)-(B250+C250)) &amp; ":" &amp;
TEXT(HOUR((V250+W250)-(B250+C250)), "00") &amp; ":" &amp;
TEXT(MINUTE((V250+W250)-(B250+C250)), "00")</f>
        <v>0:22:56</v>
      </c>
      <c r="AE250" s="1" t="n">
        <f aca="false">IFERROR(
LEFT(AD250,FIND(":",AD250)-1)
+ MID(AD250,FIND(":",AD250)+1,2)/24
+ RIGHT(AD250,2)/1440,
"")</f>
        <v>0.955555555555556</v>
      </c>
      <c r="AF250" s="4" t="str">
        <f aca="false">INT((X250+Y250)-(B250+C250)) &amp; ":" &amp;
TEXT(HOUR((X250+Y250)-(B250+C250)), "00") &amp; ":" &amp;
TEXT(MINUTE((X250+Y250)-(B250+C250)), "00")</f>
        <v>3:01:35</v>
      </c>
      <c r="AG250" s="4" t="str">
        <f aca="false" t="array" ref="AG250:AG250">INT(_xlfn.XLOOKUP(J250,{"Low","Medium","High","Urgent"},{48,24,12,8})/24) &amp; ":" &amp;
TEXT(MOD(_xlfn.XLOOKUP(J250,{"Low","Medium","High","Urgent"},{48,24,12,8}),24)/24,"hh:mm")</f>
        <v>2:00:00</v>
      </c>
      <c r="AH250" s="4" t="str">
        <f aca="false">IF(AD250&gt;AG250,"Not Met","Met")</f>
        <v>Met</v>
      </c>
      <c r="AI250" s="4" t="e">
        <f aca="false">IF(AB250&lt;TIME(0,30,0),"Met","Not Met")</f>
        <v>#REF!</v>
      </c>
      <c r="AN250" s="1" t="str">
        <f aca="false">TEXT(B250,"dd")</f>
        <v>24</v>
      </c>
      <c r="AO250" s="1" t="str">
        <f aca="false">TEXT(X250,"dd")</f>
        <v>28</v>
      </c>
      <c r="AP250" s="16" t="str">
        <f aca="false">INT(
  NETWORKDAYS(B250,V250)-1
  + IF(WEEKDAY(V250,2)&lt;6,MOD(V250+W250,1),0)
  - IF(WEEKDAY(B250,2)&lt;6,MOD(B250+C250,1),0)
)
&amp; ":" &amp;
TEXT(HOUR(
  NETWORKDAYS(B250,V250)-1
  + IF(WEEKDAY(V250,2)&lt;6,MOD(V250+W250,1),0)
  - IF(WEEKDAY(B250,2)&lt;6,MOD(B250+C250,1),0)
),"00")
&amp; ":" &amp;
TEXT(MINUTE(
  NETWORKDAYS(B250,V250)-1
  + IF(WEEKDAY(V250,2)&lt;6,MOD(V250+W250,1),0)
  - IF(WEEKDAY(B250,2)&lt;6,MOD(B250+C250,1),0)
),"00")</f>
        <v>0:22:56</v>
      </c>
      <c r="AQ250" s="0" t="n">
        <f aca="false">IFERROR(
LEFT(AP250,FIND(":",AP250)-1)
+ MID(AP250,FIND(":",AP250)+1,2)/24
+ RIGHT(AP250,2)/1440,
"")</f>
        <v>0.955555555555556</v>
      </c>
      <c r="AR250" s="0" t="n">
        <f aca="false">WEEKNUM(B250,1)</f>
        <v>13</v>
      </c>
      <c r="AS250" s="17" t="n">
        <f aca="false">IF(B250&gt;0, (B250+C250)-TIME(13,30,0), "")</f>
        <v>46105.3854166667</v>
      </c>
      <c r="AT250" s="18" t="n">
        <f aca="false">IF(B250&gt;0, (B250+C250)-TIME(13,30,0), "")</f>
        <v>46105.3854166667</v>
      </c>
      <c r="AU250" s="17" t="n">
        <f aca="false">IF(V250&gt;0, (V250+W250)-TIME(13,30,0), "")</f>
        <v>46106.3409722222</v>
      </c>
      <c r="AV250" s="18" t="n">
        <f aca="false">IF(V250&gt;0, (V250+W250)-TIME(13,30,0), "")</f>
        <v>46106.3409722222</v>
      </c>
      <c r="AW250" s="19" t="n">
        <f aca="false">24*(
MAX(0,
IF(NETWORKDAYS(AS250,AU250)=1,
MIN(MOD(AV250,1),TIME(17,30,0)) - MAX(MOD(AT250,1),TIME(8,30,0)),
(TIME(17,30,0)-MAX(MOD(AT250,1),TIME(8,30,0)))
+ (MIN(MOD(AV250,1),TIME(17,30,0))-TIME(8,30,0))
+ (NETWORKDAYS(AS250,AU250)-2)*9/24
)
)
)</f>
        <v>7.93333333324778</v>
      </c>
      <c r="AX250" s="19" t="n">
        <f aca="false">24*(
MAX(0,
IF(NETWORKDAYS(AS250,AU250)=1,
MIN(MOD(AV250,1),TIME(17,30,0)) - MAX(MOD(AT250,1),TIME(8,30,0)),
(TIME(17,30,0)-MAX(MOD(AT250,1),TIME(8,30,0)))
+ (MIN(MOD(AV250,1),TIME(17,30,0))-TIME(8,30,0))
+ (NETWORKDAYS(AS250,AU250)-2)* (TIME(17,30,0)-TIME(8,30,0))
)
)
)</f>
        <v>7.93333333324778</v>
      </c>
      <c r="AY250" s="20" t="n">
        <f aca="false">ROUND(
IF(AS250=AU250,
MAX(0,
(MIN(MOD(AV250,1),TIME(17,30,0))-
MAX(MOD(AT250,1),TIME(8,30,0)))*24
),
(
(MAX(0,TIME(17,30,0)-MAX(MOD(AT250,1),TIME(8,30,0)))*24)
+
(MAX(0,MIN(MOD(AV250,1),TIME(17,30,0))-TIME(8,30,0))*24)
+
(MAX(0,NETWORKDAYS(AS250+1,AU250-1))*9)
)
),
2)</f>
        <v>8.25</v>
      </c>
      <c r="AZ250" s="0" t="n">
        <f aca="false" t="array" ref="AZ250:AZ250">_xlfn.XLOOKUP(J250,{"Low","Medium","High"},{270,72,24})</f>
        <v>270</v>
      </c>
      <c r="BA250" s="0" t="str">
        <f aca="false">IF(AW250&gt;AZ250,"Not Met","Met")</f>
        <v>Met</v>
      </c>
      <c r="BB250" s="21" t="str">
        <f aca="false">IF(AS250="","",TEXT(AS250,"MMM")&amp;"'"&amp;TEXT(AS250,"yy"))</f>
        <v>Mar'26</v>
      </c>
      <c r="BC250" s="0" t="str">
        <f aca="false">IF(AU250="","",TEXT(AU250,"MMM")&amp;"'"&amp;TEXT(AU250,"yy"))</f>
        <v>Mar'26</v>
      </c>
    </row>
    <row r="251" customFormat="false" ht="15" hidden="false" customHeight="false" outlineLevel="0" collapsed="false">
      <c r="A251" s="1" t="s">
        <v>893</v>
      </c>
      <c r="B251" s="11" t="n">
        <v>46106</v>
      </c>
      <c r="C251" s="12" t="n">
        <v>0.0284722222222222</v>
      </c>
      <c r="D251" s="13" t="str">
        <f aca="false">IF(B251="","",TEXT(B251,"MMM")&amp;"'"&amp;TEXT(B251,"yy"))</f>
        <v>Mar'26</v>
      </c>
      <c r="E251" s="27" t="s">
        <v>55</v>
      </c>
      <c r="F251" s="27" t="s">
        <v>39</v>
      </c>
      <c r="G251" s="1" t="str">
        <f aca="false">IF(F251="Closed","Closed","Pending")</f>
        <v>Closed</v>
      </c>
      <c r="H251" s="1" t="s">
        <v>56</v>
      </c>
      <c r="I251" s="1" t="s">
        <v>894</v>
      </c>
      <c r="J251" s="1" t="s">
        <v>74</v>
      </c>
      <c r="K251" s="35" t="s">
        <v>59</v>
      </c>
      <c r="L251" s="35" t="s">
        <v>895</v>
      </c>
      <c r="M251" s="1" t="s">
        <v>896</v>
      </c>
      <c r="N251" s="1" t="s">
        <v>65</v>
      </c>
      <c r="O251" s="1" t="s">
        <v>106</v>
      </c>
      <c r="Q251" s="1" t="s">
        <v>86</v>
      </c>
      <c r="R251" s="1" t="s">
        <v>87</v>
      </c>
      <c r="U251" s="12" t="n">
        <v>0.918055555555556</v>
      </c>
      <c r="V251" s="11" t="n">
        <v>46106</v>
      </c>
      <c r="W251" s="12" t="n">
        <v>0.918055555555556</v>
      </c>
      <c r="X251" s="11" t="n">
        <v>46120</v>
      </c>
      <c r="Y251" s="12" t="n">
        <v>0.936111111111111</v>
      </c>
      <c r="Z251" s="1" t="s">
        <v>67</v>
      </c>
      <c r="AA251" s="1" t="s">
        <v>68</v>
      </c>
      <c r="AB251" s="2" t="e">
        <f aca="false">U251-#REF!</f>
        <v>#REF!</v>
      </c>
      <c r="AC251" s="14" t="n">
        <f aca="false">(V251+W251)-(B251+C251)</f>
        <v>0.889583333333333</v>
      </c>
      <c r="AD251" s="4" t="str">
        <f aca="false">INT((V251+W251)-(B251+C251)) &amp; ":" &amp;
TEXT(HOUR((V251+W251)-(B251+C251)), "00") &amp; ":" &amp;
TEXT(MINUTE((V251+W251)-(B251+C251)), "00")</f>
        <v>0:21:21</v>
      </c>
      <c r="AE251" s="1" t="n">
        <f aca="false">IFERROR(
LEFT(AD251,FIND(":",AD251)-1)
+ MID(AD251,FIND(":",AD251)+1,2)/24
+ RIGHT(AD251,2)/1440,
"")</f>
        <v>0.889583333333333</v>
      </c>
      <c r="AF251" s="4" t="str">
        <f aca="false">INT((X251+Y251)-(B251+C251)) &amp; ":" &amp;
TEXT(HOUR((X251+Y251)-(B251+C251)), "00") &amp; ":" &amp;
TEXT(MINUTE((X251+Y251)-(B251+C251)), "00")</f>
        <v>14:21:47</v>
      </c>
      <c r="AG251" s="4" t="str">
        <f aca="false" t="array" ref="AG251:AG251">INT(_xlfn.XLOOKUP(J251,{"Low","Medium","High","Urgent"},{48,24,12,8})/24) &amp; ":" &amp;
TEXT(MOD(_xlfn.XLOOKUP(J251,{"Low","Medium","High","Urgent"},{48,24,12,8}),24)/24,"hh:mm")</f>
        <v>2:00:00</v>
      </c>
      <c r="AH251" s="4" t="str">
        <f aca="false">IF(AD251&gt;AG251,"Not Met","Met")</f>
        <v>Met</v>
      </c>
      <c r="AI251" s="4" t="e">
        <f aca="false">IF(AB251&lt;TIME(0,30,0),"Met","Not Met")</f>
        <v>#REF!</v>
      </c>
      <c r="AN251" s="1" t="str">
        <f aca="false">TEXT(B251,"dd")</f>
        <v>25</v>
      </c>
      <c r="AO251" s="1" t="str">
        <f aca="false">TEXT(X251,"dd")</f>
        <v>08</v>
      </c>
      <c r="AP251" s="16" t="str">
        <f aca="false">INT(
  NETWORKDAYS(B251,V251)-1
  + IF(WEEKDAY(V251,2)&lt;6,MOD(V251+W251,1),0)
  - IF(WEEKDAY(B251,2)&lt;6,MOD(B251+C251,1),0)
)
&amp; ":" &amp;
TEXT(HOUR(
  NETWORKDAYS(B251,V251)-1
  + IF(WEEKDAY(V251,2)&lt;6,MOD(V251+W251,1),0)
  - IF(WEEKDAY(B251,2)&lt;6,MOD(B251+C251,1),0)
),"00")
&amp; ":" &amp;
TEXT(MINUTE(
  NETWORKDAYS(B251,V251)-1
  + IF(WEEKDAY(V251,2)&lt;6,MOD(V251+W251,1),0)
  - IF(WEEKDAY(B251,2)&lt;6,MOD(B251+C251,1),0)
),"00")</f>
        <v>0:21:21</v>
      </c>
      <c r="AQ251" s="0" t="n">
        <f aca="false">IFERROR(
LEFT(AP251,FIND(":",AP251)-1)
+ MID(AP251,FIND(":",AP251)+1,2)/24
+ RIGHT(AP251,2)/1440,
"")</f>
        <v>0.889583333333333</v>
      </c>
      <c r="AR251" s="0" t="n">
        <f aca="false">WEEKNUM(B251,1)</f>
        <v>13</v>
      </c>
      <c r="AS251" s="17" t="n">
        <f aca="false">IF(B251&gt;0, (B251+C251)-TIME(13,30,0), "")</f>
        <v>46105.4659722222</v>
      </c>
      <c r="AT251" s="18" t="n">
        <f aca="false">IF(B251&gt;0, (B251+C251)-TIME(13,30,0), "")</f>
        <v>46105.4659722222</v>
      </c>
      <c r="AU251" s="17" t="n">
        <f aca="false">IF(V251&gt;0, (V251+W251)-TIME(13,30,0), "")</f>
        <v>46106.3555555556</v>
      </c>
      <c r="AV251" s="18" t="n">
        <f aca="false">IF(V251&gt;0, (V251+W251)-TIME(13,30,0), "")</f>
        <v>46106.3555555556</v>
      </c>
      <c r="AW251" s="19" t="n">
        <f aca="false">24*(
MAX(0,
IF(NETWORKDAYS(AS251,AU251)=1,
MIN(MOD(AV251,1),TIME(17,30,0)) - MAX(MOD(AT251,1),TIME(8,30,0)),
(TIME(17,30,0)-MAX(MOD(AT251,1),TIME(8,30,0)))
+ (MIN(MOD(AV251,1),TIME(17,30,0))-TIME(8,30,0))
+ (NETWORKDAYS(AS251,AU251)-2)*9/24
)
)
)</f>
        <v>6.35</v>
      </c>
      <c r="AX251" s="19" t="n">
        <f aca="false">24*(
MAX(0,
IF(NETWORKDAYS(AS251,AU251)=1,
MIN(MOD(AV251,1),TIME(17,30,0)) - MAX(MOD(AT251,1),TIME(8,30,0)),
(TIME(17,30,0)-MAX(MOD(AT251,1),TIME(8,30,0)))
+ (MIN(MOD(AV251,1),TIME(17,30,0))-TIME(8,30,0))
+ (NETWORKDAYS(AS251,AU251)-2)* (TIME(17,30,0)-TIME(8,30,0))
)
)
)</f>
        <v>6.35</v>
      </c>
      <c r="AY251" s="20" t="n">
        <f aca="false">ROUND(
IF(AS251=AU251,
MAX(0,
(MIN(MOD(AV251,1),TIME(17,30,0))-
MAX(MOD(AT251,1),TIME(8,30,0)))*24
),
(
(MAX(0,TIME(17,30,0)-MAX(MOD(AT251,1),TIME(8,30,0)))*24)
+
(MAX(0,MIN(MOD(AV251,1),TIME(17,30,0))-TIME(8,30,0))*24)
+
(MAX(0,NETWORKDAYS(AS251+1,AU251-1))*9)
)
),
2)</f>
        <v>6.35</v>
      </c>
      <c r="AZ251" s="0" t="n">
        <f aca="false" t="array" ref="AZ251:AZ251">_xlfn.XLOOKUP(J251,{"Low","Medium","High"},{270,72,24})</f>
        <v>270</v>
      </c>
      <c r="BA251" s="0" t="str">
        <f aca="false">IF(AW251&gt;AZ251,"Not Met","Met")</f>
        <v>Met</v>
      </c>
      <c r="BB251" s="21" t="str">
        <f aca="false">IF(AS251="","",TEXT(AS251,"MMM")&amp;"'"&amp;TEXT(AS251,"yy"))</f>
        <v>Mar'26</v>
      </c>
      <c r="BC251" s="0" t="str">
        <f aca="false">IF(AU251="","",TEXT(AU251,"MMM")&amp;"'"&amp;TEXT(AU251,"yy"))</f>
        <v>Mar'26</v>
      </c>
    </row>
    <row r="252" customFormat="false" ht="15" hidden="false" customHeight="false" outlineLevel="0" collapsed="false">
      <c r="A252" s="1" t="s">
        <v>897</v>
      </c>
      <c r="B252" s="11" t="n">
        <v>46106</v>
      </c>
      <c r="C252" s="12" t="n">
        <v>0.0916666666666667</v>
      </c>
      <c r="D252" s="13" t="str">
        <f aca="false">IF(B252="","",TEXT(B252,"MMM")&amp;"'"&amp;TEXT(B252,"yy"))</f>
        <v>Mar'26</v>
      </c>
      <c r="E252" s="27" t="s">
        <v>55</v>
      </c>
      <c r="F252" s="27" t="s">
        <v>39</v>
      </c>
      <c r="G252" s="1" t="str">
        <f aca="false">IF(F252="Closed","Closed","Pending")</f>
        <v>Closed</v>
      </c>
      <c r="H252" s="42" t="s">
        <v>120</v>
      </c>
      <c r="I252" s="42" t="s">
        <v>401</v>
      </c>
      <c r="J252" s="42" t="s">
        <v>58</v>
      </c>
      <c r="K252" s="1" t="s">
        <v>59</v>
      </c>
      <c r="L252" s="35" t="s">
        <v>898</v>
      </c>
      <c r="M252" s="1" t="s">
        <v>899</v>
      </c>
      <c r="N252" s="1" t="s">
        <v>143</v>
      </c>
      <c r="O252" s="1" t="s">
        <v>143</v>
      </c>
      <c r="Q252" s="1" t="s">
        <v>143</v>
      </c>
      <c r="R252" s="1" t="s">
        <v>87</v>
      </c>
      <c r="U252" s="12" t="n">
        <v>0.919444444444444</v>
      </c>
      <c r="V252" s="11" t="n">
        <v>46106</v>
      </c>
      <c r="W252" s="12" t="n">
        <v>0.919444444444444</v>
      </c>
      <c r="X252" s="11" t="n">
        <v>46107</v>
      </c>
      <c r="Y252" s="12" t="n">
        <v>0.0375</v>
      </c>
      <c r="Z252" s="1" t="s">
        <v>108</v>
      </c>
      <c r="AA252" s="1" t="s">
        <v>68</v>
      </c>
      <c r="AB252" s="2" t="e">
        <f aca="false">U252-#REF!</f>
        <v>#REF!</v>
      </c>
      <c r="AC252" s="14" t="n">
        <f aca="false">(V252+W252)-(B252+C252)</f>
        <v>0.827777777777778</v>
      </c>
      <c r="AD252" s="4" t="str">
        <f aca="false">INT((V252+W252)-(B252+C252)) &amp; ":" &amp;
TEXT(HOUR((V252+W252)-(B252+C252)), "00") &amp; ":" &amp;
TEXT(MINUTE((V252+W252)-(B252+C252)), "00")</f>
        <v>0:19:52</v>
      </c>
      <c r="AE252" s="1" t="n">
        <f aca="false">IFERROR(
LEFT(AD252,FIND(":",AD252)-1)
+ MID(AD252,FIND(":",AD252)+1,2)/24
+ RIGHT(AD252,2)/1440,
"")</f>
        <v>0.827777777777778</v>
      </c>
      <c r="AF252" s="4" t="str">
        <f aca="false">INT((X252+Y252)-(B252+C252)) &amp; ":" &amp;
TEXT(HOUR((X252+Y252)-(B252+C252)), "00") &amp; ":" &amp;
TEXT(MINUTE((X252+Y252)-(B252+C252)), "00")</f>
        <v>0:22:42</v>
      </c>
      <c r="AG252" s="4" t="str">
        <f aca="false" t="array" ref="AG252:AG252">INT(_xlfn.XLOOKUP(J252,{"Low","Medium","High","Urgent"},{48,24,12,8})/24) &amp; ":" &amp;
TEXT(MOD(_xlfn.XLOOKUP(J252,{"Low","Medium","High","Urgent"},{48,24,12,8}),24)/24,"hh:mm")</f>
        <v>1:00:00</v>
      </c>
      <c r="AH252" s="4" t="str">
        <f aca="false">IF(AD252&gt;AG252,"Not Met","Met")</f>
        <v>Met</v>
      </c>
      <c r="AI252" s="4" t="e">
        <f aca="false">IF(AB252&lt;TIME(0,30,0),"Met","Not Met")</f>
        <v>#REF!</v>
      </c>
      <c r="AN252" s="1" t="str">
        <f aca="false">TEXT(B252,"dd")</f>
        <v>25</v>
      </c>
      <c r="AO252" s="1" t="str">
        <f aca="false">TEXT(X252,"dd")</f>
        <v>26</v>
      </c>
      <c r="AP252" s="16" t="str">
        <f aca="false">INT(
  NETWORKDAYS(B252,V252)-1
  + IF(WEEKDAY(V252,2)&lt;6,MOD(V252+W252,1),0)
  - IF(WEEKDAY(B252,2)&lt;6,MOD(B252+C252,1),0)
)
&amp; ":" &amp;
TEXT(HOUR(
  NETWORKDAYS(B252,V252)-1
  + IF(WEEKDAY(V252,2)&lt;6,MOD(V252+W252,1),0)
  - IF(WEEKDAY(B252,2)&lt;6,MOD(B252+C252,1),0)
),"00")
&amp; ":" &amp;
TEXT(MINUTE(
  NETWORKDAYS(B252,V252)-1
  + IF(WEEKDAY(V252,2)&lt;6,MOD(V252+W252,1),0)
  - IF(WEEKDAY(B252,2)&lt;6,MOD(B252+C252,1),0)
),"00")</f>
        <v>0:19:51</v>
      </c>
      <c r="AQ252" s="0" t="n">
        <f aca="false">IFERROR(
LEFT(AP252,FIND(":",AP252)-1)
+ MID(AP252,FIND(":",AP252)+1,2)/24
+ RIGHT(AP252,2)/1440,
"")</f>
        <v>0.827083333333333</v>
      </c>
      <c r="AR252" s="0" t="n">
        <f aca="false">WEEKNUM(B252,1)</f>
        <v>13</v>
      </c>
      <c r="AS252" s="17" t="n">
        <f aca="false">IF(B252&gt;0, (B252+C252)-TIME(13,30,0), "")</f>
        <v>46105.5291666667</v>
      </c>
      <c r="AT252" s="18" t="n">
        <f aca="false">IF(B252&gt;0, (B252+C252)-TIME(13,30,0), "")</f>
        <v>46105.5291666667</v>
      </c>
      <c r="AU252" s="17" t="n">
        <f aca="false">IF(V252&gt;0, (V252+W252)-TIME(13,30,0), "")</f>
        <v>46106.3569444444</v>
      </c>
      <c r="AV252" s="18" t="n">
        <f aca="false">IF(V252&gt;0, (V252+W252)-TIME(13,30,0), "")</f>
        <v>46106.3569444444</v>
      </c>
      <c r="AW252" s="19" t="n">
        <f aca="false">24*(
MAX(0,
IF(NETWORKDAYS(AS252,AU252)=1,
MIN(MOD(AV252,1),TIME(17,30,0)) - MAX(MOD(AT252,1),TIME(8,30,0)),
(TIME(17,30,0)-MAX(MOD(AT252,1),TIME(8,30,0)))
+ (MIN(MOD(AV252,1),TIME(17,30,0))-TIME(8,30,0))
+ (NETWORKDAYS(AS252,AU252)-2)*9/24
)
)
)</f>
        <v>4.86666666666667</v>
      </c>
      <c r="AX252" s="19" t="n">
        <f aca="false">24*(
MAX(0,
IF(NETWORKDAYS(AS252,AU252)=1,
MIN(MOD(AV252,1),TIME(17,30,0)) - MAX(MOD(AT252,1),TIME(8,30,0)),
(TIME(17,30,0)-MAX(MOD(AT252,1),TIME(8,30,0)))
+ (MIN(MOD(AV252,1),TIME(17,30,0))-TIME(8,30,0))
+ (NETWORKDAYS(AS252,AU252)-2)* (TIME(17,30,0)-TIME(8,30,0))
)
)
)</f>
        <v>4.86666666666667</v>
      </c>
      <c r="AY252" s="20" t="n">
        <f aca="false">ROUND(
IF(AS252=AU252,
MAX(0,
(MIN(MOD(AV252,1),TIME(17,30,0))-
MAX(MOD(AT252,1),TIME(8,30,0)))*24
),
(
(MAX(0,TIME(17,30,0)-MAX(MOD(AT252,1),TIME(8,30,0)))*24)
+
(MAX(0,MIN(MOD(AV252,1),TIME(17,30,0))-TIME(8,30,0))*24)
+
(MAX(0,NETWORKDAYS(AS252+1,AU252-1))*9)
)
),
2)</f>
        <v>4.87</v>
      </c>
      <c r="AZ252" s="0" t="n">
        <f aca="false" t="array" ref="AZ252:AZ252">_xlfn.XLOOKUP(J252,{"Low","Medium","High"},{270,72,24})</f>
        <v>72</v>
      </c>
      <c r="BA252" s="0" t="str">
        <f aca="false">IF(AW252&gt;AZ252,"Not Met","Met")</f>
        <v>Met</v>
      </c>
      <c r="BB252" s="21" t="str">
        <f aca="false">IF(AS252="","",TEXT(AS252,"MMM")&amp;"'"&amp;TEXT(AS252,"yy"))</f>
        <v>Mar'26</v>
      </c>
      <c r="BC252" s="0" t="str">
        <f aca="false">IF(AU252="","",TEXT(AU252,"MMM")&amp;"'"&amp;TEXT(AU252,"yy"))</f>
        <v>Mar'26</v>
      </c>
    </row>
    <row r="253" customFormat="false" ht="15" hidden="false" customHeight="false" outlineLevel="0" collapsed="false">
      <c r="A253" s="1" t="s">
        <v>900</v>
      </c>
      <c r="B253" s="11" t="n">
        <v>46106</v>
      </c>
      <c r="C253" s="12" t="n">
        <v>0.11875</v>
      </c>
      <c r="D253" s="13" t="str">
        <f aca="false">IF(B253="","",TEXT(B253,"MMM")&amp;"'"&amp;TEXT(B253,"yy"))</f>
        <v>Mar'26</v>
      </c>
      <c r="E253" s="27" t="s">
        <v>55</v>
      </c>
      <c r="F253" s="27" t="s">
        <v>39</v>
      </c>
      <c r="G253" s="1" t="str">
        <f aca="false">IF(F253="Closed","Closed","Pending")</f>
        <v>Closed</v>
      </c>
      <c r="H253" s="1" t="s">
        <v>691</v>
      </c>
      <c r="I253" s="1" t="s">
        <v>581</v>
      </c>
      <c r="J253" s="1" t="s">
        <v>74</v>
      </c>
      <c r="K253" s="35" t="s">
        <v>59</v>
      </c>
      <c r="L253" s="35" t="s">
        <v>901</v>
      </c>
      <c r="M253" s="1" t="s">
        <v>902</v>
      </c>
      <c r="N253" s="1" t="s">
        <v>65</v>
      </c>
      <c r="O253" s="1" t="s">
        <v>106</v>
      </c>
      <c r="Q253" s="1" t="s">
        <v>65</v>
      </c>
      <c r="R253" s="1" t="s">
        <v>87</v>
      </c>
      <c r="U253" s="12" t="n">
        <v>0.921527777777778</v>
      </c>
      <c r="V253" s="11" t="n">
        <v>46107</v>
      </c>
      <c r="W253" s="12" t="n">
        <v>0.938194444444444</v>
      </c>
      <c r="X253" s="11" t="n">
        <v>46108</v>
      </c>
      <c r="Y253" s="12" t="n">
        <v>0.884722222222222</v>
      </c>
      <c r="Z253" s="1" t="s">
        <v>67</v>
      </c>
      <c r="AA253" s="1" t="s">
        <v>68</v>
      </c>
      <c r="AB253" s="2" t="e">
        <f aca="false">U253-#REF!</f>
        <v>#REF!</v>
      </c>
      <c r="AC253" s="14" t="n">
        <f aca="false">(V253+W253)-(B253+C253)</f>
        <v>1.81944444444444</v>
      </c>
      <c r="AD253" s="4" t="str">
        <f aca="false">INT((V253+W253)-(B253+C253)) &amp; ":" &amp;
TEXT(HOUR((V253+W253)-(B253+C253)), "00") &amp; ":" &amp;
TEXT(MINUTE((V253+W253)-(B253+C253)), "00")</f>
        <v>1:19:40</v>
      </c>
      <c r="AE253" s="1" t="n">
        <f aca="false">IFERROR(
LEFT(AD253,FIND(":",AD253)-1)
+ MID(AD253,FIND(":",AD253)+1,2)/24
+ RIGHT(AD253,2)/1440,
"")</f>
        <v>1.81944444444444</v>
      </c>
      <c r="AF253" s="4" t="str">
        <f aca="false">INT((X253+Y253)-(B253+C253)) &amp; ":" &amp;
TEXT(HOUR((X253+Y253)-(B253+C253)), "00") &amp; ":" &amp;
TEXT(MINUTE((X253+Y253)-(B253+C253)), "00")</f>
        <v>2:18:23</v>
      </c>
      <c r="AG253" s="4" t="str">
        <f aca="false" t="array" ref="AG253:AG253">INT(_xlfn.XLOOKUP(J253,{"Low","Medium","High","Urgent"},{48,24,12,8})/24) &amp; ":" &amp;
TEXT(MOD(_xlfn.XLOOKUP(J253,{"Low","Medium","High","Urgent"},{48,24,12,8}),24)/24,"hh:mm")</f>
        <v>2:00:00</v>
      </c>
      <c r="AH253" s="4" t="str">
        <f aca="false">IF(AD253&gt;AG253,"Not Met","Met")</f>
        <v>Met</v>
      </c>
      <c r="AI253" s="4" t="e">
        <f aca="false">IF(AB253&lt;TIME(0,30,0),"Met","Not Met")</f>
        <v>#REF!</v>
      </c>
      <c r="AN253" s="1" t="str">
        <f aca="false">TEXT(B253,"dd")</f>
        <v>25</v>
      </c>
      <c r="AO253" s="1" t="str">
        <f aca="false">TEXT(X253,"dd")</f>
        <v>27</v>
      </c>
      <c r="AP253" s="16" t="str">
        <f aca="false">INT(
  NETWORKDAYS(B253,V253)-1
  + IF(WEEKDAY(V253,2)&lt;6,MOD(V253+W253,1),0)
  - IF(WEEKDAY(B253,2)&lt;6,MOD(B253+C253,1),0)
)
&amp; ":" &amp;
TEXT(HOUR(
  NETWORKDAYS(B253,V253)-1
  + IF(WEEKDAY(V253,2)&lt;6,MOD(V253+W253,1),0)
  - IF(WEEKDAY(B253,2)&lt;6,MOD(B253+C253,1),0)
),"00")
&amp; ":" &amp;
TEXT(MINUTE(
  NETWORKDAYS(B253,V253)-1
  + IF(WEEKDAY(V253,2)&lt;6,MOD(V253+W253,1),0)
  - IF(WEEKDAY(B253,2)&lt;6,MOD(B253+C253,1),0)
),"00")</f>
        <v>1:19:40</v>
      </c>
      <c r="AQ253" s="0" t="n">
        <f aca="false">IFERROR(
LEFT(AP253,FIND(":",AP253)-1)
+ MID(AP253,FIND(":",AP253)+1,2)/24
+ RIGHT(AP253,2)/1440,
"")</f>
        <v>1.81944444444444</v>
      </c>
      <c r="AR253" s="0" t="n">
        <f aca="false">WEEKNUM(B253,1)</f>
        <v>13</v>
      </c>
      <c r="AS253" s="17" t="n">
        <f aca="false">IF(B253&gt;0, (B253+C253)-TIME(13,30,0), "")</f>
        <v>46105.55625</v>
      </c>
      <c r="AT253" s="18" t="n">
        <f aca="false">IF(B253&gt;0, (B253+C253)-TIME(13,30,0), "")</f>
        <v>46105.55625</v>
      </c>
      <c r="AU253" s="17" t="n">
        <f aca="false">IF(V253&gt;0, (V253+W253)-TIME(13,30,0), "")</f>
        <v>46107.3756944445</v>
      </c>
      <c r="AV253" s="18" t="n">
        <f aca="false">IF(V253&gt;0, (V253+W253)-TIME(13,30,0), "")</f>
        <v>46107.3756944445</v>
      </c>
      <c r="AW253" s="19" t="n">
        <f aca="false">24*(
MAX(0,
IF(NETWORKDAYS(AS253,AU253)=1,
MIN(MOD(AV253,1),TIME(17,30,0)) - MAX(MOD(AT253,1),TIME(8,30,0)),
(TIME(17,30,0)-MAX(MOD(AT253,1),TIME(8,30,0)))
+ (MIN(MOD(AV253,1),TIME(17,30,0))-TIME(8,30,0))
+ (NETWORKDAYS(AS253,AU253)-2)*9/24
)
)
)</f>
        <v>13.6666666666667</v>
      </c>
      <c r="AX253" s="19" t="n">
        <f aca="false">24*(
MAX(0,
IF(NETWORKDAYS(AS253,AU253)=1,
MIN(MOD(AV253,1),TIME(17,30,0)) - MAX(MOD(AT253,1),TIME(8,30,0)),
(TIME(17,30,0)-MAX(MOD(AT253,1),TIME(8,30,0)))
+ (MIN(MOD(AV253,1),TIME(17,30,0))-TIME(8,30,0))
+ (NETWORKDAYS(AS253,AU253)-2)* (TIME(17,30,0)-TIME(8,30,0))
)
)
)</f>
        <v>13.6666666666667</v>
      </c>
      <c r="AY253" s="20" t="n">
        <f aca="false">ROUND(
IF(AS253=AU253,
MAX(0,
(MIN(MOD(AV253,1),TIME(17,30,0))-
MAX(MOD(AT253,1),TIME(8,30,0)))*24
),
(
(MAX(0,TIME(17,30,0)-MAX(MOD(AT253,1),TIME(8,30,0)))*24)
+
(MAX(0,MIN(MOD(AV253,1),TIME(17,30,0))-TIME(8,30,0))*24)
+
(MAX(0,NETWORKDAYS(AS253+1,AU253-1))*9)
)
),
2)</f>
        <v>13.67</v>
      </c>
      <c r="AZ253" s="0" t="n">
        <f aca="false" t="array" ref="AZ253:AZ253">_xlfn.XLOOKUP(J253,{"Low","Medium","High"},{270,72,24})</f>
        <v>270</v>
      </c>
      <c r="BA253" s="0" t="str">
        <f aca="false">IF(AW253&gt;AZ253,"Not Met","Met")</f>
        <v>Met</v>
      </c>
      <c r="BB253" s="21" t="str">
        <f aca="false">IF(AS253="","",TEXT(AS253,"MMM")&amp;"'"&amp;TEXT(AS253,"yy"))</f>
        <v>Mar'26</v>
      </c>
      <c r="BC253" s="0" t="str">
        <f aca="false">IF(AU253="","",TEXT(AU253,"MMM")&amp;"'"&amp;TEXT(AU253,"yy"))</f>
        <v>Mar'26</v>
      </c>
    </row>
    <row r="254" customFormat="false" ht="15" hidden="false" customHeight="false" outlineLevel="0" collapsed="false">
      <c r="A254" s="1" t="s">
        <v>903</v>
      </c>
      <c r="B254" s="11" t="n">
        <v>46106</v>
      </c>
      <c r="C254" s="12" t="n">
        <v>0.922916666666667</v>
      </c>
      <c r="D254" s="13" t="str">
        <f aca="false">IF(B254="","",TEXT(B254,"MMM")&amp;"'"&amp;TEXT(B254,"yy"))</f>
        <v>Mar'26</v>
      </c>
      <c r="E254" s="27" t="s">
        <v>55</v>
      </c>
      <c r="F254" s="1" t="s">
        <v>39</v>
      </c>
      <c r="G254" s="1" t="str">
        <f aca="false">IF(F254="Closed","Closed","Pending")</f>
        <v>Closed</v>
      </c>
      <c r="H254" s="26" t="s">
        <v>72</v>
      </c>
      <c r="I254" s="26" t="s">
        <v>792</v>
      </c>
      <c r="J254" s="26" t="s">
        <v>74</v>
      </c>
      <c r="K254" s="40" t="s">
        <v>59</v>
      </c>
      <c r="L254" s="26" t="s">
        <v>904</v>
      </c>
      <c r="M254" s="1" t="s">
        <v>905</v>
      </c>
      <c r="N254" s="1" t="s">
        <v>65</v>
      </c>
      <c r="O254" s="1" t="s">
        <v>106</v>
      </c>
      <c r="Q254" s="1" t="s">
        <v>65</v>
      </c>
      <c r="R254" s="1" t="s">
        <v>87</v>
      </c>
      <c r="U254" s="12" t="n">
        <v>0.958333333333333</v>
      </c>
      <c r="V254" s="11" t="n">
        <v>46107</v>
      </c>
      <c r="W254" s="12" t="n">
        <v>0.940972222222222</v>
      </c>
      <c r="X254" s="11" t="n">
        <v>46108</v>
      </c>
      <c r="Y254" s="12" t="n">
        <v>0.119444444444444</v>
      </c>
      <c r="Z254" s="1" t="s">
        <v>108</v>
      </c>
      <c r="AA254" s="1" t="s">
        <v>68</v>
      </c>
      <c r="AB254" s="2" t="e">
        <f aca="false">U254-#REF!</f>
        <v>#REF!</v>
      </c>
      <c r="AC254" s="14" t="n">
        <f aca="false">(V254+W254)-(B254+C254)</f>
        <v>1.01805555555556</v>
      </c>
      <c r="AD254" s="4" t="str">
        <f aca="false">INT((V254+W254)-(B254+C254)) &amp; ":" &amp;
TEXT(HOUR((V254+W254)-(B254+C254)), "00") &amp; ":" &amp;
TEXT(MINUTE((V254+W254)-(B254+C254)), "00")</f>
        <v>1:00:26</v>
      </c>
      <c r="AE254" s="1" t="n">
        <f aca="false">IFERROR(
LEFT(AD254,FIND(":",AD254)-1)
+ MID(AD254,FIND(":",AD254)+1,2)/24
+ RIGHT(AD254,2)/1440,
"")</f>
        <v>1.01805555555556</v>
      </c>
      <c r="AF254" s="4" t="str">
        <f aca="false">INT((X254+Y254)-(B254+C254)) &amp; ":" &amp;
TEXT(HOUR((X254+Y254)-(B254+C254)), "00") &amp; ":" &amp;
TEXT(MINUTE((X254+Y254)-(B254+C254)), "00")</f>
        <v>1:04:43</v>
      </c>
      <c r="AG254" s="4" t="str">
        <f aca="false" t="array" ref="AG254:AG254">INT(_xlfn.XLOOKUP(J254,{"Low","Medium","High","Urgent"},{48,24,12,8})/24) &amp; ":" &amp;
TEXT(MOD(_xlfn.XLOOKUP(J254,{"Low","Medium","High","Urgent"},{48,24,12,8}),24)/24,"hh:mm")</f>
        <v>2:00:00</v>
      </c>
      <c r="AH254" s="4" t="str">
        <f aca="false">IF(AD254&gt;AG254,"Not Met","Met")</f>
        <v>Met</v>
      </c>
      <c r="AI254" s="4" t="e">
        <f aca="false">IF(AB254&lt;TIME(0,30,0),"Met","Not Met")</f>
        <v>#REF!</v>
      </c>
      <c r="AN254" s="1" t="str">
        <f aca="false">TEXT(B254,"dd")</f>
        <v>25</v>
      </c>
      <c r="AO254" s="1" t="str">
        <f aca="false">TEXT(X254,"dd")</f>
        <v>27</v>
      </c>
      <c r="AP254" s="16" t="str">
        <f aca="false">INT(
  NETWORKDAYS(B254,V254)-1
  + IF(WEEKDAY(V254,2)&lt;6,MOD(V254+W254,1),0)
  - IF(WEEKDAY(B254,2)&lt;6,MOD(B254+C254,1),0)
)
&amp; ":" &amp;
TEXT(HOUR(
  NETWORKDAYS(B254,V254)-1
  + IF(WEEKDAY(V254,2)&lt;6,MOD(V254+W254,1),0)
  - IF(WEEKDAY(B254,2)&lt;6,MOD(B254+C254,1),0)
),"00")
&amp; ":" &amp;
TEXT(MINUTE(
  NETWORKDAYS(B254,V254)-1
  + IF(WEEKDAY(V254,2)&lt;6,MOD(V254+W254,1),0)
  - IF(WEEKDAY(B254,2)&lt;6,MOD(B254+C254,1),0)
),"00")</f>
        <v>1:00:25</v>
      </c>
      <c r="AQ254" s="0" t="n">
        <f aca="false">IFERROR(
LEFT(AP254,FIND(":",AP254)-1)
+ MID(AP254,FIND(":",AP254)+1,2)/24
+ RIGHT(AP254,2)/1440,
"")</f>
        <v>1.01736111111111</v>
      </c>
      <c r="AR254" s="0" t="n">
        <f aca="false">WEEKNUM(B254,1)</f>
        <v>13</v>
      </c>
      <c r="AS254" s="17" t="n">
        <f aca="false">IF(B254&gt;0, (B254+C254)-TIME(13,30,0), "")</f>
        <v>46106.3604166667</v>
      </c>
      <c r="AT254" s="18" t="n">
        <f aca="false">IF(B254&gt;0, (B254+C254)-TIME(13,30,0), "")</f>
        <v>46106.3604166667</v>
      </c>
      <c r="AU254" s="17" t="n">
        <f aca="false">IF(V254&gt;0, (V254+W254)-TIME(13,30,0), "")</f>
        <v>46107.3784722222</v>
      </c>
      <c r="AV254" s="18" t="n">
        <f aca="false">IF(V254&gt;0, (V254+W254)-TIME(13,30,0), "")</f>
        <v>46107.3784722222</v>
      </c>
      <c r="AW254" s="19" t="n">
        <f aca="false">24*(
MAX(0,
IF(NETWORKDAYS(AS254,AU254)=1,
MIN(MOD(AV254,1),TIME(17,30,0)) - MAX(MOD(AT254,1),TIME(8,30,0)),
(TIME(17,30,0)-MAX(MOD(AT254,1),TIME(8,30,0)))
+ (MIN(MOD(AV254,1),TIME(17,30,0))-TIME(8,30,0))
+ (NETWORKDAYS(AS254,AU254)-2)*9/24
)
)
)</f>
        <v>9.43333333333333</v>
      </c>
      <c r="AX254" s="19" t="n">
        <f aca="false">24*(
MAX(0,
IF(NETWORKDAYS(AS254,AU254)=1,
MIN(MOD(AV254,1),TIME(17,30,0)) - MAX(MOD(AT254,1),TIME(8,30,0)),
(TIME(17,30,0)-MAX(MOD(AT254,1),TIME(8,30,0)))
+ (MIN(MOD(AV254,1),TIME(17,30,0))-TIME(8,30,0))
+ (NETWORKDAYS(AS254,AU254)-2)* (TIME(17,30,0)-TIME(8,30,0))
)
)
)</f>
        <v>9.43333333333333</v>
      </c>
      <c r="AY254" s="20" t="n">
        <f aca="false">ROUND(
IF(AS254=AU254,
MAX(0,
(MIN(MOD(AV254,1),TIME(17,30,0))-
MAX(MOD(AT254,1),TIME(8,30,0)))*24
),
(
(MAX(0,TIME(17,30,0)-MAX(MOD(AT254,1),TIME(8,30,0)))*24)
+
(MAX(0,MIN(MOD(AV254,1),TIME(17,30,0))-TIME(8,30,0))*24)
+
(MAX(0,NETWORKDAYS(AS254+1,AU254-1))*9)
)
),
2)</f>
        <v>9.43</v>
      </c>
      <c r="AZ254" s="0" t="n">
        <f aca="false" t="array" ref="AZ254:AZ254">_xlfn.XLOOKUP(J254,{"Low","Medium","High"},{270,72,24})</f>
        <v>270</v>
      </c>
      <c r="BA254" s="0" t="str">
        <f aca="false">IF(AW254&gt;AZ254,"Not Met","Met")</f>
        <v>Met</v>
      </c>
      <c r="BB254" s="21" t="str">
        <f aca="false">IF(AS254="","",TEXT(AS254,"MMM")&amp;"'"&amp;TEXT(AS254,"yy"))</f>
        <v>Mar'26</v>
      </c>
      <c r="BC254" s="0" t="str">
        <f aca="false">IF(AU254="","",TEXT(AU254,"MMM")&amp;"'"&amp;TEXT(AU254,"yy"))</f>
        <v>Mar'26</v>
      </c>
    </row>
    <row r="255" customFormat="false" ht="15" hidden="false" customHeight="false" outlineLevel="0" collapsed="false">
      <c r="A255" s="1" t="s">
        <v>906</v>
      </c>
      <c r="B255" s="11" t="n">
        <v>46106</v>
      </c>
      <c r="C255" s="12" t="n">
        <v>0.968055555555556</v>
      </c>
      <c r="D255" s="13" t="str">
        <f aca="false">IF(B255="","",TEXT(B255,"MMM")&amp;"'"&amp;TEXT(B255,"yy"))</f>
        <v>Mar'26</v>
      </c>
      <c r="E255" s="27" t="s">
        <v>55</v>
      </c>
      <c r="F255" s="1" t="s">
        <v>39</v>
      </c>
      <c r="G255" s="1" t="str">
        <f aca="false">IF(F255="Closed","Closed","Pending")</f>
        <v>Closed</v>
      </c>
      <c r="H255" s="1" t="s">
        <v>72</v>
      </c>
      <c r="I255" s="1" t="s">
        <v>73</v>
      </c>
      <c r="J255" s="1" t="s">
        <v>74</v>
      </c>
      <c r="K255" s="1" t="s">
        <v>59</v>
      </c>
      <c r="L255" s="1" t="s">
        <v>907</v>
      </c>
      <c r="M255" s="35" t="s">
        <v>908</v>
      </c>
      <c r="N255" s="1" t="s">
        <v>62</v>
      </c>
      <c r="O255" s="1" t="s">
        <v>63</v>
      </c>
      <c r="Q255" s="1" t="s">
        <v>65</v>
      </c>
      <c r="R255" s="1" t="s">
        <v>66</v>
      </c>
      <c r="U255" s="12" t="n">
        <v>0.972916666666667</v>
      </c>
      <c r="V255" s="11" t="n">
        <v>46139</v>
      </c>
      <c r="W255" s="12" t="n">
        <v>0.89375</v>
      </c>
      <c r="X255" s="11" t="n">
        <v>46140</v>
      </c>
      <c r="Y255" s="12" t="n">
        <v>0.818055555555556</v>
      </c>
      <c r="Z255" s="1" t="s">
        <v>67</v>
      </c>
      <c r="AA255" s="1" t="s">
        <v>68</v>
      </c>
      <c r="AB255" s="2" t="e">
        <f aca="false">U255-#REF!</f>
        <v>#REF!</v>
      </c>
      <c r="AC255" s="14" t="n">
        <f aca="false">(V255+W255)-(B255+C255)</f>
        <v>32.9256944444444</v>
      </c>
      <c r="AD255" s="4" t="str">
        <f aca="false">INT((V255+W255)-(B255+C255)) &amp; ":" &amp;
TEXT(HOUR((V255+W255)-(B255+C255)), "00") &amp; ":" &amp;
TEXT(MINUTE((V255+W255)-(B255+C255)), "00")</f>
        <v>32:22:13</v>
      </c>
      <c r="AE255" s="1" t="n">
        <f aca="false">IFERROR(
LEFT(AD255,FIND(":",AD255)-1)
+ MID(AD255,FIND(":",AD255)+1,2)/24
+ RIGHT(AD255,2)/1440,
"")</f>
        <v>32.9256944444444</v>
      </c>
      <c r="AF255" s="4" t="str">
        <f aca="false">INT((X255+Y255)-(B255+C255)) &amp; ":" &amp;
TEXT(HOUR((X255+Y255)-(B255+C255)), "00") &amp; ":" &amp;
TEXT(MINUTE((X255+Y255)-(B255+C255)), "00")</f>
        <v>33:20:24</v>
      </c>
      <c r="AG255" s="4" t="str">
        <f aca="false" t="array" ref="AG255:AG255">INT(_xlfn.XLOOKUP(J255,{"Low","Medium","High","Urgent"},{48,24,12,8})/24) &amp; ":" &amp;
TEXT(MOD(_xlfn.XLOOKUP(J255,{"Low","Medium","High","Urgent"},{48,24,12,8}),24)/24,"hh:mm")</f>
        <v>2:00:00</v>
      </c>
      <c r="AH255" s="4" t="str">
        <f aca="false">IF(AD255&gt;AG255,"Not Met","Met")</f>
        <v>Not Met</v>
      </c>
      <c r="AI255" s="4" t="e">
        <f aca="false">IF(AB255&lt;TIME(0,30,0),"Met","Not Met")</f>
        <v>#REF!</v>
      </c>
      <c r="AN255" s="1" t="str">
        <f aca="false">TEXT(B255,"dd")</f>
        <v>25</v>
      </c>
      <c r="AO255" s="1" t="str">
        <f aca="false">TEXT(X255,"dd")</f>
        <v>28</v>
      </c>
      <c r="AP255" s="16" t="str">
        <f aca="false">INT(
  NETWORKDAYS(B255,V255)-1
  + IF(WEEKDAY(V255,2)&lt;6,MOD(V255+W255,1),0)
  - IF(WEEKDAY(B255,2)&lt;6,MOD(B255+C255,1),0)
)
&amp; ":" &amp;
TEXT(HOUR(
  NETWORKDAYS(B255,V255)-1
  + IF(WEEKDAY(V255,2)&lt;6,MOD(V255+W255,1),0)
  - IF(WEEKDAY(B255,2)&lt;6,MOD(B255+C255,1),0)
),"00")
&amp; ":" &amp;
TEXT(MINUTE(
  NETWORKDAYS(B255,V255)-1
  + IF(WEEKDAY(V255,2)&lt;6,MOD(V255+W255,1),0)
  - IF(WEEKDAY(B255,2)&lt;6,MOD(B255+C255,1),0)
),"00")</f>
        <v>22:22:13</v>
      </c>
      <c r="AQ255" s="0" t="n">
        <f aca="false">IFERROR(
LEFT(AP255,FIND(":",AP255)-1)
+ MID(AP255,FIND(":",AP255)+1,2)/24
+ RIGHT(AP255,2)/1440,
"")</f>
        <v>22.9256944444444</v>
      </c>
      <c r="AR255" s="0" t="n">
        <f aca="false">WEEKNUM(B255,1)</f>
        <v>13</v>
      </c>
      <c r="AS255" s="17" t="n">
        <f aca="false">IF(B255&gt;0, (B255+C255)-TIME(13,30,0), "")</f>
        <v>46106.4055555556</v>
      </c>
      <c r="AT255" s="18" t="n">
        <f aca="false">IF(B255&gt;0, (B255+C255)-TIME(13,30,0), "")</f>
        <v>46106.4055555556</v>
      </c>
      <c r="AU255" s="17" t="n">
        <f aca="false">IF(V255&gt;0, (V255+W255)-TIME(13,30,0), "")</f>
        <v>46139.33125</v>
      </c>
      <c r="AV255" s="18" t="n">
        <f aca="false">IF(V255&gt;0, (V255+W255)-TIME(13,30,0), "")</f>
        <v>46139.33125</v>
      </c>
      <c r="AW255" s="19" t="n">
        <f aca="false">24*(
MAX(0,
IF(NETWORKDAYS(AS255,AU255)=1,
MIN(MOD(AV255,1),TIME(17,30,0)) - MAX(MOD(AT255,1),TIME(8,30,0)),
(TIME(17,30,0)-MAX(MOD(AT255,1),TIME(8,30,0)))
+ (MIN(MOD(AV255,1),TIME(17,30,0))-TIME(8,30,0))
+ (NETWORKDAYS(AS255,AU255)-2)*9/24
)
)
)</f>
        <v>205.216666666667</v>
      </c>
      <c r="AX255" s="19" t="n">
        <f aca="false">24*(
MAX(0,
IF(NETWORKDAYS(AS255,AU255)=1,
MIN(MOD(AV255,1),TIME(17,30,0)) - MAX(MOD(AT255,1),TIME(8,30,0)),
(TIME(17,30,0)-MAX(MOD(AT255,1),TIME(8,30,0)))
+ (MIN(MOD(AV255,1),TIME(17,30,0))-TIME(8,30,0))
+ (NETWORKDAYS(AS255,AU255)-2)* (TIME(17,30,0)-TIME(8,30,0))
)
)
)</f>
        <v>205.216666666667</v>
      </c>
      <c r="AY255" s="20" t="n">
        <f aca="false">ROUND(
IF(AS255=AU255,
MAX(0,
(MIN(MOD(AV255,1),TIME(17,30,0))-
MAX(MOD(AT255,1),TIME(8,30,0)))*24
),
(
(MAX(0,TIME(17,30,0)-MAX(MOD(AT255,1),TIME(8,30,0)))*24)
+
(MAX(0,MIN(MOD(AV255,1),TIME(17,30,0))-TIME(8,30,0))*24)
+
(MAX(0,NETWORKDAYS(AS255+1,AU255-1))*9)
)
),
2)</f>
        <v>205.77</v>
      </c>
      <c r="AZ255" s="0" t="n">
        <f aca="false" t="array" ref="AZ255:AZ255">_xlfn.XLOOKUP(J255,{"Low","Medium","High"},{270,72,24})</f>
        <v>270</v>
      </c>
      <c r="BA255" s="0" t="str">
        <f aca="false">IF(AW255&gt;AZ255,"Not Met","Met")</f>
        <v>Met</v>
      </c>
      <c r="BB255" s="21" t="str">
        <f aca="false">IF(AS255="","",TEXT(AS255,"MMM")&amp;"'"&amp;TEXT(AS255,"yy"))</f>
        <v>Mar'26</v>
      </c>
      <c r="BC255" s="0" t="str">
        <f aca="false">IF(AU255="","",TEXT(AU255,"MMM")&amp;"'"&amp;TEXT(AU255,"yy"))</f>
        <v>Apr'26</v>
      </c>
    </row>
    <row r="256" customFormat="false" ht="15" hidden="false" customHeight="false" outlineLevel="0" collapsed="false">
      <c r="A256" s="1" t="s">
        <v>909</v>
      </c>
      <c r="B256" s="11" t="n">
        <v>46107</v>
      </c>
      <c r="C256" s="12" t="n">
        <v>0.947916666666667</v>
      </c>
      <c r="D256" s="13" t="str">
        <f aca="false">IF(B256="","",TEXT(B256,"MMM")&amp;"'"&amp;TEXT(B256,"yy"))</f>
        <v>Mar'26</v>
      </c>
      <c r="E256" s="27" t="s">
        <v>55</v>
      </c>
      <c r="F256" s="34" t="s">
        <v>910</v>
      </c>
      <c r="G256" s="1" t="str">
        <f aca="false">IF(F256="Closed","Closed","Pending")</f>
        <v>Pending</v>
      </c>
      <c r="H256" s="1" t="s">
        <v>81</v>
      </c>
      <c r="I256" s="1" t="s">
        <v>82</v>
      </c>
      <c r="J256" s="1" t="s">
        <v>74</v>
      </c>
      <c r="K256" s="1" t="s">
        <v>59</v>
      </c>
      <c r="L256" s="1" t="s">
        <v>911</v>
      </c>
      <c r="M256" s="35" t="s">
        <v>912</v>
      </c>
      <c r="N256" s="1" t="s">
        <v>143</v>
      </c>
      <c r="O256" s="1" t="s">
        <v>143</v>
      </c>
      <c r="Q256" s="1" t="s">
        <v>143</v>
      </c>
      <c r="R256" s="1" t="s">
        <v>66</v>
      </c>
      <c r="U256" s="12" t="n">
        <v>0.972916666666667</v>
      </c>
      <c r="Z256" s="1" t="s">
        <v>913</v>
      </c>
      <c r="AB256" s="2" t="e">
        <f aca="false">U256-#REF!</f>
        <v>#REF!</v>
      </c>
      <c r="AC256" s="14" t="n">
        <f aca="false">(V256+W256)-(B256+C256)</f>
        <v>-46107.9479166667</v>
      </c>
      <c r="AD256" s="4" t="str">
        <f aca="false">INT((V256+W256)-(B256+C256)) &amp; ":" &amp;
TEXT(HOUR((V256+W256)-(B256+C256)), "00") &amp; ":" &amp;
TEXT(MINUTE((V256+W256)-(B256+C256)), "00")</f>
        <v>-46108:01:15</v>
      </c>
      <c r="AE256" s="1" t="n">
        <f aca="false">IFERROR(
LEFT(AD256,FIND(":",AD256)-1)
+ MID(AD256,FIND(":",AD256)+1,2)/24
+ RIGHT(AD256,2)/1440,
"")</f>
        <v>-46107.9479166667</v>
      </c>
      <c r="AF256" s="4" t="str">
        <f aca="false">INT((X256+Y256)-(B256+C256)) &amp; ":" &amp;
TEXT(HOUR((X256+Y256)-(B256+C256)), "00") &amp; ":" &amp;
TEXT(MINUTE((X256+Y256)-(B256+C256)), "00")</f>
        <v>-46108:01:15</v>
      </c>
      <c r="AG256" s="4" t="str">
        <f aca="false" t="array" ref="AG256:AG256">INT(_xlfn.XLOOKUP(J256,{"Low","Medium","High","Urgent"},{48,24,12,8})/24) &amp; ":" &amp;
TEXT(MOD(_xlfn.XLOOKUP(J256,{"Low","Medium","High","Urgent"},{48,24,12,8}),24)/24,"hh:mm")</f>
        <v>2:00:00</v>
      </c>
      <c r="AH256" s="4" t="str">
        <f aca="false">IF(AD256&gt;AG256,"Not Met","Met")</f>
        <v>Met</v>
      </c>
      <c r="AI256" s="4" t="e">
        <f aca="false">IF(AB256&lt;TIME(0,30,0),"Met","Not Met")</f>
        <v>#REF!</v>
      </c>
      <c r="AN256" s="1" t="str">
        <f aca="false">TEXT(B256,"dd")</f>
        <v>26</v>
      </c>
      <c r="AO256" s="1" t="str">
        <f aca="false">TEXT(X256,"dd")</f>
        <v>30</v>
      </c>
      <c r="AP256" s="16" t="str">
        <f aca="false">INT(
  NETWORKDAYS(B256,V256)-1
  + IF(WEEKDAY(V256,2)&lt;6,MOD(V256+W256,1),0)
  - IF(WEEKDAY(B256,2)&lt;6,MOD(B256+C256,1),0)
)
&amp; ":" &amp;
TEXT(HOUR(
  NETWORKDAYS(B256,V256)-1
  + IF(WEEKDAY(V256,2)&lt;6,MOD(V256+W256,1),0)
  - IF(WEEKDAY(B256,2)&lt;6,MOD(B256+C256,1),0)
),"00")
&amp; ":" &amp;
TEXT(MINUTE(
  NETWORKDAYS(B256,V256)-1
  + IF(WEEKDAY(V256,2)&lt;6,MOD(V256+W256,1),0)
  - IF(WEEKDAY(B256,2)&lt;6,MOD(B256+C256,1),0)
),"00")</f>
        <v>-32936:01:15</v>
      </c>
      <c r="AQ256" s="0" t="n">
        <f aca="false">IFERROR(
LEFT(AP256,FIND(":",AP256)-1)
+ MID(AP256,FIND(":",AP256)+1,2)/24
+ RIGHT(AP256,2)/1440,
"")</f>
        <v>-32935.9479166667</v>
      </c>
      <c r="AR256" s="0" t="n">
        <f aca="false">WEEKNUM(B256,1)</f>
        <v>13</v>
      </c>
      <c r="AS256" s="17" t="n">
        <f aca="false">IF(B256&gt;0, (B256+C256)-TIME(13,30,0), "")</f>
        <v>46107.3854166667</v>
      </c>
      <c r="AT256" s="18" t="n">
        <f aca="false">IF(B256&gt;0, (B256+C256)-TIME(13,30,0), "")</f>
        <v>46107.3854166667</v>
      </c>
      <c r="AU256" s="17" t="str">
        <f aca="false">IF(V256&gt;0, (V256+W256)-TIME(13,30,0), "")</f>
        <v/>
      </c>
      <c r="AV256" s="18" t="str">
        <f aca="false">IF(V256&gt;0, (V256+W256)-TIME(13,30,0), "")</f>
        <v/>
      </c>
      <c r="AW256" s="19" t="e">
        <f aca="false">24*(
MAX(0,
IF(NETWORKDAYS(AS256,AU256)=1,
MIN(MOD(AV256,1),TIME(17,30,0)) - MAX(MOD(AT256,1),TIME(8,30,0)),
(TIME(17,30,0)-MAX(MOD(AT256,1),TIME(8,30,0)))
+ (MIN(MOD(AV256,1),TIME(17,30,0))-TIME(8,30,0))
+ (NETWORKDAYS(AS256,AU256)-2)*9/24
)
)
)</f>
        <v>#VALUE!</v>
      </c>
      <c r="AX256" s="19" t="e">
        <f aca="false">24*(
MAX(0,
IF(NETWORKDAYS(AS256,AU256)=1,
MIN(MOD(AV256,1),TIME(17,30,0)) - MAX(MOD(AT256,1),TIME(8,30,0)),
(TIME(17,30,0)-MAX(MOD(AT256,1),TIME(8,30,0)))
+ (MIN(MOD(AV256,1),TIME(17,30,0))-TIME(8,30,0))
+ (NETWORKDAYS(AS256,AU256)-2)* (TIME(17,30,0)-TIME(8,30,0))
)
)
)</f>
        <v>#VALUE!</v>
      </c>
      <c r="AY256" s="20" t="e">
        <f aca="false">ROUND(
IF(AS256=AU256,
MAX(0,
(MIN(MOD(AV256,1),TIME(17,30,0))-
MAX(MOD(AT256,1),TIME(8,30,0)))*24
),
(
(MAX(0,TIME(17,30,0)-MAX(MOD(AT256,1),TIME(8,30,0)))*24)
+
(MAX(0,MIN(MOD(AV256,1),TIME(17,30,0))-TIME(8,30,0))*24)
+
(MAX(0,NETWORKDAYS(AS256+1,AU256-1))*9)
)
),
2)</f>
        <v>#VALUE!</v>
      </c>
      <c r="AZ256" s="0" t="n">
        <f aca="false" t="array" ref="AZ256:AZ256">_xlfn.XLOOKUP(J256,{"Low","Medium","High"},{270,72,24})</f>
        <v>270</v>
      </c>
      <c r="BA256" s="0" t="e">
        <f aca="false">IF(AW256&gt;AZ256,"Not Met","Met")</f>
        <v>#VALUE!</v>
      </c>
      <c r="BB256" s="21" t="str">
        <f aca="false">IF(AS256="","",TEXT(AS256,"MMM")&amp;"'"&amp;TEXT(AS256,"yy"))</f>
        <v>Mar'26</v>
      </c>
      <c r="BC256" s="0" t="str">
        <f aca="false">IF(AU256="","",TEXT(AU256,"MMM")&amp;"'"&amp;TEXT(AU256,"yy"))</f>
        <v/>
      </c>
      <c r="BE256" s="0" t="s">
        <v>144</v>
      </c>
    </row>
    <row r="257" customFormat="false" ht="15" hidden="false" customHeight="false" outlineLevel="0" collapsed="false">
      <c r="A257" s="1" t="s">
        <v>914</v>
      </c>
      <c r="B257" s="11" t="n">
        <v>46107</v>
      </c>
      <c r="C257" s="12" t="n">
        <v>0.954861111111111</v>
      </c>
      <c r="D257" s="13" t="str">
        <f aca="false">IF(B257="","",TEXT(B257,"MMM")&amp;"'"&amp;TEXT(B257,"yy"))</f>
        <v>Mar'26</v>
      </c>
      <c r="E257" s="27" t="s">
        <v>55</v>
      </c>
      <c r="F257" s="1" t="s">
        <v>39</v>
      </c>
      <c r="G257" s="1" t="str">
        <f aca="false">IF(F257="Closed","Closed","Pending")</f>
        <v>Closed</v>
      </c>
      <c r="H257" s="1" t="s">
        <v>72</v>
      </c>
      <c r="I257" s="1" t="s">
        <v>327</v>
      </c>
      <c r="J257" s="1" t="s">
        <v>74</v>
      </c>
      <c r="K257" s="1" t="s">
        <v>59</v>
      </c>
      <c r="L257" s="1" t="s">
        <v>915</v>
      </c>
      <c r="M257" s="35" t="s">
        <v>916</v>
      </c>
      <c r="N257" s="1" t="s">
        <v>62</v>
      </c>
      <c r="O257" s="1" t="s">
        <v>106</v>
      </c>
      <c r="R257" s="1" t="s">
        <v>87</v>
      </c>
      <c r="U257" s="12" t="n">
        <v>0.972916666666667</v>
      </c>
      <c r="V257" s="11" t="n">
        <v>46115</v>
      </c>
      <c r="W257" s="12" t="n">
        <v>0.963194444444445</v>
      </c>
      <c r="X257" s="11" t="n">
        <v>46116</v>
      </c>
      <c r="Y257" s="12" t="n">
        <v>0.0215277777777778</v>
      </c>
      <c r="Z257" s="1" t="s">
        <v>108</v>
      </c>
      <c r="AA257" s="1" t="s">
        <v>68</v>
      </c>
      <c r="AB257" s="2" t="e">
        <f aca="false">U257-#REF!</f>
        <v>#REF!</v>
      </c>
      <c r="AC257" s="14" t="n">
        <f aca="false">(V257+W257)-(B257+C257)</f>
        <v>8.00833333333333</v>
      </c>
      <c r="AD257" s="4" t="str">
        <f aca="false">INT((V257+W257)-(B257+C257)) &amp; ":" &amp;
TEXT(HOUR((V257+W257)-(B257+C257)), "00") &amp; ":" &amp;
TEXT(MINUTE((V257+W257)-(B257+C257)), "00")</f>
        <v>8:00:12</v>
      </c>
      <c r="AE257" s="1" t="n">
        <f aca="false">IFERROR(
LEFT(AD257,FIND(":",AD257)-1)
+ MID(AD257,FIND(":",AD257)+1,2)/24
+ RIGHT(AD257,2)/1440,
"")</f>
        <v>8.00833333333333</v>
      </c>
      <c r="AF257" s="4" t="str">
        <f aca="false">INT((X257+Y257)-(B257+C257)) &amp; ":" &amp;
TEXT(HOUR((X257+Y257)-(B257+C257)), "00") &amp; ":" &amp;
TEXT(MINUTE((X257+Y257)-(B257+C257)), "00")</f>
        <v>8:01:36</v>
      </c>
      <c r="AG257" s="4" t="str">
        <f aca="false" t="array" ref="AG257:AG257">INT(_xlfn.XLOOKUP(J257,{"Low","Medium","High","Urgent"},{48,24,12,8})/24) &amp; ":" &amp;
TEXT(MOD(_xlfn.XLOOKUP(J257,{"Low","Medium","High","Urgent"},{48,24,12,8}),24)/24,"hh:mm")</f>
        <v>2:00:00</v>
      </c>
      <c r="AH257" s="4" t="str">
        <f aca="false">IF(AD257&gt;AG257,"Not Met","Met")</f>
        <v>Not Met</v>
      </c>
      <c r="AI257" s="4" t="e">
        <f aca="false">IF(AB257&lt;TIME(0,30,0),"Met","Not Met")</f>
        <v>#REF!</v>
      </c>
      <c r="AN257" s="1" t="str">
        <f aca="false">TEXT(B257,"dd")</f>
        <v>26</v>
      </c>
      <c r="AO257" s="1" t="str">
        <f aca="false">TEXT(X257,"dd")</f>
        <v>04</v>
      </c>
      <c r="AP257" s="16" t="str">
        <f aca="false">INT(
  NETWORKDAYS(B257,V257)-1
  + IF(WEEKDAY(V257,2)&lt;6,MOD(V257+W257,1),0)
  - IF(WEEKDAY(B257,2)&lt;6,MOD(B257+C257,1),0)
)
&amp; ":" &amp;
TEXT(HOUR(
  NETWORKDAYS(B257,V257)-1
  + IF(WEEKDAY(V257,2)&lt;6,MOD(V257+W257,1),0)
  - IF(WEEKDAY(B257,2)&lt;6,MOD(B257+C257,1),0)
),"00")
&amp; ":" &amp;
TEXT(MINUTE(
  NETWORKDAYS(B257,V257)-1
  + IF(WEEKDAY(V257,2)&lt;6,MOD(V257+W257,1),0)
  - IF(WEEKDAY(B257,2)&lt;6,MOD(B257+C257,1),0)
),"00")</f>
        <v>6:00:11</v>
      </c>
      <c r="AQ257" s="0" t="n">
        <f aca="false">IFERROR(
LEFT(AP257,FIND(":",AP257)-1)
+ MID(AP257,FIND(":",AP257)+1,2)/24
+ RIGHT(AP257,2)/1440,
"")</f>
        <v>6.00763888888889</v>
      </c>
      <c r="AR257" s="0" t="n">
        <f aca="false">WEEKNUM(B257,1)</f>
        <v>13</v>
      </c>
      <c r="AS257" s="17" t="n">
        <f aca="false">IF(B257&gt;0, (B257+C257)-TIME(13,30,0), "")</f>
        <v>46107.3923611111</v>
      </c>
      <c r="AT257" s="18" t="n">
        <f aca="false">IF(B257&gt;0, (B257+C257)-TIME(13,30,0), "")</f>
        <v>46107.3923611111</v>
      </c>
      <c r="AU257" s="17" t="n">
        <f aca="false">IF(V257&gt;0, (V257+W257)-TIME(13,30,0), "")</f>
        <v>46115.4006944444</v>
      </c>
      <c r="AV257" s="18" t="n">
        <f aca="false">IF(V257&gt;0, (V257+W257)-TIME(13,30,0), "")</f>
        <v>46115.4006944444</v>
      </c>
      <c r="AW257" s="19" t="n">
        <f aca="false">24*(
MAX(0,
IF(NETWORKDAYS(AS257,AU257)=1,
MIN(MOD(AV257,1),TIME(17,30,0)) - MAX(MOD(AT257,1),TIME(8,30,0)),
(TIME(17,30,0)-MAX(MOD(AT257,1),TIME(8,30,0)))
+ (MIN(MOD(AV257,1),TIME(17,30,0))-TIME(8,30,0))
+ (NETWORKDAYS(AS257,AU257)-2)*9/24
)
)
)</f>
        <v>54.2</v>
      </c>
      <c r="AX257" s="19" t="n">
        <f aca="false">24*(
MAX(0,
IF(NETWORKDAYS(AS257,AU257)=1,
MIN(MOD(AV257,1),TIME(17,30,0)) - MAX(MOD(AT257,1),TIME(8,30,0)),
(TIME(17,30,0)-MAX(MOD(AT257,1),TIME(8,30,0)))
+ (MIN(MOD(AV257,1),TIME(17,30,0))-TIME(8,30,0))
+ (NETWORKDAYS(AS257,AU257)-2)* (TIME(17,30,0)-TIME(8,30,0))
)
)
)</f>
        <v>54.2</v>
      </c>
      <c r="AY257" s="20" t="n">
        <f aca="false">ROUND(
IF(AS257=AU257,
MAX(0,
(MIN(MOD(AV257,1),TIME(17,30,0))-
MAX(MOD(AT257,1),TIME(8,30,0)))*24
),
(
(MAX(0,TIME(17,30,0)-MAX(MOD(AT257,1),TIME(8,30,0)))*24)
+
(MAX(0,MIN(MOD(AV257,1),TIME(17,30,0))-TIME(8,30,0))*24)
+
(MAX(0,NETWORKDAYS(AS257+1,AU257-1))*9)
)
),
2)</f>
        <v>54.2</v>
      </c>
      <c r="AZ257" s="0" t="n">
        <f aca="false" t="array" ref="AZ257:AZ257">_xlfn.XLOOKUP(J257,{"Low","Medium","High"},{270,72,24})</f>
        <v>270</v>
      </c>
      <c r="BA257" s="0" t="str">
        <f aca="false">IF(AW257&gt;AZ257,"Not Met","Met")</f>
        <v>Met</v>
      </c>
      <c r="BB257" s="21" t="str">
        <f aca="false">IF(AS257="","",TEXT(AS257,"MMM")&amp;"'"&amp;TEXT(AS257,"yy"))</f>
        <v>Mar'26</v>
      </c>
      <c r="BC257" s="0" t="str">
        <f aca="false">IF(AU257="","",TEXT(AU257,"MMM")&amp;"'"&amp;TEXT(AU257,"yy"))</f>
        <v>Apr'26</v>
      </c>
    </row>
    <row r="258" customFormat="false" ht="15" hidden="false" customHeight="false" outlineLevel="0" collapsed="false">
      <c r="A258" s="1" t="s">
        <v>917</v>
      </c>
      <c r="B258" s="11" t="n">
        <v>46108</v>
      </c>
      <c r="C258" s="12" t="n">
        <v>0.0208333333333333</v>
      </c>
      <c r="D258" s="13" t="str">
        <f aca="false">IF(B258="","",TEXT(B258,"MMM")&amp;"'"&amp;TEXT(B258,"yy"))</f>
        <v>Mar'26</v>
      </c>
      <c r="E258" s="27" t="s">
        <v>55</v>
      </c>
      <c r="F258" s="1" t="s">
        <v>39</v>
      </c>
      <c r="G258" s="1" t="str">
        <f aca="false">IF(F258="Closed","Closed","Pending")</f>
        <v>Closed</v>
      </c>
      <c r="H258" s="1" t="s">
        <v>120</v>
      </c>
      <c r="I258" s="26" t="s">
        <v>918</v>
      </c>
      <c r="J258" s="1" t="s">
        <v>58</v>
      </c>
      <c r="K258" s="1" t="s">
        <v>59</v>
      </c>
      <c r="L258" s="1" t="s">
        <v>919</v>
      </c>
      <c r="M258" s="35" t="s">
        <v>920</v>
      </c>
      <c r="N258" s="1" t="s">
        <v>65</v>
      </c>
      <c r="O258" s="1" t="s">
        <v>106</v>
      </c>
      <c r="Q258" s="1" t="s">
        <v>65</v>
      </c>
      <c r="R258" s="1" t="s">
        <v>87</v>
      </c>
      <c r="U258" s="12" t="n">
        <v>0.0479166666666667</v>
      </c>
      <c r="V258" s="11" t="n">
        <v>46108</v>
      </c>
      <c r="W258" s="12" t="n">
        <v>0.882638888888889</v>
      </c>
      <c r="X258" s="11" t="n">
        <v>46108</v>
      </c>
      <c r="Y258" s="12" t="n">
        <v>0.908333333333333</v>
      </c>
      <c r="Z258" s="1" t="s">
        <v>67</v>
      </c>
      <c r="AA258" s="1" t="s">
        <v>68</v>
      </c>
      <c r="AB258" s="2" t="e">
        <f aca="false">U258-#REF!</f>
        <v>#REF!</v>
      </c>
      <c r="AC258" s="14" t="n">
        <f aca="false">(V258+W258)-(B258+C258)</f>
        <v>0.861805555555556</v>
      </c>
      <c r="AD258" s="4" t="str">
        <f aca="false">INT((V258+W258)-(B258+C258)) &amp; ":" &amp;
TEXT(HOUR((V258+W258)-(B258+C258)), "00") &amp; ":" &amp;
TEXT(MINUTE((V258+W258)-(B258+C258)), "00")</f>
        <v>0:20:41</v>
      </c>
      <c r="AE258" s="1" t="n">
        <f aca="false">IFERROR(
LEFT(AD258,FIND(":",AD258)-1)
+ MID(AD258,FIND(":",AD258)+1,2)/24
+ RIGHT(AD258,2)/1440,
"")</f>
        <v>0.861805555555556</v>
      </c>
      <c r="AF258" s="4" t="str">
        <f aca="false">INT((X258+Y258)-(B258+C258)) &amp; ":" &amp;
TEXT(HOUR((X258+Y258)-(B258+C258)), "00") &amp; ":" &amp;
TEXT(MINUTE((X258+Y258)-(B258+C258)), "00")</f>
        <v>0:21:18</v>
      </c>
      <c r="AG258" s="4" t="str">
        <f aca="false" t="array" ref="AG258:AG258">INT(_xlfn.XLOOKUP(J258,{"Low","Medium","High","Urgent"},{48,24,12,8})/24) &amp; ":" &amp;
TEXT(MOD(_xlfn.XLOOKUP(J258,{"Low","Medium","High","Urgent"},{48,24,12,8}),24)/24,"hh:mm")</f>
        <v>1:00:00</v>
      </c>
      <c r="AH258" s="4" t="str">
        <f aca="false">IF(AD258&gt;AG258,"Not Met","Met")</f>
        <v>Met</v>
      </c>
      <c r="AI258" s="4" t="e">
        <f aca="false">IF(AB258&lt;TIME(0,30,0),"Met","Not Met")</f>
        <v>#REF!</v>
      </c>
      <c r="AN258" s="1" t="str">
        <f aca="false">TEXT(B258,"dd")</f>
        <v>27</v>
      </c>
      <c r="AO258" s="1" t="str">
        <f aca="false">TEXT(X258,"dd")</f>
        <v>27</v>
      </c>
      <c r="AP258" s="16" t="str">
        <f aca="false">INT(
  NETWORKDAYS(B258,V258)-1
  + IF(WEEKDAY(V258,2)&lt;6,MOD(V258+W258,1),0)
  - IF(WEEKDAY(B258,2)&lt;6,MOD(B258+C258,1),0)
)
&amp; ":" &amp;
TEXT(HOUR(
  NETWORKDAYS(B258,V258)-1
  + IF(WEEKDAY(V258,2)&lt;6,MOD(V258+W258,1),0)
  - IF(WEEKDAY(B258,2)&lt;6,MOD(B258+C258,1),0)
),"00")
&amp; ":" &amp;
TEXT(MINUTE(
  NETWORKDAYS(B258,V258)-1
  + IF(WEEKDAY(V258,2)&lt;6,MOD(V258+W258,1),0)
  - IF(WEEKDAY(B258,2)&lt;6,MOD(B258+C258,1),0)
),"00")</f>
        <v>0:20:41</v>
      </c>
      <c r="AQ258" s="0" t="n">
        <f aca="false">IFERROR(
LEFT(AP258,FIND(":",AP258)-1)
+ MID(AP258,FIND(":",AP258)+1,2)/24
+ RIGHT(AP258,2)/1440,
"")</f>
        <v>0.861805555555556</v>
      </c>
      <c r="AR258" s="0" t="n">
        <f aca="false">WEEKNUM(B258,1)</f>
        <v>13</v>
      </c>
      <c r="AS258" s="17" t="n">
        <f aca="false">IF(B258&gt;0, (B258+C258)-TIME(13,30,0), "")</f>
        <v>46107.4583333333</v>
      </c>
      <c r="AT258" s="18" t="n">
        <f aca="false">IF(B258&gt;0, (B258+C258)-TIME(13,30,0), "")</f>
        <v>46107.4583333333</v>
      </c>
      <c r="AU258" s="17" t="n">
        <f aca="false">IF(V258&gt;0, (V258+W258)-TIME(13,30,0), "")</f>
        <v>46108.3201388889</v>
      </c>
      <c r="AV258" s="18" t="n">
        <f aca="false">IF(V258&gt;0, (V258+W258)-TIME(13,30,0), "")</f>
        <v>46108.3201388889</v>
      </c>
      <c r="AW258" s="19" t="n">
        <f aca="false">24*(
MAX(0,
IF(NETWORKDAYS(AS258,AU258)=1,
MIN(MOD(AV258,1),TIME(17,30,0)) - MAX(MOD(AT258,1),TIME(8,30,0)),
(TIME(17,30,0)-MAX(MOD(AT258,1),TIME(8,30,0)))
+ (MIN(MOD(AV258,1),TIME(17,30,0))-TIME(8,30,0))
+ (NETWORKDAYS(AS258,AU258)-2)*9/24
)
)
)</f>
        <v>5.68333333333333</v>
      </c>
      <c r="AX258" s="19" t="n">
        <f aca="false">24*(
MAX(0,
IF(NETWORKDAYS(AS258,AU258)=1,
MIN(MOD(AV258,1),TIME(17,30,0)) - MAX(MOD(AT258,1),TIME(8,30,0)),
(TIME(17,30,0)-MAX(MOD(AT258,1),TIME(8,30,0)))
+ (MIN(MOD(AV258,1),TIME(17,30,0))-TIME(8,30,0))
+ (NETWORKDAYS(AS258,AU258)-2)* (TIME(17,30,0)-TIME(8,30,0))
)
)
)</f>
        <v>5.68333333333333</v>
      </c>
      <c r="AY258" s="20" t="n">
        <f aca="false">ROUND(
IF(AS258=AU258,
MAX(0,
(MIN(MOD(AV258,1),TIME(17,30,0))-
MAX(MOD(AT258,1),TIME(8,30,0)))*24
),
(
(MAX(0,TIME(17,30,0)-MAX(MOD(AT258,1),TIME(8,30,0)))*24)
+
(MAX(0,MIN(MOD(AV258,1),TIME(17,30,0))-TIME(8,30,0))*24)
+
(MAX(0,NETWORKDAYS(AS258+1,AU258-1))*9)
)
),
2)</f>
        <v>6.5</v>
      </c>
      <c r="AZ258" s="0" t="n">
        <f aca="false" t="array" ref="AZ258:AZ258">_xlfn.XLOOKUP(J258,{"Low","Medium","High"},{270,72,24})</f>
        <v>72</v>
      </c>
      <c r="BA258" s="0" t="str">
        <f aca="false">IF(AW258&gt;AZ258,"Not Met","Met")</f>
        <v>Met</v>
      </c>
      <c r="BB258" s="21" t="str">
        <f aca="false">IF(AS258="","",TEXT(AS258,"MMM")&amp;"'"&amp;TEXT(AS258,"yy"))</f>
        <v>Mar'26</v>
      </c>
      <c r="BC258" s="0" t="str">
        <f aca="false">IF(AU258="","",TEXT(AU258,"MMM")&amp;"'"&amp;TEXT(AU258,"yy"))</f>
        <v>Mar'26</v>
      </c>
    </row>
    <row r="259" customFormat="false" ht="15" hidden="false" customHeight="false" outlineLevel="0" collapsed="false">
      <c r="A259" s="1" t="s">
        <v>921</v>
      </c>
      <c r="B259" s="11" t="n">
        <v>46108</v>
      </c>
      <c r="C259" s="12" t="n">
        <v>0.0958333333333333</v>
      </c>
      <c r="D259" s="13" t="str">
        <f aca="false">IF(B259="","",TEXT(B259,"MMM")&amp;"'"&amp;TEXT(B259,"yy"))</f>
        <v>Mar'26</v>
      </c>
      <c r="E259" s="27" t="s">
        <v>55</v>
      </c>
      <c r="F259" s="34" t="s">
        <v>910</v>
      </c>
      <c r="G259" s="1" t="str">
        <f aca="false">IF(F259="Closed","Closed","Pending")</f>
        <v>Pending</v>
      </c>
      <c r="H259" s="1" t="s">
        <v>81</v>
      </c>
      <c r="I259" s="1" t="s">
        <v>82</v>
      </c>
      <c r="J259" s="35" t="s">
        <v>74</v>
      </c>
      <c r="K259" s="1" t="s">
        <v>59</v>
      </c>
      <c r="L259" s="1" t="s">
        <v>922</v>
      </c>
      <c r="M259" s="35" t="s">
        <v>923</v>
      </c>
      <c r="N259" s="1" t="s">
        <v>143</v>
      </c>
      <c r="O259" s="1" t="s">
        <v>143</v>
      </c>
      <c r="Q259" s="1" t="s">
        <v>143</v>
      </c>
      <c r="R259" s="1" t="s">
        <v>66</v>
      </c>
      <c r="U259" s="12" t="n">
        <v>0.122222222222222</v>
      </c>
      <c r="Z259" s="1" t="s">
        <v>913</v>
      </c>
      <c r="AB259" s="2" t="e">
        <f aca="false">U259-#REF!</f>
        <v>#REF!</v>
      </c>
      <c r="AC259" s="14" t="n">
        <f aca="false">(V259+W259)-(B259+C259)</f>
        <v>-46108.0958333333</v>
      </c>
      <c r="AD259" s="4" t="str">
        <f aca="false">INT((V259+W259)-(B259+C259)) &amp; ":" &amp;
TEXT(HOUR((V259+W259)-(B259+C259)), "00") &amp; ":" &amp;
TEXT(MINUTE((V259+W259)-(B259+C259)), "00")</f>
        <v>-46109:21:42</v>
      </c>
      <c r="AE259" s="1" t="n">
        <f aca="false">IFERROR(
LEFT(AD259,FIND(":",AD259)-1)
+ MID(AD259,FIND(":",AD259)+1,2)/24
+ RIGHT(AD259,2)/1440,
"")</f>
        <v>-46108.0958333333</v>
      </c>
      <c r="AF259" s="4" t="str">
        <f aca="false">INT((X259+Y259)-(B259+C259)) &amp; ":" &amp;
TEXT(HOUR((X259+Y259)-(B259+C259)), "00") &amp; ":" &amp;
TEXT(MINUTE((X259+Y259)-(B259+C259)), "00")</f>
        <v>-46109:21:42</v>
      </c>
      <c r="AG259" s="4" t="str">
        <f aca="false" t="array" ref="AG259:AG259">INT(_xlfn.XLOOKUP(J259,{"Low","Medium","High","Urgent"},{48,24,12,8})/24) &amp; ":" &amp;
TEXT(MOD(_xlfn.XLOOKUP(J259,{"Low","Medium","High","Urgent"},{48,24,12,8}),24)/24,"hh:mm")</f>
        <v>2:00:00</v>
      </c>
      <c r="AH259" s="4" t="str">
        <f aca="false">IF(AD259&gt;AG259,"Not Met","Met")</f>
        <v>Met</v>
      </c>
      <c r="AI259" s="4" t="e">
        <f aca="false">IF(AB259&lt;TIME(0,30,0),"Met","Not Met")</f>
        <v>#REF!</v>
      </c>
      <c r="AN259" s="1" t="str">
        <f aca="false">TEXT(B259,"dd")</f>
        <v>27</v>
      </c>
      <c r="AO259" s="1" t="str">
        <f aca="false">TEXT(X259,"dd")</f>
        <v>30</v>
      </c>
      <c r="AP259" s="16" t="str">
        <f aca="false">INT(
  NETWORKDAYS(B259,V259)-1
  + IF(WEEKDAY(V259,2)&lt;6,MOD(V259+W259,1),0)
  - IF(WEEKDAY(B259,2)&lt;6,MOD(B259+C259,1),0)
)
&amp; ":" &amp;
TEXT(HOUR(
  NETWORKDAYS(B259,V259)-1
  + IF(WEEKDAY(V259,2)&lt;6,MOD(V259+W259,1),0)
  - IF(WEEKDAY(B259,2)&lt;6,MOD(B259+C259,1),0)
),"00")
&amp; ":" &amp;
TEXT(MINUTE(
  NETWORKDAYS(B259,V259)-1
  + IF(WEEKDAY(V259,2)&lt;6,MOD(V259+W259,1),0)
  - IF(WEEKDAY(B259,2)&lt;6,MOD(B259+C259,1),0)
),"00")</f>
        <v>-32937:21:42</v>
      </c>
      <c r="AQ259" s="0" t="n">
        <f aca="false">IFERROR(
LEFT(AP259,FIND(":",AP259)-1)
+ MID(AP259,FIND(":",AP259)+1,2)/24
+ RIGHT(AP259,2)/1440,
"")</f>
        <v>-32936.0958333333</v>
      </c>
      <c r="AR259" s="0" t="n">
        <f aca="false">WEEKNUM(B259,1)</f>
        <v>13</v>
      </c>
      <c r="AS259" s="17" t="n">
        <f aca="false">IF(B259&gt;0, (B259+C259)-TIME(13,30,0), "")</f>
        <v>46107.5333333333</v>
      </c>
      <c r="AT259" s="18" t="n">
        <f aca="false">IF(B259&gt;0, (B259+C259)-TIME(13,30,0), "")</f>
        <v>46107.5333333333</v>
      </c>
      <c r="AU259" s="17" t="str">
        <f aca="false">IF(V259&gt;0, (V259+W259)-TIME(13,30,0), "")</f>
        <v/>
      </c>
      <c r="AV259" s="18" t="str">
        <f aca="false">IF(V259&gt;0, (V259+W259)-TIME(13,30,0), "")</f>
        <v/>
      </c>
      <c r="AW259" s="19" t="e">
        <f aca="false">24*(
MAX(0,
IF(NETWORKDAYS(AS259,AU259)=1,
MIN(MOD(AV259,1),TIME(17,30,0)) - MAX(MOD(AT259,1),TIME(8,30,0)),
(TIME(17,30,0)-MAX(MOD(AT259,1),TIME(8,30,0)))
+ (MIN(MOD(AV259,1),TIME(17,30,0))-TIME(8,30,0))
+ (NETWORKDAYS(AS259,AU259)-2)*9/24
)
)
)</f>
        <v>#VALUE!</v>
      </c>
      <c r="AX259" s="19" t="e">
        <f aca="false">24*(
MAX(0,
IF(NETWORKDAYS(AS259,AU259)=1,
MIN(MOD(AV259,1),TIME(17,30,0)) - MAX(MOD(AT259,1),TIME(8,30,0)),
(TIME(17,30,0)-MAX(MOD(AT259,1),TIME(8,30,0)))
+ (MIN(MOD(AV259,1),TIME(17,30,0))-TIME(8,30,0))
+ (NETWORKDAYS(AS259,AU259)-2)* (TIME(17,30,0)-TIME(8,30,0))
)
)
)</f>
        <v>#VALUE!</v>
      </c>
      <c r="AY259" s="20" t="e">
        <f aca="false">ROUND(
IF(AS259=AU259,
MAX(0,
(MIN(MOD(AV259,1),TIME(17,30,0))-
MAX(MOD(AT259,1),TIME(8,30,0)))*24
),
(
(MAX(0,TIME(17,30,0)-MAX(MOD(AT259,1),TIME(8,30,0)))*24)
+
(MAX(0,MIN(MOD(AV259,1),TIME(17,30,0))-TIME(8,30,0))*24)
+
(MAX(0,NETWORKDAYS(AS259+1,AU259-1))*9)
)
),
2)</f>
        <v>#VALUE!</v>
      </c>
      <c r="AZ259" s="0" t="n">
        <f aca="false" t="array" ref="AZ259:AZ259">_xlfn.XLOOKUP(J259,{"Low","Medium","High"},{270,72,24})</f>
        <v>270</v>
      </c>
      <c r="BA259" s="0" t="e">
        <f aca="false">IF(AW259&gt;AZ259,"Not Met","Met")</f>
        <v>#VALUE!</v>
      </c>
      <c r="BB259" s="21" t="str">
        <f aca="false">IF(AS259="","",TEXT(AS259,"MMM")&amp;"'"&amp;TEXT(AS259,"yy"))</f>
        <v>Mar'26</v>
      </c>
      <c r="BC259" s="0" t="str">
        <f aca="false">IF(AU259="","",TEXT(AU259,"MMM")&amp;"'"&amp;TEXT(AU259,"yy"))</f>
        <v/>
      </c>
      <c r="BE259" s="0" t="s">
        <v>144</v>
      </c>
    </row>
    <row r="260" customFormat="false" ht="15" hidden="false" customHeight="false" outlineLevel="0" collapsed="false">
      <c r="A260" s="1" t="s">
        <v>924</v>
      </c>
      <c r="B260" s="11" t="n">
        <v>46108</v>
      </c>
      <c r="C260" s="12" t="n">
        <v>0.993055555555556</v>
      </c>
      <c r="D260" s="13" t="str">
        <f aca="false">IF(B260="","",TEXT(B260,"MMM")&amp;"'"&amp;TEXT(B260,"yy"))</f>
        <v>Mar'26</v>
      </c>
      <c r="E260" s="27" t="s">
        <v>55</v>
      </c>
      <c r="F260" s="1" t="s">
        <v>39</v>
      </c>
      <c r="G260" s="1" t="str">
        <f aca="false">IF(F260="Closed","Closed","Pending")</f>
        <v>Closed</v>
      </c>
      <c r="H260" s="55" t="s">
        <v>157</v>
      </c>
      <c r="I260" s="26" t="s">
        <v>270</v>
      </c>
      <c r="J260" s="50" t="s">
        <v>74</v>
      </c>
      <c r="K260" s="29" t="s">
        <v>59</v>
      </c>
      <c r="L260" s="29" t="s">
        <v>925</v>
      </c>
      <c r="M260" s="1" t="s">
        <v>926</v>
      </c>
      <c r="N260" s="1" t="s">
        <v>143</v>
      </c>
      <c r="O260" s="1" t="s">
        <v>143</v>
      </c>
      <c r="Q260" s="1" t="s">
        <v>143</v>
      </c>
      <c r="R260" s="1" t="s">
        <v>230</v>
      </c>
      <c r="U260" s="25" t="n">
        <v>46109.0173611111</v>
      </c>
      <c r="V260" s="11" t="n">
        <v>46125</v>
      </c>
      <c r="W260" s="12" t="n">
        <v>0.880555555555556</v>
      </c>
      <c r="X260" s="11" t="n">
        <v>46128</v>
      </c>
      <c r="Y260" s="12" t="n">
        <v>0.943055555555556</v>
      </c>
      <c r="Z260" s="1" t="s">
        <v>67</v>
      </c>
      <c r="AA260" s="1" t="s">
        <v>68</v>
      </c>
      <c r="AB260" s="2" t="n">
        <v>0.0243055555555556</v>
      </c>
      <c r="AC260" s="14" t="n">
        <f aca="false">(V260+W260)-(B260+C260)</f>
        <v>16.8875</v>
      </c>
      <c r="AD260" s="4" t="str">
        <f aca="false">INT((V260+W260)-(B260+C260)) &amp; ":" &amp;
TEXT(HOUR((V260+W260)-(B260+C260)), "00") &amp; ":" &amp;
TEXT(MINUTE((V260+W260)-(B260+C260)), "00")</f>
        <v>16:21:18</v>
      </c>
      <c r="AE260" s="1" t="n">
        <f aca="false">IFERROR(
LEFT(AD260,FIND(":",AD260)-1)
+ MID(AD260,FIND(":",AD260)+1,2)/24
+ RIGHT(AD260,2)/1440,
"")</f>
        <v>16.8875</v>
      </c>
      <c r="AF260" s="4" t="str">
        <f aca="false">INT((X260+Y260)-(B260+C260)) &amp; ":" &amp;
TEXT(HOUR((X260+Y260)-(B260+C260)), "00") &amp; ":" &amp;
TEXT(MINUTE((X260+Y260)-(B260+C260)), "00")</f>
        <v>19:22:48</v>
      </c>
      <c r="AG260" s="4" t="str">
        <f aca="false" t="array" ref="AG260:AG260">INT(_xlfn.XLOOKUP(J260,{"Low","Medium","High","Urgent"},{48,24,12,8})/24) &amp; ":" &amp;
TEXT(MOD(_xlfn.XLOOKUP(J260,{"Low","Medium","High","Urgent"},{48,24,12,8}),24)/24,"hh:mm")</f>
        <v>2:00:00</v>
      </c>
      <c r="AH260" s="4" t="str">
        <f aca="false">IF(AD260&gt;AG260,"Not Met","Met")</f>
        <v>Met</v>
      </c>
      <c r="AI260" s="4" t="str">
        <f aca="false">IF(AB260&lt;TIME(0,30,0),"Met","Not Met")</f>
        <v>Not Met</v>
      </c>
      <c r="AN260" s="1" t="str">
        <f aca="false">TEXT(B260,"dd")</f>
        <v>27</v>
      </c>
      <c r="AO260" s="1" t="str">
        <f aca="false">TEXT(X260,"dd")</f>
        <v>16</v>
      </c>
      <c r="AP260" s="16" t="str">
        <f aca="false">INT(
  NETWORKDAYS(B260,V260)-1
  + IF(WEEKDAY(V260,2)&lt;6,MOD(V260+W260,1),0)
  - IF(WEEKDAY(B260,2)&lt;6,MOD(B260+C260,1),0)
)
&amp; ":" &amp;
TEXT(HOUR(
  NETWORKDAYS(B260,V260)-1
  + IF(WEEKDAY(V260,2)&lt;6,MOD(V260+W260,1),0)
  - IF(WEEKDAY(B260,2)&lt;6,MOD(B260+C260,1),0)
),"00")
&amp; ":" &amp;
TEXT(MINUTE(
  NETWORKDAYS(B260,V260)-1
  + IF(WEEKDAY(V260,2)&lt;6,MOD(V260+W260,1),0)
  - IF(WEEKDAY(B260,2)&lt;6,MOD(B260+C260,1),0)
),"00")</f>
        <v>10:21:18</v>
      </c>
      <c r="AQ260" s="0" t="n">
        <f aca="false">IFERROR(
LEFT(AP260,FIND(":",AP260)-1)
+ MID(AP260,FIND(":",AP260)+1,2)/24
+ RIGHT(AP260,2)/1440,
"")</f>
        <v>10.8875</v>
      </c>
      <c r="AR260" s="0" t="n">
        <f aca="false">WEEKNUM(B260,1)</f>
        <v>13</v>
      </c>
      <c r="AS260" s="17" t="n">
        <f aca="false">IF(B260&gt;0, (B260+C260)-TIME(13,30,0), "")</f>
        <v>46108.4305555556</v>
      </c>
      <c r="AT260" s="18" t="n">
        <f aca="false">IF(B260&gt;0, (B260+C260)-TIME(13,30,0), "")</f>
        <v>46108.4305555556</v>
      </c>
      <c r="AU260" s="17" t="n">
        <f aca="false">IF(V260&gt;0, (V260+W260)-TIME(13,30,0), "")</f>
        <v>46125.3180555556</v>
      </c>
      <c r="AV260" s="18" t="n">
        <f aca="false">IF(V260&gt;0, (V260+W260)-TIME(13,30,0), "")</f>
        <v>46125.3180555556</v>
      </c>
      <c r="AW260" s="19" t="n">
        <f aca="false">24*(
MAX(0,
IF(NETWORKDAYS(AS260,AU260)=1,
MIN(MOD(AV260,1),TIME(17,30,0)) - MAX(MOD(AT260,1),TIME(8,30,0)),
(TIME(17,30,0)-MAX(MOD(AT260,1),TIME(8,30,0)))
+ (MIN(MOD(AV260,1),TIME(17,30,0))-TIME(8,30,0))
+ (NETWORKDAYS(AS260,AU260)-2)*9/24
)
)
)</f>
        <v>96.3</v>
      </c>
      <c r="AX260" s="19" t="n">
        <f aca="false">24*(
MAX(0,
IF(NETWORKDAYS(AS260,AU260)=1,
MIN(MOD(AV260,1),TIME(17,30,0)) - MAX(MOD(AT260,1),TIME(8,30,0)),
(TIME(17,30,0)-MAX(MOD(AT260,1),TIME(8,30,0)))
+ (MIN(MOD(AV260,1),TIME(17,30,0))-TIME(8,30,0))
+ (NETWORKDAYS(AS260,AU260)-2)* (TIME(17,30,0)-TIME(8,30,0))
)
)
)</f>
        <v>96.3</v>
      </c>
      <c r="AY260" s="20" t="n">
        <f aca="false">ROUND(
IF(AS260=AU260,
MAX(0,
(MIN(MOD(AV260,1),TIME(17,30,0))-
MAX(MOD(AT260,1),TIME(8,30,0)))*24
),
(
(MAX(0,TIME(17,30,0)-MAX(MOD(AT260,1),TIME(8,30,0)))*24)
+
(MAX(0,MIN(MOD(AV260,1),TIME(17,30,0))-TIME(8,30,0))*24)
+
(MAX(0,NETWORKDAYS(AS260+1,AU260-1))*9)
)
),
2)</f>
        <v>97.17</v>
      </c>
      <c r="AZ260" s="0" t="n">
        <f aca="false" t="array" ref="AZ260:AZ260">_xlfn.XLOOKUP(J260,{"Low","Medium","High"},{270,72,24})</f>
        <v>270</v>
      </c>
      <c r="BA260" s="0" t="str">
        <f aca="false">IF(AW260&gt;AZ260,"Not Met","Met")</f>
        <v>Met</v>
      </c>
      <c r="BB260" s="21" t="str">
        <f aca="false">IF(AS260="","",TEXT(AS260,"MMM")&amp;"'"&amp;TEXT(AS260,"yy"))</f>
        <v>Mar'26</v>
      </c>
      <c r="BC260" s="0" t="str">
        <f aca="false">IF(AU260="","",TEXT(AU260,"MMM")&amp;"'"&amp;TEXT(AU260,"yy"))</f>
        <v>Apr'26</v>
      </c>
    </row>
    <row r="261" customFormat="false" ht="15" hidden="false" customHeight="false" outlineLevel="0" collapsed="false">
      <c r="A261" s="1" t="s">
        <v>927</v>
      </c>
      <c r="B261" s="11" t="n">
        <v>46108</v>
      </c>
      <c r="C261" s="12" t="n">
        <v>0.994444444444445</v>
      </c>
      <c r="D261" s="13" t="str">
        <f aca="false">IF(B261="","",TEXT(B261,"MMM")&amp;"'"&amp;TEXT(B261,"yy"))</f>
        <v>Mar'26</v>
      </c>
      <c r="E261" s="27" t="s">
        <v>55</v>
      </c>
      <c r="F261" s="1" t="s">
        <v>39</v>
      </c>
      <c r="G261" s="1" t="str">
        <f aca="false">IF(F261="Closed","Closed","Pending")</f>
        <v>Closed</v>
      </c>
      <c r="H261" s="27" t="s">
        <v>56</v>
      </c>
      <c r="I261" s="1" t="s">
        <v>270</v>
      </c>
      <c r="J261" s="35" t="s">
        <v>74</v>
      </c>
      <c r="K261" s="1" t="s">
        <v>59</v>
      </c>
      <c r="L261" s="66" t="s">
        <v>490</v>
      </c>
      <c r="M261" s="1" t="s">
        <v>928</v>
      </c>
      <c r="N261" s="1" t="s">
        <v>62</v>
      </c>
      <c r="O261" s="1" t="s">
        <v>106</v>
      </c>
      <c r="Q261" s="1" t="s">
        <v>229</v>
      </c>
      <c r="R261" s="1" t="s">
        <v>490</v>
      </c>
      <c r="U261" s="25" t="n">
        <v>46109.0173611111</v>
      </c>
      <c r="V261" s="11" t="n">
        <v>46122</v>
      </c>
      <c r="W261" s="12" t="n">
        <v>0.794444444444444</v>
      </c>
      <c r="X261" s="11" t="n">
        <v>46122</v>
      </c>
      <c r="Y261" s="12" t="n">
        <v>0.927083333333333</v>
      </c>
      <c r="Z261" s="1" t="s">
        <v>108</v>
      </c>
      <c r="AA261" s="1" t="s">
        <v>68</v>
      </c>
      <c r="AB261" s="2" t="n">
        <v>0.0229166666666667</v>
      </c>
      <c r="AC261" s="14" t="n">
        <f aca="false">(V261+W261)-(B261+C261)</f>
        <v>13.8</v>
      </c>
      <c r="AD261" s="4" t="str">
        <f aca="false">INT((V261+W261)-(B261+C261)) &amp; ":" &amp;
TEXT(HOUR((V261+W261)-(B261+C261)), "00") &amp; ":" &amp;
TEXT(MINUTE((V261+W261)-(B261+C261)), "00")</f>
        <v>13:19:12</v>
      </c>
      <c r="AE261" s="1" t="n">
        <f aca="false">IFERROR(
LEFT(AD261,FIND(":",AD261)-1)
+ MID(AD261,FIND(":",AD261)+1,2)/24
+ RIGHT(AD261,2)/1440,
"")</f>
        <v>13.8</v>
      </c>
      <c r="AF261" s="4" t="str">
        <f aca="false">INT((X261+Y261)-(B261+C261)) &amp; ":" &amp;
TEXT(HOUR((X261+Y261)-(B261+C261)), "00") &amp; ":" &amp;
TEXT(MINUTE((X261+Y261)-(B261+C261)), "00")</f>
        <v>13:22:23</v>
      </c>
      <c r="AG261" s="4" t="str">
        <f aca="false" t="array" ref="AG261:AG261">INT(_xlfn.XLOOKUP(J261,{"Low","Medium","High","Urgent"},{48,24,12,8})/24) &amp; ":" &amp;
TEXT(MOD(_xlfn.XLOOKUP(J261,{"Low","Medium","High","Urgent"},{48,24,12,8}),24)/24,"hh:mm")</f>
        <v>2:00:00</v>
      </c>
      <c r="AH261" s="4" t="str">
        <f aca="false">IF(AD261&gt;AG261,"Not Met","Met")</f>
        <v>Met</v>
      </c>
      <c r="AI261" s="4" t="str">
        <f aca="false">IF(AB261&lt;TIME(0,30,0),"Met","Not Met")</f>
        <v>Not Met</v>
      </c>
      <c r="AN261" s="1" t="str">
        <f aca="false">TEXT(B261,"dd")</f>
        <v>27</v>
      </c>
      <c r="AO261" s="1" t="str">
        <f aca="false">TEXT(X261,"dd")</f>
        <v>10</v>
      </c>
      <c r="AP261" s="16" t="str">
        <f aca="false">INT(
  NETWORKDAYS(B261,V261)-1
  + IF(WEEKDAY(V261,2)&lt;6,MOD(V261+W261,1),0)
  - IF(WEEKDAY(B261,2)&lt;6,MOD(B261+C261,1),0)
)
&amp; ":" &amp;
TEXT(HOUR(
  NETWORKDAYS(B261,V261)-1
  + IF(WEEKDAY(V261,2)&lt;6,MOD(V261+W261,1),0)
  - IF(WEEKDAY(B261,2)&lt;6,MOD(B261+C261,1),0)
),"00")
&amp; ":" &amp;
TEXT(MINUTE(
  NETWORKDAYS(B261,V261)-1
  + IF(WEEKDAY(V261,2)&lt;6,MOD(V261+W261,1),0)
  - IF(WEEKDAY(B261,2)&lt;6,MOD(B261+C261,1),0)
),"00")</f>
        <v>9:19:12</v>
      </c>
      <c r="AQ261" s="0" t="n">
        <f aca="false">IFERROR(
LEFT(AP261,FIND(":",AP261)-1)
+ MID(AP261,FIND(":",AP261)+1,2)/24
+ RIGHT(AP261,2)/1440,
"")</f>
        <v>9.8</v>
      </c>
      <c r="AR261" s="0" t="n">
        <f aca="false">WEEKNUM(B261,1)</f>
        <v>13</v>
      </c>
      <c r="AS261" s="17" t="n">
        <f aca="false">IF(B261&gt;0, (B261+C261)-TIME(13,30,0), "")</f>
        <v>46108.4319444444</v>
      </c>
      <c r="AT261" s="18" t="n">
        <f aca="false">IF(B261&gt;0, (B261+C261)-TIME(13,30,0), "")</f>
        <v>46108.4319444444</v>
      </c>
      <c r="AU261" s="17" t="n">
        <f aca="false">IF(V261&gt;0, (V261+W261)-TIME(13,30,0), "")</f>
        <v>46122.2319444444</v>
      </c>
      <c r="AV261" s="18" t="n">
        <f aca="false">IF(V261&gt;0, (V261+W261)-TIME(13,30,0), "")</f>
        <v>46122.2319444444</v>
      </c>
      <c r="AW261" s="19" t="n">
        <f aca="false">24*(
MAX(0,
IF(NETWORKDAYS(AS261,AU261)=1,
MIN(MOD(AV261,1),TIME(17,30,0)) - MAX(MOD(AT261,1),TIME(8,30,0)),
(TIME(17,30,0)-MAX(MOD(AT261,1),TIME(8,30,0)))
+ (MIN(MOD(AV261,1),TIME(17,30,0))-TIME(8,30,0))
+ (NETWORKDAYS(AS261,AU261)-2)*9/24
)
)
)</f>
        <v>85.2</v>
      </c>
      <c r="AX261" s="19" t="n">
        <f aca="false">24*(
MAX(0,
IF(NETWORKDAYS(AS261,AU261)=1,
MIN(MOD(AV261,1),TIME(17,30,0)) - MAX(MOD(AT261,1),TIME(8,30,0)),
(TIME(17,30,0)-MAX(MOD(AT261,1),TIME(8,30,0)))
+ (MIN(MOD(AV261,1),TIME(17,30,0))-TIME(8,30,0))
+ (NETWORKDAYS(AS261,AU261)-2)* (TIME(17,30,0)-TIME(8,30,0))
)
)
)</f>
        <v>85.2</v>
      </c>
      <c r="AY261" s="20" t="n">
        <f aca="false">ROUND(
IF(AS261=AU261,
MAX(0,
(MIN(MOD(AV261,1),TIME(17,30,0))-
MAX(MOD(AT261,1),TIME(8,30,0)))*24
),
(
(MAX(0,TIME(17,30,0)-MAX(MOD(AT261,1),TIME(8,30,0)))*24)
+
(MAX(0,MIN(MOD(AV261,1),TIME(17,30,0))-TIME(8,30,0))*24)
+
(MAX(0,NETWORKDAYS(AS261+1,AU261-1))*9)
)
),
2)</f>
        <v>88.13</v>
      </c>
      <c r="AZ261" s="0" t="n">
        <f aca="false" t="array" ref="AZ261:AZ261">_xlfn.XLOOKUP(J261,{"Low","Medium","High"},{270,72,24})</f>
        <v>270</v>
      </c>
      <c r="BA261" s="0" t="str">
        <f aca="false">IF(AW261&gt;AZ261,"Not Met","Met")</f>
        <v>Met</v>
      </c>
      <c r="BB261" s="21" t="str">
        <f aca="false">IF(AS261="","",TEXT(AS261,"MMM")&amp;"'"&amp;TEXT(AS261,"yy"))</f>
        <v>Mar'26</v>
      </c>
      <c r="BC261" s="0" t="str">
        <f aca="false">IF(AU261="","",TEXT(AU261,"MMM")&amp;"'"&amp;TEXT(AU261,"yy"))</f>
        <v>Apr'26</v>
      </c>
    </row>
    <row r="262" customFormat="false" ht="15" hidden="false" customHeight="false" outlineLevel="0" collapsed="false">
      <c r="A262" s="1" t="s">
        <v>929</v>
      </c>
      <c r="B262" s="11" t="n">
        <v>46111</v>
      </c>
      <c r="C262" s="12" t="n">
        <v>0.914583333333333</v>
      </c>
      <c r="D262" s="13" t="str">
        <f aca="false">IF(B262="","",TEXT(B262,"MMM")&amp;"'"&amp;TEXT(B262,"yy"))</f>
        <v>Mar'26</v>
      </c>
      <c r="E262" s="27" t="s">
        <v>55</v>
      </c>
      <c r="F262" s="1" t="s">
        <v>39</v>
      </c>
      <c r="G262" s="1" t="str">
        <f aca="false">IF(F262="Closed","Closed","Pending")</f>
        <v>Closed</v>
      </c>
      <c r="H262" s="58" t="s">
        <v>56</v>
      </c>
      <c r="I262" s="26" t="s">
        <v>82</v>
      </c>
      <c r="J262" s="40" t="s">
        <v>74</v>
      </c>
      <c r="K262" s="1" t="s">
        <v>59</v>
      </c>
      <c r="L262" s="1" t="s">
        <v>930</v>
      </c>
      <c r="M262" s="1" t="s">
        <v>931</v>
      </c>
      <c r="N262" s="1" t="s">
        <v>65</v>
      </c>
      <c r="O262" s="1" t="s">
        <v>106</v>
      </c>
      <c r="Q262" s="1" t="s">
        <v>65</v>
      </c>
      <c r="R262" s="1" t="s">
        <v>66</v>
      </c>
      <c r="U262" s="12" t="n">
        <v>0.926388888888889</v>
      </c>
      <c r="V262" s="11" t="n">
        <v>46128</v>
      </c>
      <c r="W262" s="12" t="n">
        <v>0.915277777777778</v>
      </c>
      <c r="X262" s="11" t="n">
        <v>46128</v>
      </c>
      <c r="Y262" s="12" t="n">
        <v>0.94375</v>
      </c>
      <c r="Z262" s="1" t="s">
        <v>108</v>
      </c>
      <c r="AA262" s="1" t="s">
        <v>68</v>
      </c>
      <c r="AB262" s="2" t="e">
        <f aca="false">U262-F262</f>
        <v>#VALUE!</v>
      </c>
      <c r="AC262" s="14" t="n">
        <f aca="false">(V262+W262)-(B262+C262)</f>
        <v>17.0006944444444</v>
      </c>
      <c r="AD262" s="4" t="str">
        <f aca="false">INT((V262+W262)-(B262+C262)) &amp; ":" &amp;
TEXT(HOUR((V262+W262)-(B262+C262)), "00") &amp; ":" &amp;
TEXT(MINUTE((V262+W262)-(B262+C262)), "00")</f>
        <v>17:00:01</v>
      </c>
      <c r="AE262" s="1" t="n">
        <f aca="false">IFERROR(
LEFT(AD262,FIND(":",AD262)-1)
+ MID(AD262,FIND(":",AD262)+1,2)/24
+ RIGHT(AD262,2)/1440,
"")</f>
        <v>17.0006944444444</v>
      </c>
      <c r="AF262" s="4" t="str">
        <f aca="false">INT((X262+Y262)-(B262+C262)) &amp; ":" &amp;
TEXT(HOUR((X262+Y262)-(B262+C262)), "00") &amp; ":" &amp;
TEXT(MINUTE((X262+Y262)-(B262+C262)), "00")</f>
        <v>17:00:42</v>
      </c>
      <c r="AG262" s="4" t="str">
        <f aca="false" t="array" ref="AG262:AG262">INT(_xlfn.XLOOKUP(J262,{"Low","Medium","High","Urgent"},{48,24,12,8})/24) &amp; ":" &amp;
TEXT(MOD(_xlfn.XLOOKUP(J262,{"Low","Medium","High","Urgent"},{48,24,12,8}),24)/24,"hh:mm")</f>
        <v>2:00:00</v>
      </c>
      <c r="AH262" s="4" t="str">
        <f aca="false">IF(AD262&gt;AG262,"Not Met","Met")</f>
        <v>Met</v>
      </c>
      <c r="AI262" s="4" t="e">
        <f aca="false">IF(AB262&lt;TIME(0,30,0),"Met","Not Met")</f>
        <v>#VALUE!</v>
      </c>
      <c r="AN262" s="1" t="str">
        <f aca="false">TEXT(B262,"dd")</f>
        <v>30</v>
      </c>
      <c r="AO262" s="1" t="str">
        <f aca="false">TEXT(X262,"dd")</f>
        <v>16</v>
      </c>
      <c r="AP262" s="16" t="str">
        <f aca="false">INT(
  NETWORKDAYS(B262,V262)-1
  + IF(WEEKDAY(V262,2)&lt;6,MOD(V262+W262,1),0)
  - IF(WEEKDAY(B262,2)&lt;6,MOD(B262+C262,1),0)
)
&amp; ":" &amp;
TEXT(HOUR(
  NETWORKDAYS(B262,V262)-1
  + IF(WEEKDAY(V262,2)&lt;6,MOD(V262+W262,1),0)
  - IF(WEEKDAY(B262,2)&lt;6,MOD(B262+C262,1),0)
),"00")
&amp; ":" &amp;
TEXT(MINUTE(
  NETWORKDAYS(B262,V262)-1
  + IF(WEEKDAY(V262,2)&lt;6,MOD(V262+W262,1),0)
  - IF(WEEKDAY(B262,2)&lt;6,MOD(B262+C262,1),0)
),"00")</f>
        <v>13:00:01</v>
      </c>
      <c r="AQ262" s="0" t="n">
        <f aca="false">IFERROR(
LEFT(AP262,FIND(":",AP262)-1)
+ MID(AP262,FIND(":",AP262)+1,2)/24
+ RIGHT(AP262,2)/1440,
"")</f>
        <v>13.0006944444444</v>
      </c>
      <c r="AR262" s="0" t="n">
        <f aca="false">WEEKNUM(B262,1)</f>
        <v>14</v>
      </c>
      <c r="AS262" s="17" t="n">
        <f aca="false">IF(B262&gt;0, (B262+C262)-TIME(13,30,0), "")</f>
        <v>46111.3520833333</v>
      </c>
      <c r="AT262" s="18" t="n">
        <f aca="false">IF(B262&gt;0, (B262+C262)-TIME(13,30,0), "")</f>
        <v>46111.3520833333</v>
      </c>
      <c r="AU262" s="17" t="n">
        <f aca="false">IF(V262&gt;0, (V262+W262)-TIME(13,30,0), "")</f>
        <v>46128.3527777778</v>
      </c>
      <c r="AV262" s="18" t="n">
        <f aca="false">IF(V262&gt;0, (V262+W262)-TIME(13,30,0), "")</f>
        <v>46128.3527777778</v>
      </c>
      <c r="AW262" s="19" t="n">
        <f aca="false">24*(
MAX(0,
IF(NETWORKDAYS(AS262,AU262)=1,
MIN(MOD(AV262,1),TIME(17,30,0)) - MAX(MOD(AT262,1),TIME(8,30,0)),
(TIME(17,30,0)-MAX(MOD(AT262,1),TIME(8,30,0)))
+ (MIN(MOD(AV262,1),TIME(17,30,0))-TIME(8,30,0))
+ (NETWORKDAYS(AS262,AU262)-2)*9/24
)
)
)</f>
        <v>116.966666666667</v>
      </c>
      <c r="AX262" s="19" t="n">
        <f aca="false">24*(
MAX(0,
IF(NETWORKDAYS(AS262,AU262)=1,
MIN(MOD(AV262,1),TIME(17,30,0)) - MAX(MOD(AT262,1),TIME(8,30,0)),
(TIME(17,30,0)-MAX(MOD(AT262,1),TIME(8,30,0)))
+ (MIN(MOD(AV262,1),TIME(17,30,0))-TIME(8,30,0))
+ (NETWORKDAYS(AS262,AU262)-2)* (TIME(17,30,0)-TIME(8,30,0))
)
)
)</f>
        <v>116.966666666667</v>
      </c>
      <c r="AY262" s="20" t="n">
        <f aca="false">ROUND(
IF(AS262=AU262,
MAX(0,
(MIN(MOD(AV262,1),TIME(17,30,0))-
MAX(MOD(AT262,1),TIME(8,30,0)))*24
),
(
(MAX(0,TIME(17,30,0)-MAX(MOD(AT262,1),TIME(8,30,0)))*24)
+
(MAX(0,MIN(MOD(AV262,1),TIME(17,30,0))-TIME(8,30,0))*24)
+
(MAX(0,NETWORKDAYS(AS262+1,AU262-1))*9)
)
),
2)</f>
        <v>117</v>
      </c>
      <c r="AZ262" s="0" t="n">
        <f aca="false" t="array" ref="AZ262:AZ262">_xlfn.XLOOKUP(J262,{"Low","Medium","High"},{270,72,24})</f>
        <v>270</v>
      </c>
      <c r="BA262" s="0" t="str">
        <f aca="false">IF(AW262&gt;AZ262,"Not Met","Met")</f>
        <v>Met</v>
      </c>
      <c r="BB262" s="21" t="str">
        <f aca="false">IF(AS262="","",TEXT(AS262,"MMM")&amp;"'"&amp;TEXT(AS262,"yy"))</f>
        <v>Mar'26</v>
      </c>
      <c r="BC262" s="0" t="str">
        <f aca="false">IF(AU262="","",TEXT(AU262,"MMM")&amp;"'"&amp;TEXT(AU262,"yy"))</f>
        <v>Apr'26</v>
      </c>
    </row>
    <row r="263" customFormat="false" ht="15" hidden="false" customHeight="false" outlineLevel="0" collapsed="false">
      <c r="A263" s="1" t="s">
        <v>932</v>
      </c>
      <c r="B263" s="11" t="n">
        <v>46112</v>
      </c>
      <c r="C263" s="12" t="n">
        <v>0.186805555555556</v>
      </c>
      <c r="D263" s="13" t="str">
        <f aca="false">IF(B263="","",TEXT(B263,"MMM")&amp;"'"&amp;TEXT(B263,"yy"))</f>
        <v>Mar'26</v>
      </c>
      <c r="E263" s="27" t="s">
        <v>55</v>
      </c>
      <c r="F263" s="1" t="s">
        <v>39</v>
      </c>
      <c r="G263" s="1" t="str">
        <f aca="false">IF(F263="Closed","Closed","Pending")</f>
        <v>Closed</v>
      </c>
      <c r="H263" s="1" t="s">
        <v>81</v>
      </c>
      <c r="I263" s="1" t="s">
        <v>82</v>
      </c>
      <c r="J263" s="1" t="s">
        <v>58</v>
      </c>
      <c r="K263" s="35" t="s">
        <v>59</v>
      </c>
      <c r="L263" s="1" t="s">
        <v>933</v>
      </c>
      <c r="M263" s="1" t="s">
        <v>934</v>
      </c>
      <c r="N263" s="1" t="s">
        <v>62</v>
      </c>
      <c r="O263" s="1" t="s">
        <v>77</v>
      </c>
      <c r="Q263" s="1" t="s">
        <v>65</v>
      </c>
      <c r="R263" s="1" t="s">
        <v>66</v>
      </c>
      <c r="U263" s="12" t="n">
        <v>0.190277777777778</v>
      </c>
      <c r="V263" s="11" t="n">
        <v>46122</v>
      </c>
      <c r="W263" s="12" t="n">
        <v>0.854861111111111</v>
      </c>
      <c r="X263" s="11" t="n">
        <v>46122</v>
      </c>
      <c r="Y263" s="12" t="n">
        <v>0.869444444444445</v>
      </c>
      <c r="Z263" s="1" t="s">
        <v>108</v>
      </c>
      <c r="AA263" s="1" t="s">
        <v>68</v>
      </c>
      <c r="AB263" s="2" t="e">
        <f aca="false">U263-F263</f>
        <v>#VALUE!</v>
      </c>
      <c r="AC263" s="14" t="n">
        <f aca="false">(V263+W263)-(B263+C263)</f>
        <v>10.6680555555556</v>
      </c>
      <c r="AD263" s="4" t="str">
        <f aca="false">INT((V263+W263)-(B263+C263)) &amp; ":" &amp;
TEXT(HOUR((V263+W263)-(B263+C263)), "00") &amp; ":" &amp;
TEXT(MINUTE((V263+W263)-(B263+C263)), "00")</f>
        <v>10:16:02</v>
      </c>
      <c r="AE263" s="1" t="n">
        <f aca="false">IFERROR(
LEFT(AD263,FIND(":",AD263)-1)
+ MID(AD263,FIND(":",AD263)+1,2)/24
+ RIGHT(AD263,2)/1440,
"")</f>
        <v>10.6680555555556</v>
      </c>
      <c r="AF263" s="4" t="str">
        <f aca="false">INT((X263+Y263)-(B263+C263)) &amp; ":" &amp;
TEXT(HOUR((X263+Y263)-(B263+C263)), "00") &amp; ":" &amp;
TEXT(MINUTE((X263+Y263)-(B263+C263)), "00")</f>
        <v>10:16:23</v>
      </c>
      <c r="AG263" s="4" t="str">
        <f aca="false" t="array" ref="AG263:AG263">INT(_xlfn.XLOOKUP(J263,{"Low","Medium","High","Urgent"},{48,24,12,8})/24) &amp; ":" &amp;
TEXT(MOD(_xlfn.XLOOKUP(J263,{"Low","Medium","High","Urgent"},{48,24,12,8}),24)/24,"hh:mm")</f>
        <v>1:00:00</v>
      </c>
      <c r="AH263" s="4" t="str">
        <f aca="false">IF(AD263&gt;AG263,"Not Met","Met")</f>
        <v>Not Met</v>
      </c>
      <c r="AI263" s="4" t="e">
        <f aca="false">IF(AB263&lt;TIME(0,30,0),"Met","Not Met")</f>
        <v>#VALUE!</v>
      </c>
      <c r="AN263" s="1" t="str">
        <f aca="false">TEXT(B263,"dd")</f>
        <v>31</v>
      </c>
      <c r="AO263" s="1" t="str">
        <f aca="false">TEXT(X263,"dd")</f>
        <v>10</v>
      </c>
      <c r="AP263" s="16" t="str">
        <f aca="false">INT(
  NETWORKDAYS(B263,V263)-1
  + IF(WEEKDAY(V263,2)&lt;6,MOD(V263+W263,1),0)
  - IF(WEEKDAY(B263,2)&lt;6,MOD(B263+C263,1),0)
)
&amp; ":" &amp;
TEXT(HOUR(
  NETWORKDAYS(B263,V263)-1
  + IF(WEEKDAY(V263,2)&lt;6,MOD(V263+W263,1),0)
  - IF(WEEKDAY(B263,2)&lt;6,MOD(B263+C263,1),0)
),"00")
&amp; ":" &amp;
TEXT(MINUTE(
  NETWORKDAYS(B263,V263)-1
  + IF(WEEKDAY(V263,2)&lt;6,MOD(V263+W263,1),0)
  - IF(WEEKDAY(B263,2)&lt;6,MOD(B263+C263,1),0)
),"00")</f>
        <v>8:16:02</v>
      </c>
      <c r="AQ263" s="0" t="n">
        <f aca="false">IFERROR(
LEFT(AP263,FIND(":",AP263)-1)
+ MID(AP263,FIND(":",AP263)+1,2)/24
+ RIGHT(AP263,2)/1440,
"")</f>
        <v>8.66805555555555</v>
      </c>
      <c r="AR263" s="0" t="n">
        <f aca="false">WEEKNUM(B263,1)</f>
        <v>14</v>
      </c>
      <c r="AS263" s="17" t="n">
        <f aca="false">IF(B263&gt;0, (B263+C263)-TIME(13,30,0), "")</f>
        <v>46111.6243055556</v>
      </c>
      <c r="AT263" s="18" t="n">
        <f aca="false">IF(B263&gt;0, (B263+C263)-TIME(13,30,0), "")</f>
        <v>46111.6243055556</v>
      </c>
      <c r="AU263" s="17" t="n">
        <f aca="false">IF(V263&gt;0, (V263+W263)-TIME(13,30,0), "")</f>
        <v>46122.2923611111</v>
      </c>
      <c r="AV263" s="18" t="n">
        <f aca="false">IF(V263&gt;0, (V263+W263)-TIME(13,30,0), "")</f>
        <v>46122.2923611111</v>
      </c>
      <c r="AW263" s="19" t="n">
        <f aca="false">24*(
MAX(0,
IF(NETWORKDAYS(AS263,AU263)=1,
MIN(MOD(AV263,1),TIME(17,30,0)) - MAX(MOD(AT263,1),TIME(8,30,0)),
(TIME(17,30,0)-MAX(MOD(AT263,1),TIME(8,30,0)))
+ (MIN(MOD(AV263,1),TIME(17,30,0))-TIME(8,30,0))
+ (NETWORKDAYS(AS263,AU263)-2)*9/24
)
)
)</f>
        <v>73.0333333333333</v>
      </c>
      <c r="AX263" s="19" t="n">
        <f aca="false">24*(
MAX(0,
IF(NETWORKDAYS(AS263,AU263)=1,
MIN(MOD(AV263,1),TIME(17,30,0)) - MAX(MOD(AT263,1),TIME(8,30,0)),
(TIME(17,30,0)-MAX(MOD(AT263,1),TIME(8,30,0)))
+ (MIN(MOD(AV263,1),TIME(17,30,0))-TIME(8,30,0))
+ (NETWORKDAYS(AS263,AU263)-2)* (TIME(17,30,0)-TIME(8,30,0))
)
)
)</f>
        <v>73.0333333333333</v>
      </c>
      <c r="AY263" s="20" t="n">
        <f aca="false">ROUND(
IF(AS263=AU263,
MAX(0,
(MIN(MOD(AV263,1),TIME(17,30,0))-
MAX(MOD(AT263,1),TIME(8,30,0)))*24
),
(
(MAX(0,TIME(17,30,0)-MAX(MOD(AT263,1),TIME(8,30,0)))*24)
+
(MAX(0,MIN(MOD(AV263,1),TIME(17,30,0))-TIME(8,30,0))*24)
+
(MAX(0,NETWORKDAYS(AS263+1,AU263-1))*9)
)
),
2)</f>
        <v>74.52</v>
      </c>
      <c r="AZ263" s="0" t="n">
        <f aca="false" t="array" ref="AZ263:AZ263">_xlfn.XLOOKUP(J263,{"Low","Medium","High"},{270,72,24})</f>
        <v>72</v>
      </c>
      <c r="BA263" s="0" t="str">
        <f aca="false">IF(AW263&gt;AZ263,"Not Met","Met")</f>
        <v>Not Met</v>
      </c>
      <c r="BB263" s="21" t="str">
        <f aca="false">IF(AS263="","",TEXT(AS263,"MMM")&amp;"'"&amp;TEXT(AS263,"yy"))</f>
        <v>Mar'26</v>
      </c>
      <c r="BC263" s="0" t="str">
        <f aca="false">IF(AU263="","",TEXT(AU263,"MMM")&amp;"'"&amp;TEXT(AU263,"yy"))</f>
        <v>Apr'26</v>
      </c>
    </row>
    <row r="264" customFormat="false" ht="15" hidden="false" customHeight="false" outlineLevel="0" collapsed="false">
      <c r="A264" s="1" t="s">
        <v>935</v>
      </c>
      <c r="B264" s="11" t="n">
        <v>46112</v>
      </c>
      <c r="C264" s="12" t="n">
        <v>0.193055555555556</v>
      </c>
      <c r="D264" s="13" t="str">
        <f aca="false">IF(B264="","",TEXT(B264,"MMM")&amp;"'"&amp;TEXT(B264,"yy"))</f>
        <v>Mar'26</v>
      </c>
      <c r="E264" s="27" t="s">
        <v>55</v>
      </c>
      <c r="F264" s="1" t="s">
        <v>39</v>
      </c>
      <c r="G264" s="1" t="str">
        <f aca="false">IF(F264="Closed","Closed","Pending")</f>
        <v>Closed</v>
      </c>
      <c r="H264" s="1" t="s">
        <v>56</v>
      </c>
      <c r="I264" s="1" t="s">
        <v>82</v>
      </c>
      <c r="J264" s="1" t="s">
        <v>58</v>
      </c>
      <c r="K264" s="35" t="s">
        <v>59</v>
      </c>
      <c r="L264" s="1" t="s">
        <v>936</v>
      </c>
      <c r="M264" s="1" t="s">
        <v>937</v>
      </c>
      <c r="N264" s="1" t="s">
        <v>62</v>
      </c>
      <c r="O264" s="1" t="s">
        <v>77</v>
      </c>
      <c r="Q264" s="1" t="s">
        <v>229</v>
      </c>
      <c r="R264" s="1" t="s">
        <v>426</v>
      </c>
      <c r="U264" s="12" t="n">
        <v>0.208333333333333</v>
      </c>
      <c r="V264" s="11" t="n">
        <v>46112</v>
      </c>
      <c r="W264" s="12" t="n">
        <v>0.905555555555556</v>
      </c>
      <c r="X264" s="11" t="n">
        <v>46112</v>
      </c>
      <c r="Y264" s="12" t="n">
        <v>0.997916666666667</v>
      </c>
      <c r="Z264" s="1" t="s">
        <v>108</v>
      </c>
      <c r="AA264" s="1" t="s">
        <v>68</v>
      </c>
      <c r="AB264" s="2" t="e">
        <f aca="false">U264-F264</f>
        <v>#VALUE!</v>
      </c>
      <c r="AC264" s="14" t="n">
        <f aca="false">(V264+W264)-(B264+C264)</f>
        <v>0.7125</v>
      </c>
      <c r="AD264" s="4" t="str">
        <f aca="false">INT((V264+W264)-(B264+C264)) &amp; ":" &amp;
TEXT(HOUR((V264+W264)-(B264+C264)), "00") &amp; ":" &amp;
TEXT(MINUTE((V264+W264)-(B264+C264)), "00")</f>
        <v>0:17:06</v>
      </c>
      <c r="AE264" s="1" t="n">
        <f aca="false">IFERROR(
LEFT(AD264,FIND(":",AD264)-1)
+ MID(AD264,FIND(":",AD264)+1,2)/24
+ RIGHT(AD264,2)/1440,
"")</f>
        <v>0.7125</v>
      </c>
      <c r="AF264" s="4" t="str">
        <f aca="false">INT((X264+Y264)-(B264+C264)) &amp; ":" &amp;
TEXT(HOUR((X264+Y264)-(B264+C264)), "00") &amp; ":" &amp;
TEXT(MINUTE((X264+Y264)-(B264+C264)), "00")</f>
        <v>0:19:19</v>
      </c>
      <c r="AG264" s="4" t="str">
        <f aca="false" t="array" ref="AG264:AG264">INT(_xlfn.XLOOKUP(J264,{"Low","Medium","High","Urgent"},{48,24,12,8})/24) &amp; ":" &amp;
TEXT(MOD(_xlfn.XLOOKUP(J264,{"Low","Medium","High","Urgent"},{48,24,12,8}),24)/24,"hh:mm")</f>
        <v>1:00:00</v>
      </c>
      <c r="AH264" s="4" t="str">
        <f aca="false">IF(AD264&gt;AG264,"Not Met","Met")</f>
        <v>Met</v>
      </c>
      <c r="AI264" s="4" t="e">
        <f aca="false">IF(AB264&lt;TIME(0,30,0),"Met","Not Met")</f>
        <v>#VALUE!</v>
      </c>
      <c r="AN264" s="1" t="str">
        <f aca="false">TEXT(B264,"dd")</f>
        <v>31</v>
      </c>
      <c r="AO264" s="1" t="str">
        <f aca="false">TEXT(X264,"dd")</f>
        <v>31</v>
      </c>
      <c r="AP264" s="16" t="str">
        <f aca="false">INT(
  NETWORKDAYS(B264,V264)-1
  + IF(WEEKDAY(V264,2)&lt;6,MOD(V264+W264,1),0)
  - IF(WEEKDAY(B264,2)&lt;6,MOD(B264+C264,1),0)
)
&amp; ":" &amp;
TEXT(HOUR(
  NETWORKDAYS(B264,V264)-1
  + IF(WEEKDAY(V264,2)&lt;6,MOD(V264+W264,1),0)
  - IF(WEEKDAY(B264,2)&lt;6,MOD(B264+C264,1),0)
),"00")
&amp; ":" &amp;
TEXT(MINUTE(
  NETWORKDAYS(B264,V264)-1
  + IF(WEEKDAY(V264,2)&lt;6,MOD(V264+W264,1),0)
  - IF(WEEKDAY(B264,2)&lt;6,MOD(B264+C264,1),0)
),"00")</f>
        <v>0:17:05</v>
      </c>
      <c r="AQ264" s="0" t="n">
        <f aca="false">IFERROR(
LEFT(AP264,FIND(":",AP264)-1)
+ MID(AP264,FIND(":",AP264)+1,2)/24
+ RIGHT(AP264,2)/1440,
"")</f>
        <v>0.711805555555556</v>
      </c>
      <c r="AR264" s="0" t="n">
        <f aca="false">WEEKNUM(B264,1)</f>
        <v>14</v>
      </c>
      <c r="AS264" s="17" t="n">
        <f aca="false">IF(B264&gt;0, (B264+C264)-TIME(13,30,0), "")</f>
        <v>46111.6305555556</v>
      </c>
      <c r="AT264" s="18" t="n">
        <f aca="false">IF(B264&gt;0, (B264+C264)-TIME(13,30,0), "")</f>
        <v>46111.6305555556</v>
      </c>
      <c r="AU264" s="17" t="n">
        <f aca="false">IF(V264&gt;0, (V264+W264)-TIME(13,30,0), "")</f>
        <v>46112.3430555556</v>
      </c>
      <c r="AV264" s="18" t="n">
        <f aca="false">IF(V264&gt;0, (V264+W264)-TIME(13,30,0), "")</f>
        <v>46112.3430555556</v>
      </c>
      <c r="AW264" s="19" t="n">
        <f aca="false">24*(
MAX(0,
IF(NETWORKDAYS(AS264,AU264)=1,
MIN(MOD(AV264,1),TIME(17,30,0)) - MAX(MOD(AT264,1),TIME(8,30,0)),
(TIME(17,30,0)-MAX(MOD(AT264,1),TIME(8,30,0)))
+ (MIN(MOD(AV264,1),TIME(17,30,0))-TIME(8,30,0))
+ (NETWORKDAYS(AS264,AU264)-2)*9/24
)
)
)</f>
        <v>2.099999999805</v>
      </c>
      <c r="AX264" s="19" t="n">
        <f aca="false">24*(
MAX(0,
IF(NETWORKDAYS(AS264,AU264)=1,
MIN(MOD(AV264,1),TIME(17,30,0)) - MAX(MOD(AT264,1),TIME(8,30,0)),
(TIME(17,30,0)-MAX(MOD(AT264,1),TIME(8,30,0)))
+ (MIN(MOD(AV264,1),TIME(17,30,0))-TIME(8,30,0))
+ (NETWORKDAYS(AS264,AU264)-2)* (TIME(17,30,0)-TIME(8,30,0))
)
)
)</f>
        <v>2.099999999805</v>
      </c>
      <c r="AY264" s="20" t="n">
        <f aca="false">ROUND(
IF(AS264=AU264,
MAX(0,
(MIN(MOD(AV264,1),TIME(17,30,0))-
MAX(MOD(AT264,1),TIME(8,30,0)))*24
),
(
(MAX(0,TIME(17,30,0)-MAX(MOD(AT264,1),TIME(8,30,0)))*24)
+
(MAX(0,MIN(MOD(AV264,1),TIME(17,30,0))-TIME(8,30,0))*24)
+
(MAX(0,NETWORKDAYS(AS264+1,AU264-1))*9)
)
),
2)</f>
        <v>2.37</v>
      </c>
      <c r="AZ264" s="0" t="n">
        <f aca="false" t="array" ref="AZ264:AZ264">_xlfn.XLOOKUP(J264,{"Low","Medium","High"},{270,72,24})</f>
        <v>72</v>
      </c>
      <c r="BA264" s="0" t="str">
        <f aca="false">IF(AW264&gt;AZ264,"Not Met","Met")</f>
        <v>Met</v>
      </c>
      <c r="BB264" s="21" t="str">
        <f aca="false">IF(AS264="","",TEXT(AS264,"MMM")&amp;"'"&amp;TEXT(AS264,"yy"))</f>
        <v>Mar'26</v>
      </c>
      <c r="BC264" s="0" t="str">
        <f aca="false">IF(AU264="","",TEXT(AU264,"MMM")&amp;"'"&amp;TEXT(AU264,"yy"))</f>
        <v>Mar'26</v>
      </c>
    </row>
    <row r="265" customFormat="false" ht="15" hidden="false" customHeight="false" outlineLevel="0" collapsed="false">
      <c r="A265" s="1" t="s">
        <v>938</v>
      </c>
      <c r="B265" s="11" t="n">
        <v>46112</v>
      </c>
      <c r="C265" s="12" t="n">
        <v>0.822222222222222</v>
      </c>
      <c r="D265" s="13" t="str">
        <f aca="false">IF(B265="","",TEXT(B265,"MMM")&amp;"'"&amp;TEXT(B265,"yy"))</f>
        <v>Mar'26</v>
      </c>
      <c r="E265" s="27" t="s">
        <v>55</v>
      </c>
      <c r="F265" s="1" t="s">
        <v>39</v>
      </c>
      <c r="G265" s="1" t="str">
        <f aca="false">IF(F265="Closed","Closed","Pending")</f>
        <v>Closed</v>
      </c>
      <c r="H265" s="1" t="s">
        <v>120</v>
      </c>
      <c r="I265" s="1" t="s">
        <v>349</v>
      </c>
      <c r="J265" s="1" t="s">
        <v>74</v>
      </c>
      <c r="K265" s="35" t="s">
        <v>59</v>
      </c>
      <c r="L265" s="1" t="s">
        <v>721</v>
      </c>
      <c r="M265" s="1" t="s">
        <v>939</v>
      </c>
      <c r="N265" s="1" t="s">
        <v>65</v>
      </c>
      <c r="O265" s="1" t="s">
        <v>106</v>
      </c>
      <c r="Q265" s="1" t="s">
        <v>65</v>
      </c>
      <c r="R265" s="1" t="s">
        <v>87</v>
      </c>
      <c r="U265" s="12" t="n">
        <v>0.933333333333333</v>
      </c>
      <c r="V265" s="11" t="n">
        <v>46118</v>
      </c>
      <c r="W265" s="12" t="n">
        <v>0.775</v>
      </c>
      <c r="X265" s="11" t="n">
        <v>46121</v>
      </c>
      <c r="Y265" s="12" t="n">
        <v>0.799305555555556</v>
      </c>
      <c r="Z265" s="1" t="s">
        <v>108</v>
      </c>
      <c r="AA265" s="1" t="s">
        <v>68</v>
      </c>
      <c r="AB265" s="2" t="e">
        <f aca="false">U265-F265</f>
        <v>#VALUE!</v>
      </c>
      <c r="AC265" s="14" t="n">
        <f aca="false">(V265+W265)-(B265+C265)</f>
        <v>5.95277777777778</v>
      </c>
      <c r="AD265" s="4" t="str">
        <f aca="false">INT((V265+W265)-(B265+C265)) &amp; ":" &amp;
TEXT(HOUR((V265+W265)-(B265+C265)), "00") &amp; ":" &amp;
TEXT(MINUTE((V265+W265)-(B265+C265)), "00")</f>
        <v>5:22:52</v>
      </c>
      <c r="AE265" s="1" t="n">
        <f aca="false">IFERROR(
LEFT(AD265,FIND(":",AD265)-1)
+ MID(AD265,FIND(":",AD265)+1,2)/24
+ RIGHT(AD265,2)/1440,
"")</f>
        <v>5.95277777777778</v>
      </c>
      <c r="AF265" s="4" t="str">
        <f aca="false">INT((X265+Y265)-(B265+C265)) &amp; ":" &amp;
TEXT(HOUR((X265+Y265)-(B265+C265)), "00") &amp; ":" &amp;
TEXT(MINUTE((X265+Y265)-(B265+C265)), "00")</f>
        <v>8:23:27</v>
      </c>
      <c r="AG265" s="4" t="str">
        <f aca="false" t="array" ref="AG265:AG265">INT(_xlfn.XLOOKUP(J265,{"Low","Medium","High","Urgent"},{48,24,12,8})/24) &amp; ":" &amp;
TEXT(MOD(_xlfn.XLOOKUP(J265,{"Low","Medium","High","Urgent"},{48,24,12,8}),24)/24,"hh:mm")</f>
        <v>2:00:00</v>
      </c>
      <c r="AH265" s="4" t="str">
        <f aca="false">IF(AD265&gt;AG265,"Not Met","Met")</f>
        <v>Not Met</v>
      </c>
      <c r="AI265" s="4" t="e">
        <f aca="false">IF(AB265&lt;TIME(0,30,0),"Met","Not Met")</f>
        <v>#VALUE!</v>
      </c>
      <c r="AN265" s="1" t="str">
        <f aca="false">TEXT(B265,"dd")</f>
        <v>31</v>
      </c>
      <c r="AO265" s="1" t="str">
        <f aca="false">TEXT(X265,"dd")</f>
        <v>09</v>
      </c>
      <c r="AP265" s="16" t="str">
        <f aca="false">INT(
  NETWORKDAYS(B265,V265)-1
  + IF(WEEKDAY(V265,2)&lt;6,MOD(V265+W265,1),0)
  - IF(WEEKDAY(B265,2)&lt;6,MOD(B265+C265,1),0)
)
&amp; ":" &amp;
TEXT(HOUR(
  NETWORKDAYS(B265,V265)-1
  + IF(WEEKDAY(V265,2)&lt;6,MOD(V265+W265,1),0)
  - IF(WEEKDAY(B265,2)&lt;6,MOD(B265+C265,1),0)
),"00")
&amp; ":" &amp;
TEXT(MINUTE(
  NETWORKDAYS(B265,V265)-1
  + IF(WEEKDAY(V265,2)&lt;6,MOD(V265+W265,1),0)
  - IF(WEEKDAY(B265,2)&lt;6,MOD(B265+C265,1),0)
),"00")</f>
        <v>3:22:51</v>
      </c>
      <c r="AQ265" s="0" t="n">
        <f aca="false">IFERROR(
LEFT(AP265,FIND(":",AP265)-1)
+ MID(AP265,FIND(":",AP265)+1,2)/24
+ RIGHT(AP265,2)/1440,
"")</f>
        <v>3.95208333333333</v>
      </c>
      <c r="AR265" s="0" t="n">
        <f aca="false">WEEKNUM(B265,1)</f>
        <v>14</v>
      </c>
      <c r="AS265" s="17" t="n">
        <f aca="false">IF(B265&gt;0, (B265+C265)-TIME(13,30,0), "")</f>
        <v>46112.2597222222</v>
      </c>
      <c r="AT265" s="18" t="n">
        <f aca="false">IF(B265&gt;0, (B265+C265)-TIME(13,30,0), "")</f>
        <v>46112.2597222222</v>
      </c>
      <c r="AU265" s="17" t="n">
        <f aca="false">IF(V265&gt;0, (V265+W265)-TIME(13,30,0), "")</f>
        <v>46118.2125</v>
      </c>
      <c r="AV265" s="18" t="n">
        <f aca="false">IF(V265&gt;0, (V265+W265)-TIME(13,30,0), "")</f>
        <v>46118.2125</v>
      </c>
      <c r="AW265" s="19" t="n">
        <f aca="false">24*(
MAX(0,
IF(NETWORKDAYS(AS265,AU265)=1,
MIN(MOD(AV265,1),TIME(17,30,0)) - MAX(MOD(AT265,1),TIME(8,30,0)),
(TIME(17,30,0)-MAX(MOD(AT265,1),TIME(8,30,0)))
+ (MIN(MOD(AV265,1),TIME(17,30,0))-TIME(8,30,0))
+ (NETWORKDAYS(AS265,AU265)-2)*9/24
)
)
)</f>
        <v>32.6</v>
      </c>
      <c r="AX265" s="19" t="n">
        <f aca="false">24*(
MAX(0,
IF(NETWORKDAYS(AS265,AU265)=1,
MIN(MOD(AV265,1),TIME(17,30,0)) - MAX(MOD(AT265,1),TIME(8,30,0)),
(TIME(17,30,0)-MAX(MOD(AT265,1),TIME(8,30,0)))
+ (MIN(MOD(AV265,1),TIME(17,30,0))-TIME(8,30,0))
+ (NETWORKDAYS(AS265,AU265)-2)* (TIME(17,30,0)-TIME(8,30,0))
)
)
)</f>
        <v>32.6</v>
      </c>
      <c r="AY265" s="20" t="n">
        <f aca="false">ROUND(
IF(AS265=AU265,
MAX(0,
(MIN(MOD(AV265,1),TIME(17,30,0))-
MAX(MOD(AT265,1),TIME(8,30,0)))*24
),
(
(MAX(0,TIME(17,30,0)-MAX(MOD(AT265,1),TIME(8,30,0)))*24)
+
(MAX(0,MIN(MOD(AV265,1),TIME(17,30,0))-TIME(8,30,0))*24)
+
(MAX(0,NETWORKDAYS(AS265+1,AU265-1))*9)
)
),
2)</f>
        <v>36</v>
      </c>
      <c r="AZ265" s="0" t="n">
        <f aca="false" t="array" ref="AZ265:AZ265">_xlfn.XLOOKUP(J265,{"Low","Medium","High"},{270,72,24})</f>
        <v>270</v>
      </c>
      <c r="BA265" s="0" t="str">
        <f aca="false">IF(AW265&gt;AZ265,"Not Met","Met")</f>
        <v>Met</v>
      </c>
      <c r="BB265" s="21" t="str">
        <f aca="false">IF(AS265="","",TEXT(AS265,"MMM")&amp;"'"&amp;TEXT(AS265,"yy"))</f>
        <v>Mar'26</v>
      </c>
      <c r="BC265" s="0" t="str">
        <f aca="false">IF(AU265="","",TEXT(AU265,"MMM")&amp;"'"&amp;TEXT(AU265,"yy"))</f>
        <v>Apr'26</v>
      </c>
    </row>
    <row r="266" customFormat="false" ht="15" hidden="false" customHeight="false" outlineLevel="0" collapsed="false">
      <c r="A266" s="1" t="s">
        <v>940</v>
      </c>
      <c r="B266" s="11" t="n">
        <v>46113</v>
      </c>
      <c r="C266" s="12" t="n">
        <v>0.0895833333333333</v>
      </c>
      <c r="D266" s="13" t="str">
        <f aca="false">IF(B266="","",TEXT(B266,"MMM")&amp;"'"&amp;TEXT(B266,"yy"))</f>
        <v>Apr'26</v>
      </c>
      <c r="E266" s="27" t="s">
        <v>55</v>
      </c>
      <c r="F266" s="23" t="s">
        <v>39</v>
      </c>
      <c r="G266" s="1" t="str">
        <f aca="false">IF(F266="Closed","Closed","Pending")</f>
        <v>Closed</v>
      </c>
      <c r="H266" s="1" t="s">
        <v>157</v>
      </c>
      <c r="I266" s="1" t="s">
        <v>103</v>
      </c>
      <c r="J266" s="1" t="s">
        <v>74</v>
      </c>
      <c r="K266" s="35" t="s">
        <v>59</v>
      </c>
      <c r="L266" s="1" t="s">
        <v>941</v>
      </c>
      <c r="M266" s="1" t="s">
        <v>942</v>
      </c>
      <c r="N266" s="1" t="s">
        <v>143</v>
      </c>
      <c r="O266" s="1" t="s">
        <v>143</v>
      </c>
      <c r="Q266" s="1" t="s">
        <v>143</v>
      </c>
      <c r="R266" s="1" t="s">
        <v>66</v>
      </c>
      <c r="U266" s="12" t="n">
        <v>0.114583333333333</v>
      </c>
      <c r="V266" s="11" t="n">
        <v>46211</v>
      </c>
      <c r="W266" s="12" t="n">
        <v>0.930555555555556</v>
      </c>
      <c r="X266" s="11" t="n">
        <v>46211</v>
      </c>
      <c r="Y266" s="12" t="n">
        <v>0.930555555555556</v>
      </c>
      <c r="Z266" s="1" t="s">
        <v>108</v>
      </c>
      <c r="AA266" s="1" t="s">
        <v>68</v>
      </c>
      <c r="AB266" s="2" t="e">
        <f aca="false">U266-F266</f>
        <v>#VALUE!</v>
      </c>
      <c r="AC266" s="14" t="n">
        <f aca="false">(V266+W266)-(B266+C266)</f>
        <v>98.8409722222222</v>
      </c>
      <c r="AD266" s="4" t="str">
        <f aca="false">INT((V266+W266)-(B266+C266)) &amp; ":" &amp;
TEXT(HOUR((V266+W266)-(B266+C266)), "00") &amp; ":" &amp;
TEXT(MINUTE((V266+W266)-(B266+C266)), "00")</f>
        <v>98:20:11</v>
      </c>
      <c r="AE266" s="1" t="n">
        <f aca="false">IFERROR(
LEFT(AD266,FIND(":",AD266)-1)
+ MID(AD266,FIND(":",AD266)+1,2)/24
+ RIGHT(AD266,2)/1440,
"")</f>
        <v>98.8409722222222</v>
      </c>
      <c r="AF266" s="4" t="str">
        <f aca="false">INT((X266+Y266)-(B266+C266)) &amp; ":" &amp;
TEXT(HOUR((X266+Y266)-(B266+C266)), "00") &amp; ":" &amp;
TEXT(MINUTE((X266+Y266)-(B266+C266)), "00")</f>
        <v>98:20:11</v>
      </c>
      <c r="AG266" s="4" t="str">
        <f aca="false" t="array" ref="AG266:AG266">INT(_xlfn.XLOOKUP(J266,{"Low","Medium","High","Urgent"},{48,24,12,8})/24) &amp; ":" &amp;
TEXT(MOD(_xlfn.XLOOKUP(J266,{"Low","Medium","High","Urgent"},{48,24,12,8}),24)/24,"hh:mm")</f>
        <v>2:00:00</v>
      </c>
      <c r="AH266" s="4" t="str">
        <f aca="false">IF(AD266&gt;AG266,"Not Met","Met")</f>
        <v>Not Met</v>
      </c>
      <c r="AI266" s="4" t="e">
        <f aca="false">IF(AB266&lt;TIME(0,30,0),"Met","Not Met")</f>
        <v>#VALUE!</v>
      </c>
      <c r="AN266" s="1" t="str">
        <f aca="false">TEXT(B266,"dd")</f>
        <v>01</v>
      </c>
      <c r="AO266" s="1" t="str">
        <f aca="false">TEXT(X266,"dd")</f>
        <v>08</v>
      </c>
      <c r="AP266" s="16" t="str">
        <f aca="false">INT(
  NETWORKDAYS(B266,V266)-1
  + IF(WEEKDAY(V266,2)&lt;6,MOD(V266+W266,1),0)
  - IF(WEEKDAY(B266,2)&lt;6,MOD(B266+C266,1),0)
)
&amp; ":" &amp;
TEXT(HOUR(
  NETWORKDAYS(B266,V266)-1
  + IF(WEEKDAY(V266,2)&lt;6,MOD(V266+W266,1),0)
  - IF(WEEKDAY(B266,2)&lt;6,MOD(B266+C266,1),0)
),"00")
&amp; ":" &amp;
TEXT(MINUTE(
  NETWORKDAYS(B266,V266)-1
  + IF(WEEKDAY(V266,2)&lt;6,MOD(V266+W266,1),0)
  - IF(WEEKDAY(B266,2)&lt;6,MOD(B266+C266,1),0)
),"00")</f>
        <v>70:20:10</v>
      </c>
      <c r="AQ266" s="0" t="n">
        <f aca="false">IFERROR(
LEFT(AP266,FIND(":",AP266)-1)
+ MID(AP266,FIND(":",AP266)+1,2)/24
+ RIGHT(AP266,2)/1440,
"")</f>
        <v>70.8402777777778</v>
      </c>
      <c r="AR266" s="0" t="n">
        <f aca="false">WEEKNUM(B266,1)</f>
        <v>14</v>
      </c>
      <c r="AS266" s="17" t="n">
        <f aca="false">IF(B266&gt;0, (B266+C266)-TIME(13,30,0), "")</f>
        <v>46112.5270833333</v>
      </c>
      <c r="AT266" s="18" t="n">
        <f aca="false">IF(B266&gt;0, (B266+C266)-TIME(13,30,0), "")</f>
        <v>46112.5270833333</v>
      </c>
      <c r="AU266" s="17" t="n">
        <f aca="false">IF(V266&gt;0, (V266+W266)-TIME(13,30,0), "")</f>
        <v>46211.3680555556</v>
      </c>
      <c r="AV266" s="18" t="n">
        <f aca="false">IF(V266&gt;0, (V266+W266)-TIME(13,30,0), "")</f>
        <v>46211.3680555556</v>
      </c>
      <c r="AW266" s="19" t="n">
        <f aca="false">24*(
MAX(0,
IF(NETWORKDAYS(AS266,AU266)=1,
MIN(MOD(AV266,1),TIME(17,30,0)) - MAX(MOD(AT266,1),TIME(8,30,0)),
(TIME(17,30,0)-MAX(MOD(AT266,1),TIME(8,30,0)))
+ (MIN(MOD(AV266,1),TIME(17,30,0))-TIME(8,30,0))
+ (NETWORKDAYS(AS266,AU266)-2)*9/24
)
)
)</f>
        <v>635.183333333333</v>
      </c>
      <c r="AX266" s="19" t="n">
        <f aca="false">24*(
MAX(0,
IF(NETWORKDAYS(AS266,AU266)=1,
MIN(MOD(AV266,1),TIME(17,30,0)) - MAX(MOD(AT266,1),TIME(8,30,0)),
(TIME(17,30,0)-MAX(MOD(AT266,1),TIME(8,30,0)))
+ (MIN(MOD(AV266,1),TIME(17,30,0))-TIME(8,30,0))
+ (NETWORKDAYS(AS266,AU266)-2)* (TIME(17,30,0)-TIME(8,30,0))
)
)
)</f>
        <v>635.183333333333</v>
      </c>
      <c r="AY266" s="20" t="n">
        <f aca="false">ROUND(
IF(AS266=AU266,
MAX(0,
(MIN(MOD(AV266,1),TIME(17,30,0))-
MAX(MOD(AT266,1),TIME(8,30,0)))*24
),
(
(MAX(0,TIME(17,30,0)-MAX(MOD(AT266,1),TIME(8,30,0)))*24)
+
(MAX(0,MIN(MOD(AV266,1),TIME(17,30,0))-TIME(8,30,0))*24)
+
(MAX(0,NETWORKDAYS(AS266+1,AU266-1))*9)
)
),
2)</f>
        <v>635.18</v>
      </c>
      <c r="AZ266" s="0" t="n">
        <f aca="false" t="array" ref="AZ266:AZ266">_xlfn.XLOOKUP(J266,{"Low","Medium","High"},{270,72,24})</f>
        <v>270</v>
      </c>
      <c r="BA266" s="0" t="str">
        <f aca="false">IF(AW266&gt;AZ266,"Not Met","Met")</f>
        <v>Not Met</v>
      </c>
      <c r="BB266" s="21" t="str">
        <f aca="false">IF(AS266="","",TEXT(AS266,"MMM")&amp;"'"&amp;TEXT(AS266,"yy"))</f>
        <v>Mar'26</v>
      </c>
      <c r="BC266" s="0" t="str">
        <f aca="false">IF(AU266="","",TEXT(AU266,"MMM")&amp;"'"&amp;TEXT(AU266,"yy"))</f>
        <v>Jul'26</v>
      </c>
      <c r="BE266" s="0" t="s">
        <v>144</v>
      </c>
    </row>
    <row r="267" customFormat="false" ht="15" hidden="false" customHeight="false" outlineLevel="0" collapsed="false">
      <c r="A267" s="1" t="s">
        <v>943</v>
      </c>
      <c r="B267" s="11" t="n">
        <v>46113</v>
      </c>
      <c r="C267" s="12" t="n">
        <v>0.121527777777778</v>
      </c>
      <c r="D267" s="13" t="str">
        <f aca="false">IF(B267="","",TEXT(B267,"MMM")&amp;"'"&amp;TEXT(B267,"yy"))</f>
        <v>Apr'26</v>
      </c>
      <c r="E267" s="27" t="s">
        <v>55</v>
      </c>
      <c r="F267" s="1" t="s">
        <v>39</v>
      </c>
      <c r="G267" s="1" t="str">
        <f aca="false">IF(F267="Closed","Closed","Pending")</f>
        <v>Closed</v>
      </c>
      <c r="H267" s="1" t="s">
        <v>81</v>
      </c>
      <c r="I267" s="26" t="s">
        <v>82</v>
      </c>
      <c r="J267" s="26" t="s">
        <v>58</v>
      </c>
      <c r="K267" s="40" t="s">
        <v>59</v>
      </c>
      <c r="L267" s="26" t="s">
        <v>944</v>
      </c>
      <c r="M267" s="1" t="s">
        <v>945</v>
      </c>
      <c r="N267" s="1" t="s">
        <v>62</v>
      </c>
      <c r="O267" s="1" t="s">
        <v>63</v>
      </c>
      <c r="Q267" s="1" t="s">
        <v>229</v>
      </c>
      <c r="R267" s="1" t="s">
        <v>87</v>
      </c>
      <c r="U267" s="12" t="n">
        <v>0.122916666666667</v>
      </c>
      <c r="V267" s="11" t="n">
        <v>46119</v>
      </c>
      <c r="W267" s="12" t="n">
        <v>0.763194444444444</v>
      </c>
      <c r="X267" s="11" t="n">
        <v>46122</v>
      </c>
      <c r="Y267" s="12" t="n">
        <v>0.86875</v>
      </c>
      <c r="Z267" s="1" t="s">
        <v>108</v>
      </c>
      <c r="AA267" s="1" t="s">
        <v>68</v>
      </c>
      <c r="AB267" s="2" t="e">
        <f aca="false">U267-F267</f>
        <v>#VALUE!</v>
      </c>
      <c r="AC267" s="14" t="n">
        <f aca="false">(V267+W267)-(B267+C267)</f>
        <v>6.64166666666667</v>
      </c>
      <c r="AD267" s="4" t="str">
        <f aca="false">INT((V267+W267)-(B267+C267)) &amp; ":" &amp;
TEXT(HOUR((V267+W267)-(B267+C267)), "00") &amp; ":" &amp;
TEXT(MINUTE((V267+W267)-(B267+C267)), "00")</f>
        <v>6:15:24</v>
      </c>
      <c r="AE267" s="1" t="n">
        <f aca="false">IFERROR(
LEFT(AD267,FIND(":",AD267)-1)
+ MID(AD267,FIND(":",AD267)+1,2)/24
+ RIGHT(AD267,2)/1440,
"")</f>
        <v>6.64166666666667</v>
      </c>
      <c r="AF267" s="4" t="str">
        <f aca="false">INT((X267+Y267)-(B267+C267)) &amp; ":" &amp;
TEXT(HOUR((X267+Y267)-(B267+C267)), "00") &amp; ":" &amp;
TEXT(MINUTE((X267+Y267)-(B267+C267)), "00")</f>
        <v>9:17:56</v>
      </c>
      <c r="AG267" s="4" t="str">
        <f aca="false" t="array" ref="AG267:AG267">INT(_xlfn.XLOOKUP(J267,{"Low","Medium","High","Urgent"},{48,24,12,8})/24) &amp; ":" &amp;
TEXT(MOD(_xlfn.XLOOKUP(J267,{"Low","Medium","High","Urgent"},{48,24,12,8}),24)/24,"hh:mm")</f>
        <v>1:00:00</v>
      </c>
      <c r="AH267" s="4" t="str">
        <f aca="false">IF(AD267&gt;AG267,"Not Met","Met")</f>
        <v>Not Met</v>
      </c>
      <c r="AI267" s="4" t="e">
        <f aca="false">IF(AB267&lt;TIME(0,30,0),"Met","Not Met")</f>
        <v>#VALUE!</v>
      </c>
      <c r="AN267" s="1" t="str">
        <f aca="false">TEXT(B267,"dd")</f>
        <v>01</v>
      </c>
      <c r="AO267" s="1" t="str">
        <f aca="false">TEXT(X267,"dd")</f>
        <v>10</v>
      </c>
      <c r="AP267" s="16" t="str">
        <f aca="false">INT(
  NETWORKDAYS(B267,V267)-1
  + IF(WEEKDAY(V267,2)&lt;6,MOD(V267+W267,1),0)
  - IF(WEEKDAY(B267,2)&lt;6,MOD(B267+C267,1),0)
)
&amp; ":" &amp;
TEXT(HOUR(
  NETWORKDAYS(B267,V267)-1
  + IF(WEEKDAY(V267,2)&lt;6,MOD(V267+W267,1),0)
  - IF(WEEKDAY(B267,2)&lt;6,MOD(B267+C267,1),0)
),"00")
&amp; ":" &amp;
TEXT(MINUTE(
  NETWORKDAYS(B267,V267)-1
  + IF(WEEKDAY(V267,2)&lt;6,MOD(V267+W267,1),0)
  - IF(WEEKDAY(B267,2)&lt;6,MOD(B267+C267,1),0)
),"00")</f>
        <v>4:15:23</v>
      </c>
      <c r="AQ267" s="0" t="n">
        <f aca="false">IFERROR(
LEFT(AP267,FIND(":",AP267)-1)
+ MID(AP267,FIND(":",AP267)+1,2)/24
+ RIGHT(AP267,2)/1440,
"")</f>
        <v>4.64097222222222</v>
      </c>
      <c r="AR267" s="0" t="n">
        <f aca="false">WEEKNUM(B267,1)</f>
        <v>14</v>
      </c>
      <c r="AS267" s="17" t="n">
        <f aca="false">IF(B267&gt;0, (B267+C267)-TIME(13,30,0), "")</f>
        <v>46112.5590277778</v>
      </c>
      <c r="AT267" s="18" t="n">
        <f aca="false">IF(B267&gt;0, (B267+C267)-TIME(13,30,0), "")</f>
        <v>46112.5590277778</v>
      </c>
      <c r="AU267" s="17" t="n">
        <f aca="false">IF(V267&gt;0, (V267+W267)-TIME(13,30,0), "")</f>
        <v>46119.2006944444</v>
      </c>
      <c r="AV267" s="18" t="n">
        <f aca="false">IF(V267&gt;0, (V267+W267)-TIME(13,30,0), "")</f>
        <v>46119.2006944444</v>
      </c>
      <c r="AW267" s="19" t="n">
        <f aca="false">24*(
MAX(0,
IF(NETWORKDAYS(AS267,AU267)=1,
MIN(MOD(AV267,1),TIME(17,30,0)) - MAX(MOD(AT267,1),TIME(8,30,0)),
(TIME(17,30,0)-MAX(MOD(AT267,1),TIME(8,30,0)))
+ (MIN(MOD(AV267,1),TIME(17,30,0))-TIME(8,30,0))
+ (NETWORKDAYS(AS267,AU267)-2)*9/24
)
)
)</f>
        <v>36.4</v>
      </c>
      <c r="AX267" s="19" t="n">
        <f aca="false">24*(
MAX(0,
IF(NETWORKDAYS(AS267,AU267)=1,
MIN(MOD(AV267,1),TIME(17,30,0)) - MAX(MOD(AT267,1),TIME(8,30,0)),
(TIME(17,30,0)-MAX(MOD(AT267,1),TIME(8,30,0)))
+ (MIN(MOD(AV267,1),TIME(17,30,0))-TIME(8,30,0))
+ (NETWORKDAYS(AS267,AU267)-2)* (TIME(17,30,0)-TIME(8,30,0))
)
)
)</f>
        <v>36.4</v>
      </c>
      <c r="AY267" s="20" t="n">
        <f aca="false">ROUND(
IF(AS267=AU267,
MAX(0,
(MIN(MOD(AV267,1),TIME(17,30,0))-
MAX(MOD(AT267,1),TIME(8,30,0)))*24
),
(
(MAX(0,TIME(17,30,0)-MAX(MOD(AT267,1),TIME(8,30,0)))*24)
+
(MAX(0,MIN(MOD(AV267,1),TIME(17,30,0))-TIME(8,30,0))*24)
+
(MAX(0,NETWORKDAYS(AS267+1,AU267-1))*9)
)
),
2)</f>
        <v>40.08</v>
      </c>
      <c r="AZ267" s="0" t="n">
        <f aca="false" t="array" ref="AZ267:AZ267">_xlfn.XLOOKUP(J267,{"Low","Medium","High"},{270,72,24})</f>
        <v>72</v>
      </c>
      <c r="BA267" s="0" t="str">
        <f aca="false">IF(AW267&gt;AZ267,"Not Met","Met")</f>
        <v>Met</v>
      </c>
      <c r="BB267" s="21" t="str">
        <f aca="false">IF(AS267="","",TEXT(AS267,"MMM")&amp;"'"&amp;TEXT(AS267,"yy"))</f>
        <v>Mar'26</v>
      </c>
      <c r="BC267" s="0" t="str">
        <f aca="false">IF(AU267="","",TEXT(AU267,"MMM")&amp;"'"&amp;TEXT(AU267,"yy"))</f>
        <v>Apr'26</v>
      </c>
    </row>
    <row r="268" customFormat="false" ht="15.5" hidden="false" customHeight="false" outlineLevel="0" collapsed="false">
      <c r="A268" s="1" t="s">
        <v>946</v>
      </c>
      <c r="B268" s="11" t="n">
        <v>46113</v>
      </c>
      <c r="C268" s="12" t="n">
        <v>0.882638888888889</v>
      </c>
      <c r="D268" s="13" t="str">
        <f aca="false">IF(B268="","",TEXT(B268,"MMM")&amp;"'"&amp;TEXT(B268,"yy"))</f>
        <v>Apr'26</v>
      </c>
      <c r="E268" s="27" t="s">
        <v>55</v>
      </c>
      <c r="F268" s="1" t="s">
        <v>39</v>
      </c>
      <c r="G268" s="1" t="str">
        <f aca="false">IF(F268="Closed","Closed","Pending")</f>
        <v>Closed</v>
      </c>
      <c r="H268" s="1" t="s">
        <v>56</v>
      </c>
      <c r="I268" s="1" t="s">
        <v>82</v>
      </c>
      <c r="J268" s="1" t="s">
        <v>74</v>
      </c>
      <c r="K268" s="1" t="s">
        <v>59</v>
      </c>
      <c r="L268" s="1" t="s">
        <v>947</v>
      </c>
      <c r="M268" s="35" t="s">
        <v>752</v>
      </c>
      <c r="N268" s="1" t="s">
        <v>65</v>
      </c>
      <c r="O268" s="1" t="s">
        <v>106</v>
      </c>
      <c r="Q268" s="1" t="s">
        <v>65</v>
      </c>
      <c r="R268" s="1" t="s">
        <v>490</v>
      </c>
      <c r="U268" s="12" t="n">
        <v>0.8875</v>
      </c>
      <c r="V268" s="11" t="n">
        <v>46114</v>
      </c>
      <c r="W268" s="12" t="n">
        <v>0.870138888888889</v>
      </c>
      <c r="X268" s="11" t="n">
        <v>46119</v>
      </c>
      <c r="Y268" s="12" t="n">
        <v>0.0277777777777778</v>
      </c>
      <c r="Z268" s="1" t="s">
        <v>67</v>
      </c>
      <c r="AA268" s="1" t="s">
        <v>68</v>
      </c>
      <c r="AB268" s="2" t="e">
        <f aca="false">U268-F268</f>
        <v>#VALUE!</v>
      </c>
      <c r="AC268" s="14" t="n">
        <f aca="false">(V268+W268)-(B268+C268)</f>
        <v>0.9875</v>
      </c>
      <c r="AD268" s="4" t="str">
        <f aca="false">INT((V268+W268)-(B268+C268)) &amp; ":" &amp;
TEXT(HOUR((V268+W268)-(B268+C268)), "00") &amp; ":" &amp;
TEXT(MINUTE((V268+W268)-(B268+C268)), "00")</f>
        <v>0:23:42</v>
      </c>
      <c r="AE268" s="1" t="n">
        <f aca="false">IFERROR(
LEFT(AD268,FIND(":",AD268)-1)
+ MID(AD268,FIND(":",AD268)+1,2)/24
+ RIGHT(AD268,2)/1440,
"")</f>
        <v>0.9875</v>
      </c>
      <c r="AF268" s="4" t="str">
        <f aca="false">INT((X268+Y268)-(B268+C268)) &amp; ":" &amp;
TEXT(HOUR((X268+Y268)-(B268+C268)), "00") &amp; ":" &amp;
TEXT(MINUTE((X268+Y268)-(B268+C268)), "00")</f>
        <v>5:03:29</v>
      </c>
      <c r="AG268" s="4" t="str">
        <f aca="false" t="array" ref="AG268:AG268">INT(_xlfn.XLOOKUP(J268,{"Low","Medium","High","Urgent"},{48,24,12,8})/24) &amp; ":" &amp;
TEXT(MOD(_xlfn.XLOOKUP(J268,{"Low","Medium","High","Urgent"},{48,24,12,8}),24)/24,"hh:mm")</f>
        <v>2:00:00</v>
      </c>
      <c r="AH268" s="4" t="str">
        <f aca="false">IF(AD268&gt;AG268,"Not Met","Met")</f>
        <v>Met</v>
      </c>
      <c r="AI268" s="4" t="e">
        <f aca="false">IF(AB268&lt;TIME(0,30,0),"Met","Not Met")</f>
        <v>#VALUE!</v>
      </c>
      <c r="AN268" s="1" t="str">
        <f aca="false">TEXT(B268,"dd")</f>
        <v>01</v>
      </c>
      <c r="AO268" s="1" t="str">
        <f aca="false">TEXT(X268,"dd")</f>
        <v>07</v>
      </c>
      <c r="AP268" s="16" t="str">
        <f aca="false">INT(
  NETWORKDAYS(B268,V268)-1
  + IF(WEEKDAY(V268,2)&lt;6,MOD(V268+W268,1),0)
  - IF(WEEKDAY(B268,2)&lt;6,MOD(B268+C268,1),0)
)
&amp; ":" &amp;
TEXT(HOUR(
  NETWORKDAYS(B268,V268)-1
  + IF(WEEKDAY(V268,2)&lt;6,MOD(V268+W268,1),0)
  - IF(WEEKDAY(B268,2)&lt;6,MOD(B268+C268,1),0)
),"00")
&amp; ":" &amp;
TEXT(MINUTE(
  NETWORKDAYS(B268,V268)-1
  + IF(WEEKDAY(V268,2)&lt;6,MOD(V268+W268,1),0)
  - IF(WEEKDAY(B268,2)&lt;6,MOD(B268+C268,1),0)
),"00")</f>
        <v>0:23:41</v>
      </c>
      <c r="AQ268" s="0" t="n">
        <f aca="false">IFERROR(
LEFT(AP268,FIND(":",AP268)-1)
+ MID(AP268,FIND(":",AP268)+1,2)/24
+ RIGHT(AP268,2)/1440,
"")</f>
        <v>0.986805555555556</v>
      </c>
      <c r="AR268" s="0" t="n">
        <f aca="false">WEEKNUM(B268,1)</f>
        <v>14</v>
      </c>
      <c r="AS268" s="17" t="n">
        <f aca="false">IF(B268&gt;0, (B268+C268)-TIME(13,30,0), "")</f>
        <v>46113.3201388889</v>
      </c>
      <c r="AT268" s="18" t="n">
        <f aca="false">IF(B268&gt;0, (B268+C268)-TIME(13,30,0), "")</f>
        <v>46113.3201388889</v>
      </c>
      <c r="AU268" s="17" t="n">
        <f aca="false">IF(V268&gt;0, (V268+W268)-TIME(13,30,0), "")</f>
        <v>46114.3076388889</v>
      </c>
      <c r="AV268" s="18" t="n">
        <f aca="false">IF(V268&gt;0, (V268+W268)-TIME(13,30,0), "")</f>
        <v>46114.3076388889</v>
      </c>
      <c r="AW268" s="19" t="n">
        <f aca="false">24*(
MAX(0,
IF(NETWORKDAYS(AS268,AU268)=1,
MIN(MOD(AV268,1),TIME(17,30,0)) - MAX(MOD(AT268,1),TIME(8,30,0)),
(TIME(17,30,0)-MAX(MOD(AT268,1),TIME(8,30,0)))
+ (MIN(MOD(AV268,1),TIME(17,30,0))-TIME(8,30,0))
+ (NETWORKDAYS(AS268,AU268)-2)*9/24
)
)
)</f>
        <v>7.88333333333333</v>
      </c>
      <c r="AX268" s="19" t="n">
        <f aca="false">24*(
MAX(0,
IF(NETWORKDAYS(AS268,AU268)=1,
MIN(MOD(AV268,1),TIME(17,30,0)) - MAX(MOD(AT268,1),TIME(8,30,0)),
(TIME(17,30,0)-MAX(MOD(AT268,1),TIME(8,30,0)))
+ (MIN(MOD(AV268,1),TIME(17,30,0))-TIME(8,30,0))
+ (NETWORKDAYS(AS268,AU268)-2)* (TIME(17,30,0)-TIME(8,30,0))
)
)
)</f>
        <v>7.88333333333333</v>
      </c>
      <c r="AY268" s="20" t="n">
        <f aca="false">ROUND(
IF(AS268=AU268,
MAX(0,
(MIN(MOD(AV268,1),TIME(17,30,0))-
MAX(MOD(AT268,1),TIME(8,30,0)))*24
),
(
(MAX(0,TIME(17,30,0)-MAX(MOD(AT268,1),TIME(8,30,0)))*24)
+
(MAX(0,MIN(MOD(AV268,1),TIME(17,30,0))-TIME(8,30,0))*24)
+
(MAX(0,NETWORKDAYS(AS268+1,AU268-1))*9)
)
),
2)</f>
        <v>9</v>
      </c>
      <c r="AZ268" s="0" t="n">
        <f aca="false" t="array" ref="AZ268:AZ268">_xlfn.XLOOKUP(J268,{"Low","Medium","High"},{270,72,24})</f>
        <v>270</v>
      </c>
      <c r="BA268" s="0" t="str">
        <f aca="false">IF(AW268&gt;AZ268,"Not Met","Met")</f>
        <v>Met</v>
      </c>
      <c r="BB268" s="21" t="str">
        <f aca="false">IF(AS268="","",TEXT(AS268,"MMM")&amp;"'"&amp;TEXT(AS268,"yy"))</f>
        <v>Apr'26</v>
      </c>
      <c r="BC268" s="0" t="str">
        <f aca="false">IF(AU268="","",TEXT(AU268,"MMM")&amp;"'"&amp;TEXT(AU268,"yy"))</f>
        <v>Apr'26</v>
      </c>
    </row>
    <row r="269" customFormat="false" ht="15" hidden="false" customHeight="false" outlineLevel="0" collapsed="false">
      <c r="A269" s="1" t="s">
        <v>948</v>
      </c>
      <c r="B269" s="11" t="n">
        <v>46113</v>
      </c>
      <c r="C269" s="12" t="n">
        <v>0.99375</v>
      </c>
      <c r="D269" s="13" t="str">
        <f aca="false">IF(B269="","",TEXT(B269,"MMM")&amp;"'"&amp;TEXT(B269,"yy"))</f>
        <v>Apr'26</v>
      </c>
      <c r="E269" s="27" t="s">
        <v>55</v>
      </c>
      <c r="F269" s="1" t="s">
        <v>39</v>
      </c>
      <c r="G269" s="1" t="str">
        <f aca="false">IF(F269="Closed","Closed","Pending")</f>
        <v>Closed</v>
      </c>
      <c r="H269" s="42" t="s">
        <v>72</v>
      </c>
      <c r="I269" s="1" t="s">
        <v>639</v>
      </c>
      <c r="J269" s="42" t="s">
        <v>74</v>
      </c>
      <c r="K269" s="42" t="s">
        <v>59</v>
      </c>
      <c r="L269" s="42" t="s">
        <v>787</v>
      </c>
      <c r="M269" s="1" t="s">
        <v>282</v>
      </c>
      <c r="N269" s="1" t="s">
        <v>65</v>
      </c>
      <c r="O269" s="1" t="s">
        <v>106</v>
      </c>
      <c r="Q269" s="1" t="s">
        <v>65</v>
      </c>
      <c r="R269" s="1" t="s">
        <v>87</v>
      </c>
      <c r="U269" s="25" t="n">
        <v>46114.0055555556</v>
      </c>
      <c r="V269" s="11" t="n">
        <v>46115</v>
      </c>
      <c r="W269" s="12" t="n">
        <v>0.119444444444444</v>
      </c>
      <c r="X269" s="11" t="n">
        <v>46115</v>
      </c>
      <c r="Y269" s="12" t="n">
        <v>0.135416666666667</v>
      </c>
      <c r="Z269" s="1" t="s">
        <v>67</v>
      </c>
      <c r="AA269" s="1" t="s">
        <v>68</v>
      </c>
      <c r="AB269" s="2" t="n">
        <v>0.0118055555555556</v>
      </c>
      <c r="AC269" s="14" t="n">
        <f aca="false">(V269+W269)-(B269+C269)</f>
        <v>1.12569444444444</v>
      </c>
      <c r="AD269" s="4" t="str">
        <f aca="false">INT((V269+W269)-(B269+C269)) &amp; ":" &amp;
TEXT(HOUR((V269+W269)-(B269+C269)), "00") &amp; ":" &amp;
TEXT(MINUTE((V269+W269)-(B269+C269)), "00")</f>
        <v>1:03:01</v>
      </c>
      <c r="AE269" s="1" t="n">
        <f aca="false">IFERROR(
LEFT(AD269,FIND(":",AD269)-1)
+ MID(AD269,FIND(":",AD269)+1,2)/24
+ RIGHT(AD269,2)/1440,
"")</f>
        <v>1.12569444444444</v>
      </c>
      <c r="AF269" s="4" t="str">
        <f aca="false">INT((X269+Y269)-(B269+C269)) &amp; ":" &amp;
TEXT(HOUR((X269+Y269)-(B269+C269)), "00") &amp; ":" &amp;
TEXT(MINUTE((X269+Y269)-(B269+C269)), "00")</f>
        <v>1:03:24</v>
      </c>
      <c r="AG269" s="4" t="str">
        <f aca="false" t="array" ref="AG269:AG269">INT(_xlfn.XLOOKUP(J269,{"Low","Medium","High","Urgent"},{48,24,12,8})/24) &amp; ":" &amp;
TEXT(MOD(_xlfn.XLOOKUP(J269,{"Low","Medium","High","Urgent"},{48,24,12,8}),24)/24,"hh:mm")</f>
        <v>2:00:00</v>
      </c>
      <c r="AH269" s="4" t="str">
        <f aca="false">IF(AD269&gt;AG269,"Not Met","Met")</f>
        <v>Met</v>
      </c>
      <c r="AI269" s="4" t="str">
        <f aca="false">IF(AB269&lt;TIME(0,30,0),"Met","Not Met")</f>
        <v>Met</v>
      </c>
      <c r="AN269" s="1" t="str">
        <f aca="false">TEXT(B269,"dd")</f>
        <v>01</v>
      </c>
      <c r="AO269" s="1" t="str">
        <f aca="false">TEXT(X269,"dd")</f>
        <v>03</v>
      </c>
      <c r="AP269" s="16" t="str">
        <f aca="false">INT(
  NETWORKDAYS(B269,V269)-1
  + IF(WEEKDAY(V269,2)&lt;6,MOD(V269+W269,1),0)
  - IF(WEEKDAY(B269,2)&lt;6,MOD(B269+C269,1),0)
)
&amp; ":" &amp;
TEXT(HOUR(
  NETWORKDAYS(B269,V269)-1
  + IF(WEEKDAY(V269,2)&lt;6,MOD(V269+W269,1),0)
  - IF(WEEKDAY(B269,2)&lt;6,MOD(B269+C269,1),0)
),"00")
&amp; ":" &amp;
TEXT(MINUTE(
  NETWORKDAYS(B269,V269)-1
  + IF(WEEKDAY(V269,2)&lt;6,MOD(V269+W269,1),0)
  - IF(WEEKDAY(B269,2)&lt;6,MOD(B269+C269,1),0)
),"00")</f>
        <v>1:03:00</v>
      </c>
      <c r="AQ269" s="0" t="n">
        <f aca="false">IFERROR(
LEFT(AP269,FIND(":",AP269)-1)
+ MID(AP269,FIND(":",AP269)+1,2)/24
+ RIGHT(AP269,2)/1440,
"")</f>
        <v>1.125</v>
      </c>
      <c r="AR269" s="0" t="n">
        <f aca="false">WEEKNUM(B269,1)</f>
        <v>14</v>
      </c>
      <c r="AS269" s="17" t="n">
        <f aca="false">IF(B269&gt;0, (B269+C269)-TIME(13,30,0), "")</f>
        <v>46113.43125</v>
      </c>
      <c r="AT269" s="18" t="n">
        <f aca="false">IF(B269&gt;0, (B269+C269)-TIME(13,30,0), "")</f>
        <v>46113.43125</v>
      </c>
      <c r="AU269" s="17" t="n">
        <f aca="false">IF(V269&gt;0, (V269+W269)-TIME(13,30,0), "")</f>
        <v>46114.5569444444</v>
      </c>
      <c r="AV269" s="18" t="n">
        <f aca="false">IF(V269&gt;0, (V269+W269)-TIME(13,30,0), "")</f>
        <v>46114.5569444444</v>
      </c>
      <c r="AW269" s="19" t="n">
        <f aca="false">24*(
MAX(0,
IF(NETWORKDAYS(AS269,AU269)=1,
MIN(MOD(AV269,1),TIME(17,30,0)) - MAX(MOD(AT269,1),TIME(8,30,0)),
(TIME(17,30,0)-MAX(MOD(AT269,1),TIME(8,30,0)))
+ (MIN(MOD(AV269,1),TIME(17,30,0))-TIME(8,30,0))
+ (NETWORKDAYS(AS269,AU269)-2)*9/24
)
)
)</f>
        <v>12.0166666665811</v>
      </c>
      <c r="AX269" s="19" t="n">
        <f aca="false">24*(
MAX(0,
IF(NETWORKDAYS(AS269,AU269)=1,
MIN(MOD(AV269,1),TIME(17,30,0)) - MAX(MOD(AT269,1),TIME(8,30,0)),
(TIME(17,30,0)-MAX(MOD(AT269,1),TIME(8,30,0)))
+ (MIN(MOD(AV269,1),TIME(17,30,0))-TIME(8,30,0))
+ (NETWORKDAYS(AS269,AU269)-2)* (TIME(17,30,0)-TIME(8,30,0))
)
)
)</f>
        <v>12.0166666665811</v>
      </c>
      <c r="AY269" s="20" t="n">
        <f aca="false">ROUND(
IF(AS269=AU269,
MAX(0,
(MIN(MOD(AV269,1),TIME(17,30,0))-
MAX(MOD(AT269,1),TIME(8,30,0)))*24
),
(
(MAX(0,TIME(17,30,0)-MAX(MOD(AT269,1),TIME(8,30,0)))*24)
+
(MAX(0,MIN(MOD(AV269,1),TIME(17,30,0))-TIME(8,30,0))*24)
+
(MAX(0,NETWORKDAYS(AS269+1,AU269-1))*9)
)
),
2)</f>
        <v>12.02</v>
      </c>
      <c r="AZ269" s="0" t="n">
        <f aca="false" t="array" ref="AZ269:AZ269">_xlfn.XLOOKUP(J269,{"Low","Medium","High"},{270,72,24})</f>
        <v>270</v>
      </c>
      <c r="BA269" s="0" t="str">
        <f aca="false">IF(AW269&gt;AZ269,"Not Met","Met")</f>
        <v>Met</v>
      </c>
      <c r="BB269" s="21" t="str">
        <f aca="false">IF(AS269="","",TEXT(AS269,"MMM")&amp;"'"&amp;TEXT(AS269,"yy"))</f>
        <v>Apr'26</v>
      </c>
      <c r="BC269" s="0" t="str">
        <f aca="false">IF(AU269="","",TEXT(AU269,"MMM")&amp;"'"&amp;TEXT(AU269,"yy"))</f>
        <v>Apr'26</v>
      </c>
    </row>
    <row r="270" customFormat="false" ht="15" hidden="false" customHeight="false" outlineLevel="0" collapsed="false">
      <c r="A270" s="1" t="s">
        <v>949</v>
      </c>
      <c r="B270" s="11" t="n">
        <v>46115</v>
      </c>
      <c r="C270" s="12" t="n">
        <v>0.109722222222222</v>
      </c>
      <c r="D270" s="13" t="str">
        <f aca="false">IF(B270="","",TEXT(B270,"MMM")&amp;"'"&amp;TEXT(B270,"yy"))</f>
        <v>Apr'26</v>
      </c>
      <c r="E270" s="27" t="s">
        <v>55</v>
      </c>
      <c r="F270" s="1" t="s">
        <v>39</v>
      </c>
      <c r="G270" s="1" t="str">
        <f aca="false">IF(F270="Closed","Closed","Pending")</f>
        <v>Closed</v>
      </c>
      <c r="H270" s="1" t="s">
        <v>185</v>
      </c>
      <c r="I270" s="1" t="s">
        <v>186</v>
      </c>
      <c r="J270" s="1" t="s">
        <v>74</v>
      </c>
      <c r="K270" s="1" t="s">
        <v>59</v>
      </c>
      <c r="L270" s="1" t="s">
        <v>950</v>
      </c>
      <c r="M270" s="1" t="s">
        <v>951</v>
      </c>
      <c r="N270" s="1" t="s">
        <v>65</v>
      </c>
      <c r="O270" s="1" t="s">
        <v>106</v>
      </c>
      <c r="Q270" s="1" t="s">
        <v>65</v>
      </c>
      <c r="R270" s="1" t="s">
        <v>490</v>
      </c>
      <c r="U270" s="12" t="n">
        <v>0.1125</v>
      </c>
      <c r="V270" s="11" t="n">
        <v>46122</v>
      </c>
      <c r="W270" s="12" t="n">
        <v>0.8125</v>
      </c>
      <c r="X270" s="11" t="n">
        <v>46122</v>
      </c>
      <c r="Y270" s="12" t="n">
        <v>0.868055555555556</v>
      </c>
      <c r="Z270" s="1" t="s">
        <v>67</v>
      </c>
      <c r="AA270" s="1" t="s">
        <v>68</v>
      </c>
      <c r="AB270" s="2" t="e">
        <f aca="false">U270-F270</f>
        <v>#VALUE!</v>
      </c>
      <c r="AC270" s="14" t="n">
        <f aca="false">(V270+W270)-(B270+C270)</f>
        <v>7.70277777777778</v>
      </c>
      <c r="AD270" s="4" t="str">
        <f aca="false">INT((V270+W270)-(B270+C270)) &amp; ":" &amp;
TEXT(HOUR((V270+W270)-(B270+C270)), "00") &amp; ":" &amp;
TEXT(MINUTE((V270+W270)-(B270+C270)), "00")</f>
        <v>7:16:52</v>
      </c>
      <c r="AE270" s="1" t="n">
        <f aca="false">IFERROR(
LEFT(AD270,FIND(":",AD270)-1)
+ MID(AD270,FIND(":",AD270)+1,2)/24
+ RIGHT(AD270,2)/1440,
"")</f>
        <v>7.70277777777778</v>
      </c>
      <c r="AF270" s="4" t="str">
        <f aca="false">INT((X270+Y270)-(B270+C270)) &amp; ":" &amp;
TEXT(HOUR((X270+Y270)-(B270+C270)), "00") &amp; ":" &amp;
TEXT(MINUTE((X270+Y270)-(B270+C270)), "00")</f>
        <v>7:18:12</v>
      </c>
      <c r="AG270" s="4" t="str">
        <f aca="false" t="array" ref="AG270:AG270">INT(_xlfn.XLOOKUP(J270,{"Low","Medium","High","Urgent"},{48,24,12,8})/24) &amp; ":" &amp;
TEXT(MOD(_xlfn.XLOOKUP(J270,{"Low","Medium","High","Urgent"},{48,24,12,8}),24)/24,"hh:mm")</f>
        <v>2:00:00</v>
      </c>
      <c r="AH270" s="4" t="str">
        <f aca="false">IF(AD270&gt;AG270,"Not Met","Met")</f>
        <v>Not Met</v>
      </c>
      <c r="AI270" s="4" t="e">
        <f aca="false">IF(AB270&lt;TIME(0,30,0),"Met","Not Met")</f>
        <v>#VALUE!</v>
      </c>
      <c r="AN270" s="1" t="str">
        <f aca="false">TEXT(B270,"dd")</f>
        <v>03</v>
      </c>
      <c r="AO270" s="1" t="str">
        <f aca="false">TEXT(X270,"dd")</f>
        <v>10</v>
      </c>
      <c r="AP270" s="16" t="str">
        <f aca="false">INT(
  NETWORKDAYS(B270,V270)-1
  + IF(WEEKDAY(V270,2)&lt;6,MOD(V270+W270,1),0)
  - IF(WEEKDAY(B270,2)&lt;6,MOD(B270+C270,1),0)
)
&amp; ":" &amp;
TEXT(HOUR(
  NETWORKDAYS(B270,V270)-1
  + IF(WEEKDAY(V270,2)&lt;6,MOD(V270+W270,1),0)
  - IF(WEEKDAY(B270,2)&lt;6,MOD(B270+C270,1),0)
),"00")
&amp; ":" &amp;
TEXT(MINUTE(
  NETWORKDAYS(B270,V270)-1
  + IF(WEEKDAY(V270,2)&lt;6,MOD(V270+W270,1),0)
  - IF(WEEKDAY(B270,2)&lt;6,MOD(B270+C270,1),0)
),"00")</f>
        <v>5:16:51</v>
      </c>
      <c r="AQ270" s="0" t="n">
        <f aca="false">IFERROR(
LEFT(AP270,FIND(":",AP270)-1)
+ MID(AP270,FIND(":",AP270)+1,2)/24
+ RIGHT(AP270,2)/1440,
"")</f>
        <v>5.70208333333333</v>
      </c>
      <c r="AR270" s="0" t="n">
        <f aca="false">WEEKNUM(B270,1)</f>
        <v>14</v>
      </c>
      <c r="AS270" s="17" t="n">
        <f aca="false">IF(B270&gt;0, (B270+C270)-TIME(13,30,0), "")</f>
        <v>46114.5472222222</v>
      </c>
      <c r="AT270" s="18" t="n">
        <f aca="false">IF(B270&gt;0, (B270+C270)-TIME(13,30,0), "")</f>
        <v>46114.5472222222</v>
      </c>
      <c r="AU270" s="17" t="n">
        <f aca="false">IF(V270&gt;0, (V270+W270)-TIME(13,30,0), "")</f>
        <v>46122.25</v>
      </c>
      <c r="AV270" s="18" t="n">
        <f aca="false">IF(V270&gt;0, (V270+W270)-TIME(13,30,0), "")</f>
        <v>46122.25</v>
      </c>
      <c r="AW270" s="19" t="n">
        <f aca="false">24*(
MAX(0,
IF(NETWORKDAYS(AS270,AU270)=1,
MIN(MOD(AV270,1),TIME(17,30,0)) - MAX(MOD(AT270,1),TIME(8,30,0)),
(TIME(17,30,0)-MAX(MOD(AT270,1),TIME(8,30,0)))
+ (MIN(MOD(AV270,1),TIME(17,30,0))-TIME(8,30,0))
+ (NETWORKDAYS(AS270,AU270)-2)*9/24
)
)
)</f>
        <v>46.8666666666667</v>
      </c>
      <c r="AX270" s="19" t="n">
        <f aca="false">24*(
MAX(0,
IF(NETWORKDAYS(AS270,AU270)=1,
MIN(MOD(AV270,1),TIME(17,30,0)) - MAX(MOD(AT270,1),TIME(8,30,0)),
(TIME(17,30,0)-MAX(MOD(AT270,1),TIME(8,30,0)))
+ (MIN(MOD(AV270,1),TIME(17,30,0))-TIME(8,30,0))
+ (NETWORKDAYS(AS270,AU270)-2)* (TIME(17,30,0)-TIME(8,30,0))
)
)
)</f>
        <v>46.8666666666667</v>
      </c>
      <c r="AY270" s="20" t="n">
        <f aca="false">ROUND(
IF(AS270=AU270,
MAX(0,
(MIN(MOD(AV270,1),TIME(17,30,0))-
MAX(MOD(AT270,1),TIME(8,30,0)))*24
),
(
(MAX(0,TIME(17,30,0)-MAX(MOD(AT270,1),TIME(8,30,0)))*24)
+
(MAX(0,MIN(MOD(AV270,1),TIME(17,30,0))-TIME(8,30,0))*24)
+
(MAX(0,NETWORKDAYS(AS270+1,AU270-1))*9)
)
),
2)</f>
        <v>49.37</v>
      </c>
      <c r="AZ270" s="0" t="n">
        <f aca="false" t="array" ref="AZ270:AZ270">_xlfn.XLOOKUP(J270,{"Low","Medium","High"},{270,72,24})</f>
        <v>270</v>
      </c>
      <c r="BA270" s="0" t="str">
        <f aca="false">IF(AW270&gt;AZ270,"Not Met","Met")</f>
        <v>Met</v>
      </c>
      <c r="BB270" s="21" t="str">
        <f aca="false">IF(AS270="","",TEXT(AS270,"MMM")&amp;"'"&amp;TEXT(AS270,"yy"))</f>
        <v>Apr'26</v>
      </c>
      <c r="BC270" s="0" t="str">
        <f aca="false">IF(AU270="","",TEXT(AU270,"MMM")&amp;"'"&amp;TEXT(AU270,"yy"))</f>
        <v>Apr'26</v>
      </c>
    </row>
    <row r="271" customFormat="false" ht="15" hidden="false" customHeight="false" outlineLevel="0" collapsed="false">
      <c r="A271" s="1" t="s">
        <v>952</v>
      </c>
      <c r="B271" s="11" t="n">
        <v>46115</v>
      </c>
      <c r="C271" s="12" t="n">
        <v>0.869444444444445</v>
      </c>
      <c r="D271" s="13" t="str">
        <f aca="false">IF(B271="","",TEXT(B271,"MMM")&amp;"'"&amp;TEXT(B271,"yy"))</f>
        <v>Apr'26</v>
      </c>
      <c r="E271" s="27" t="s">
        <v>55</v>
      </c>
      <c r="F271" s="1" t="s">
        <v>39</v>
      </c>
      <c r="G271" s="1" t="str">
        <f aca="false">IF(F271="Closed","Closed","Pending")</f>
        <v>Closed</v>
      </c>
      <c r="H271" s="1" t="s">
        <v>120</v>
      </c>
      <c r="I271" s="1" t="s">
        <v>401</v>
      </c>
      <c r="J271" s="1" t="s">
        <v>74</v>
      </c>
      <c r="K271" s="1" t="s">
        <v>59</v>
      </c>
      <c r="L271" s="1" t="s">
        <v>953</v>
      </c>
      <c r="M271" s="35" t="s">
        <v>954</v>
      </c>
      <c r="N271" s="1" t="s">
        <v>143</v>
      </c>
      <c r="O271" s="1" t="s">
        <v>143</v>
      </c>
      <c r="Q271" s="1" t="s">
        <v>143</v>
      </c>
      <c r="R271" s="1" t="s">
        <v>66</v>
      </c>
      <c r="U271" s="12" t="n">
        <v>0.964583333333333</v>
      </c>
      <c r="V271" s="11" t="n">
        <v>46156</v>
      </c>
      <c r="W271" s="12" t="n">
        <v>0.891666666666667</v>
      </c>
      <c r="X271" s="11" t="n">
        <v>46156</v>
      </c>
      <c r="Y271" s="12" t="n">
        <v>0.934027777777778</v>
      </c>
      <c r="Z271" s="1" t="s">
        <v>67</v>
      </c>
      <c r="AA271" s="1" t="s">
        <v>68</v>
      </c>
      <c r="AB271" s="2" t="e">
        <f aca="false">U271-F271</f>
        <v>#VALUE!</v>
      </c>
      <c r="AC271" s="14" t="n">
        <f aca="false">(V271+W271)-(B271+C271)</f>
        <v>41.0222222222222</v>
      </c>
      <c r="AD271" s="4" t="str">
        <f aca="false">INT((V271+W271)-(B271+C271)) &amp; ":" &amp;
TEXT(HOUR((V271+W271)-(B271+C271)), "00") &amp; ":" &amp;
TEXT(MINUTE((V271+W271)-(B271+C271)), "00")</f>
        <v>41:00:32</v>
      </c>
      <c r="AE271" s="1" t="n">
        <f aca="false">IFERROR(
LEFT(AD271,FIND(":",AD271)-1)
+ MID(AD271,FIND(":",AD271)+1,2)/24
+ RIGHT(AD271,2)/1440,
"")</f>
        <v>41.0222222222222</v>
      </c>
      <c r="AF271" s="4" t="str">
        <f aca="false">INT((X271+Y271)-(B271+C271)) &amp; ":" &amp;
TEXT(HOUR((X271+Y271)-(B271+C271)), "00") &amp; ":" &amp;
TEXT(MINUTE((X271+Y271)-(B271+C271)), "00")</f>
        <v>41:01:33</v>
      </c>
      <c r="AG271" s="4" t="str">
        <f aca="false" t="array" ref="AG271:AG271">INT(_xlfn.XLOOKUP(J271,{"Low","Medium","High","Urgent"},{48,24,12,8})/24) &amp; ":" &amp;
TEXT(MOD(_xlfn.XLOOKUP(J271,{"Low","Medium","High","Urgent"},{48,24,12,8}),24)/24,"hh:mm")</f>
        <v>2:00:00</v>
      </c>
      <c r="AH271" s="4" t="str">
        <f aca="false">IF(AD271&gt;AG271,"Not Met","Met")</f>
        <v>Not Met</v>
      </c>
      <c r="AI271" s="4" t="e">
        <f aca="false">IF(AB271&lt;TIME(0,30,0),"Met","Not Met")</f>
        <v>#VALUE!</v>
      </c>
      <c r="AN271" s="1" t="str">
        <f aca="false">TEXT(B271,"dd")</f>
        <v>03</v>
      </c>
      <c r="AO271" s="1" t="str">
        <f aca="false">TEXT(X271,"dd")</f>
        <v>14</v>
      </c>
      <c r="AP271" s="16" t="str">
        <f aca="false">INT(
  NETWORKDAYS(B271,V271)-1
  + IF(WEEKDAY(V271,2)&lt;6,MOD(V271+W271,1),0)
  - IF(WEEKDAY(B271,2)&lt;6,MOD(B271+C271,1),0)
)
&amp; ":" &amp;
TEXT(HOUR(
  NETWORKDAYS(B271,V271)-1
  + IF(WEEKDAY(V271,2)&lt;6,MOD(V271+W271,1),0)
  - IF(WEEKDAY(B271,2)&lt;6,MOD(B271+C271,1),0)
),"00")
&amp; ":" &amp;
TEXT(MINUTE(
  NETWORKDAYS(B271,V271)-1
  + IF(WEEKDAY(V271,2)&lt;6,MOD(V271+W271,1),0)
  - IF(WEEKDAY(B271,2)&lt;6,MOD(B271+C271,1),0)
),"00")</f>
        <v>29:00:32</v>
      </c>
      <c r="AQ271" s="0" t="n">
        <f aca="false">IFERROR(
LEFT(AP271,FIND(":",AP271)-1)
+ MID(AP271,FIND(":",AP271)+1,2)/24
+ RIGHT(AP271,2)/1440,
"")</f>
        <v>29.0222222222222</v>
      </c>
      <c r="AR271" s="0" t="n">
        <f aca="false">WEEKNUM(B271,1)</f>
        <v>14</v>
      </c>
      <c r="AS271" s="17" t="n">
        <f aca="false">IF(B271&gt;0, (B271+C271)-TIME(13,30,0), "")</f>
        <v>46115.3069444444</v>
      </c>
      <c r="AT271" s="18" t="n">
        <f aca="false">IF(B271&gt;0, (B271+C271)-TIME(13,30,0), "")</f>
        <v>46115.3069444444</v>
      </c>
      <c r="AU271" s="17" t="n">
        <f aca="false">IF(V271&gt;0, (V271+W271)-TIME(13,30,0), "")</f>
        <v>46156.3291666667</v>
      </c>
      <c r="AV271" s="18" t="n">
        <f aca="false">IF(V271&gt;0, (V271+W271)-TIME(13,30,0), "")</f>
        <v>46156.3291666667</v>
      </c>
      <c r="AW271" s="19" t="n">
        <f aca="false">24*(
MAX(0,
IF(NETWORKDAYS(AS271,AU271)=1,
MIN(MOD(AV271,1),TIME(17,30,0)) - MAX(MOD(AT271,1),TIME(8,30,0)),
(TIME(17,30,0)-MAX(MOD(AT271,1),TIME(8,30,0)))
+ (MIN(MOD(AV271,1),TIME(17,30,0))-TIME(8,30,0))
+ (NETWORKDAYS(AS271,AU271)-2)*9/24
)
)
)</f>
        <v>260.4</v>
      </c>
      <c r="AX271" s="19" t="n">
        <f aca="false">24*(
MAX(0,
IF(NETWORKDAYS(AS271,AU271)=1,
MIN(MOD(AV271,1),TIME(17,30,0)) - MAX(MOD(AT271,1),TIME(8,30,0)),
(TIME(17,30,0)-MAX(MOD(AT271,1),TIME(8,30,0)))
+ (MIN(MOD(AV271,1),TIME(17,30,0))-TIME(8,30,0))
+ (NETWORKDAYS(AS271,AU271)-2)* (TIME(17,30,0)-TIME(8,30,0))
)
)
)</f>
        <v>260.4</v>
      </c>
      <c r="AY271" s="20" t="n">
        <f aca="false">ROUND(
IF(AS271=AU271,
MAX(0,
(MIN(MOD(AV271,1),TIME(17,30,0))-
MAX(MOD(AT271,1),TIME(8,30,0)))*24
),
(
(MAX(0,TIME(17,30,0)-MAX(MOD(AT271,1),TIME(8,30,0)))*24)
+
(MAX(0,MIN(MOD(AV271,1),TIME(17,30,0))-TIME(8,30,0))*24)
+
(MAX(0,NETWORKDAYS(AS271+1,AU271-1))*9)
)
),
2)</f>
        <v>261</v>
      </c>
      <c r="AZ271" s="0" t="n">
        <f aca="false" t="array" ref="AZ271:AZ271">_xlfn.XLOOKUP(J271,{"Low","Medium","High"},{270,72,24})</f>
        <v>270</v>
      </c>
      <c r="BA271" s="0" t="str">
        <f aca="false">IF(AW271&gt;AZ271,"Not Met","Met")</f>
        <v>Met</v>
      </c>
      <c r="BB271" s="21" t="str">
        <f aca="false">IF(AS271="","",TEXT(AS271,"MMM")&amp;"'"&amp;TEXT(AS271,"yy"))</f>
        <v>Apr'26</v>
      </c>
      <c r="BC271" s="0" t="str">
        <f aca="false">IF(AU271="","",TEXT(AU271,"MMM")&amp;"'"&amp;TEXT(AU271,"yy"))</f>
        <v>May'26</v>
      </c>
    </row>
    <row r="272" customFormat="false" ht="15" hidden="false" customHeight="false" outlineLevel="0" collapsed="false">
      <c r="A272" s="1" t="s">
        <v>955</v>
      </c>
      <c r="B272" s="11" t="n">
        <v>46115</v>
      </c>
      <c r="C272" s="12" t="n">
        <v>0.891666666666667</v>
      </c>
      <c r="D272" s="13" t="str">
        <f aca="false">IF(B272="","",TEXT(B272,"MMM")&amp;"'"&amp;TEXT(B272,"yy"))</f>
        <v>Apr'26</v>
      </c>
      <c r="E272" s="27" t="s">
        <v>55</v>
      </c>
      <c r="F272" s="1" t="s">
        <v>39</v>
      </c>
      <c r="G272" s="1" t="str">
        <f aca="false">IF(F272="Closed","Closed","Pending")</f>
        <v>Closed</v>
      </c>
      <c r="H272" s="1" t="s">
        <v>56</v>
      </c>
      <c r="I272" s="1" t="s">
        <v>82</v>
      </c>
      <c r="J272" s="1" t="s">
        <v>74</v>
      </c>
      <c r="K272" s="1" t="s">
        <v>59</v>
      </c>
      <c r="L272" s="1" t="s">
        <v>956</v>
      </c>
      <c r="M272" s="35" t="s">
        <v>151</v>
      </c>
      <c r="N272" s="1" t="s">
        <v>65</v>
      </c>
      <c r="O272" s="1" t="s">
        <v>106</v>
      </c>
      <c r="Q272" s="1" t="s">
        <v>65</v>
      </c>
      <c r="R272" s="1" t="s">
        <v>87</v>
      </c>
      <c r="U272" s="12" t="n">
        <v>0.975</v>
      </c>
      <c r="V272" s="11" t="n">
        <v>46120</v>
      </c>
      <c r="W272" s="12" t="n">
        <v>0.772916666666667</v>
      </c>
      <c r="X272" s="11" t="n">
        <v>46120</v>
      </c>
      <c r="Y272" s="12" t="n">
        <v>0.872222222222222</v>
      </c>
      <c r="Z272" s="1" t="s">
        <v>67</v>
      </c>
      <c r="AA272" s="1" t="s">
        <v>68</v>
      </c>
      <c r="AB272" s="2" t="e">
        <f aca="false">U272-F272</f>
        <v>#VALUE!</v>
      </c>
      <c r="AC272" s="14" t="n">
        <f aca="false">(V272+W272)-(B272+C272)</f>
        <v>4.88125</v>
      </c>
      <c r="AD272" s="4" t="str">
        <f aca="false">INT((V272+W272)-(B272+C272)) &amp; ":" &amp;
TEXT(HOUR((V272+W272)-(B272+C272)), "00") &amp; ":" &amp;
TEXT(MINUTE((V272+W272)-(B272+C272)), "00")</f>
        <v>4:21:09</v>
      </c>
      <c r="AE272" s="1" t="n">
        <f aca="false">IFERROR(
LEFT(AD272,FIND(":",AD272)-1)
+ MID(AD272,FIND(":",AD272)+1,2)/24
+ RIGHT(AD272,2)/1440,
"")</f>
        <v>4.88125</v>
      </c>
      <c r="AF272" s="4" t="str">
        <f aca="false">INT((X272+Y272)-(B272+C272)) &amp; ":" &amp;
TEXT(HOUR((X272+Y272)-(B272+C272)), "00") &amp; ":" &amp;
TEXT(MINUTE((X272+Y272)-(B272+C272)), "00")</f>
        <v>4:23:32</v>
      </c>
      <c r="AG272" s="4" t="str">
        <f aca="false" t="array" ref="AG272:AG272">INT(_xlfn.XLOOKUP(J272,{"Low","Medium","High","Urgent"},{48,24,12,8})/24) &amp; ":" &amp;
TEXT(MOD(_xlfn.XLOOKUP(J272,{"Low","Medium","High","Urgent"},{48,24,12,8}),24)/24,"hh:mm")</f>
        <v>2:00:00</v>
      </c>
      <c r="AH272" s="4" t="str">
        <f aca="false">IF(AD272&gt;AG272,"Not Met","Met")</f>
        <v>Not Met</v>
      </c>
      <c r="AI272" s="4" t="e">
        <f aca="false">IF(AB272&lt;TIME(0,30,0),"Met","Not Met")</f>
        <v>#VALUE!</v>
      </c>
      <c r="AN272" s="1" t="str">
        <f aca="false">TEXT(B272,"dd")</f>
        <v>03</v>
      </c>
      <c r="AO272" s="1" t="str">
        <f aca="false">TEXT(X272,"dd")</f>
        <v>08</v>
      </c>
      <c r="AP272" s="16" t="str">
        <f aca="false">INT(
  NETWORKDAYS(B272,V272)-1
  + IF(WEEKDAY(V272,2)&lt;6,MOD(V272+W272,1),0)
  - IF(WEEKDAY(B272,2)&lt;6,MOD(B272+C272,1),0)
)
&amp; ":" &amp;
TEXT(HOUR(
  NETWORKDAYS(B272,V272)-1
  + IF(WEEKDAY(V272,2)&lt;6,MOD(V272+W272,1),0)
  - IF(WEEKDAY(B272,2)&lt;6,MOD(B272+C272,1),0)
),"00")
&amp; ":" &amp;
TEXT(MINUTE(
  NETWORKDAYS(B272,V272)-1
  + IF(WEEKDAY(V272,2)&lt;6,MOD(V272+W272,1),0)
  - IF(WEEKDAY(B272,2)&lt;6,MOD(B272+C272,1),0)
),"00")</f>
        <v>2:21:08</v>
      </c>
      <c r="AQ272" s="0" t="n">
        <f aca="false">IFERROR(
LEFT(AP272,FIND(":",AP272)-1)
+ MID(AP272,FIND(":",AP272)+1,2)/24
+ RIGHT(AP272,2)/1440,
"")</f>
        <v>2.88055555555556</v>
      </c>
      <c r="AR272" s="0" t="n">
        <f aca="false">WEEKNUM(B272,1)</f>
        <v>14</v>
      </c>
      <c r="AS272" s="17" t="n">
        <f aca="false">IF(B272&gt;0, (B272+C272)-TIME(13,30,0), "")</f>
        <v>46115.3291666667</v>
      </c>
      <c r="AT272" s="18" t="n">
        <f aca="false">IF(B272&gt;0, (B272+C272)-TIME(13,30,0), "")</f>
        <v>46115.3291666667</v>
      </c>
      <c r="AU272" s="17" t="n">
        <f aca="false">IF(V272&gt;0, (V272+W272)-TIME(13,30,0), "")</f>
        <v>46120.2104166667</v>
      </c>
      <c r="AV272" s="18" t="n">
        <f aca="false">IF(V272&gt;0, (V272+W272)-TIME(13,30,0), "")</f>
        <v>46120.2104166667</v>
      </c>
      <c r="AW272" s="19" t="n">
        <f aca="false">24*(
MAX(0,
IF(NETWORKDAYS(AS272,AU272)=1,
MIN(MOD(AV272,1),TIME(17,30,0)) - MAX(MOD(AT272,1),TIME(8,30,0)),
(TIME(17,30,0)-MAX(MOD(AT272,1),TIME(8,30,0)))
+ (MIN(MOD(AV272,1),TIME(17,30,0))-TIME(8,30,0))
+ (NETWORKDAYS(AS272,AU272)-2)*9/24
)
)
)</f>
        <v>23.55</v>
      </c>
      <c r="AX272" s="19" t="n">
        <f aca="false">24*(
MAX(0,
IF(NETWORKDAYS(AS272,AU272)=1,
MIN(MOD(AV272,1),TIME(17,30,0)) - MAX(MOD(AT272,1),TIME(8,30,0)),
(TIME(17,30,0)-MAX(MOD(AT272,1),TIME(8,30,0)))
+ (MIN(MOD(AV272,1),TIME(17,30,0))-TIME(8,30,0))
+ (NETWORKDAYS(AS272,AU272)-2)* (TIME(17,30,0)-TIME(8,30,0))
)
)
)</f>
        <v>23.55</v>
      </c>
      <c r="AY272" s="20" t="n">
        <f aca="false">ROUND(
IF(AS272=AU272,
MAX(0,
(MIN(MOD(AV272,1),TIME(17,30,0))-
MAX(MOD(AT272,1),TIME(8,30,0)))*24
),
(
(MAX(0,TIME(17,30,0)-MAX(MOD(AT272,1),TIME(8,30,0)))*24)
+
(MAX(0,MIN(MOD(AV272,1),TIME(17,30,0))-TIME(8,30,0))*24)
+
(MAX(0,NETWORKDAYS(AS272+1,AU272-1))*9)
)
),
2)</f>
        <v>27</v>
      </c>
      <c r="AZ272" s="0" t="n">
        <f aca="false" t="array" ref="AZ272:AZ272">_xlfn.XLOOKUP(J272,{"Low","Medium","High"},{270,72,24})</f>
        <v>270</v>
      </c>
      <c r="BA272" s="0" t="str">
        <f aca="false">IF(AW272&gt;AZ272,"Not Met","Met")</f>
        <v>Met</v>
      </c>
      <c r="BB272" s="21" t="str">
        <f aca="false">IF(AS272="","",TEXT(AS272,"MMM")&amp;"'"&amp;TEXT(AS272,"yy"))</f>
        <v>Apr'26</v>
      </c>
      <c r="BC272" s="0" t="str">
        <f aca="false">IF(AU272="","",TEXT(AU272,"MMM")&amp;"'"&amp;TEXT(AU272,"yy"))</f>
        <v>Apr'26</v>
      </c>
    </row>
    <row r="273" customFormat="false" ht="15" hidden="false" customHeight="false" outlineLevel="0" collapsed="false">
      <c r="A273" s="1" t="s">
        <v>957</v>
      </c>
      <c r="B273" s="11" t="n">
        <v>46115</v>
      </c>
      <c r="C273" s="12" t="n">
        <v>0.938888888888889</v>
      </c>
      <c r="D273" s="13" t="str">
        <f aca="false">IF(B273="","",TEXT(B273,"MMM")&amp;"'"&amp;TEXT(B273,"yy"))</f>
        <v>Apr'26</v>
      </c>
      <c r="E273" s="27" t="s">
        <v>55</v>
      </c>
      <c r="F273" s="1" t="s">
        <v>39</v>
      </c>
      <c r="G273" s="1" t="str">
        <f aca="false">IF(F273="Closed","Closed","Pending")</f>
        <v>Closed</v>
      </c>
      <c r="H273" s="1" t="s">
        <v>72</v>
      </c>
      <c r="I273" s="1" t="s">
        <v>501</v>
      </c>
      <c r="J273" s="1" t="s">
        <v>74</v>
      </c>
      <c r="K273" s="1" t="s">
        <v>59</v>
      </c>
      <c r="L273" s="1" t="s">
        <v>958</v>
      </c>
      <c r="M273" s="35" t="s">
        <v>959</v>
      </c>
      <c r="N273" s="1" t="s">
        <v>65</v>
      </c>
      <c r="O273" s="1" t="s">
        <v>106</v>
      </c>
      <c r="Q273" s="1" t="s">
        <v>65</v>
      </c>
      <c r="R273" s="1" t="s">
        <v>426</v>
      </c>
      <c r="U273" s="12" t="n">
        <v>0.976388888888889</v>
      </c>
      <c r="V273" s="11" t="n">
        <v>46120</v>
      </c>
      <c r="W273" s="12" t="n">
        <v>0.775</v>
      </c>
      <c r="X273" s="11" t="n">
        <v>46120</v>
      </c>
      <c r="Y273" s="12" t="n">
        <v>0.815277777777778</v>
      </c>
      <c r="Z273" s="1" t="s">
        <v>67</v>
      </c>
      <c r="AA273" s="1" t="s">
        <v>68</v>
      </c>
      <c r="AB273" s="2" t="e">
        <f aca="false">U273-F273</f>
        <v>#VALUE!</v>
      </c>
      <c r="AC273" s="14" t="n">
        <f aca="false">(V273+W273)-(B273+C273)</f>
        <v>4.83611111111111</v>
      </c>
      <c r="AD273" s="4" t="str">
        <f aca="false">INT((V273+W273)-(B273+C273)) &amp; ":" &amp;
TEXT(HOUR((V273+W273)-(B273+C273)), "00") &amp; ":" &amp;
TEXT(MINUTE((V273+W273)-(B273+C273)), "00")</f>
        <v>4:20:04</v>
      </c>
      <c r="AE273" s="1" t="n">
        <f aca="false">IFERROR(
LEFT(AD273,FIND(":",AD273)-1)
+ MID(AD273,FIND(":",AD273)+1,2)/24
+ RIGHT(AD273,2)/1440,
"")</f>
        <v>4.83611111111111</v>
      </c>
      <c r="AF273" s="4" t="str">
        <f aca="false">INT((X273+Y273)-(B273+C273)) &amp; ":" &amp;
TEXT(HOUR((X273+Y273)-(B273+C273)), "00") &amp; ":" &amp;
TEXT(MINUTE((X273+Y273)-(B273+C273)), "00")</f>
        <v>4:21:02</v>
      </c>
      <c r="AG273" s="4" t="str">
        <f aca="false" t="array" ref="AG273:AG273">INT(_xlfn.XLOOKUP(J273,{"Low","Medium","High","Urgent"},{48,24,12,8})/24) &amp; ":" &amp;
TEXT(MOD(_xlfn.XLOOKUP(J273,{"Low","Medium","High","Urgent"},{48,24,12,8}),24)/24,"hh:mm")</f>
        <v>2:00:00</v>
      </c>
      <c r="AH273" s="4" t="str">
        <f aca="false">IF(AD273&gt;AG273,"Not Met","Met")</f>
        <v>Not Met</v>
      </c>
      <c r="AI273" s="4" t="e">
        <f aca="false">IF(AB273&lt;TIME(0,30,0),"Met","Not Met")</f>
        <v>#VALUE!</v>
      </c>
      <c r="AN273" s="1" t="str">
        <f aca="false">TEXT(B273,"dd")</f>
        <v>03</v>
      </c>
      <c r="AO273" s="1" t="str">
        <f aca="false">TEXT(X273,"dd")</f>
        <v>08</v>
      </c>
      <c r="AP273" s="16" t="str">
        <f aca="false">INT(
  NETWORKDAYS(B273,V273)-1
  + IF(WEEKDAY(V273,2)&lt;6,MOD(V273+W273,1),0)
  - IF(WEEKDAY(B273,2)&lt;6,MOD(B273+C273,1),0)
)
&amp; ":" &amp;
TEXT(HOUR(
  NETWORKDAYS(B273,V273)-1
  + IF(WEEKDAY(V273,2)&lt;6,MOD(V273+W273,1),0)
  - IF(WEEKDAY(B273,2)&lt;6,MOD(B273+C273,1),0)
),"00")
&amp; ":" &amp;
TEXT(MINUTE(
  NETWORKDAYS(B273,V273)-1
  + IF(WEEKDAY(V273,2)&lt;6,MOD(V273+W273,1),0)
  - IF(WEEKDAY(B273,2)&lt;6,MOD(B273+C273,1),0)
),"00")</f>
        <v>2:20:04</v>
      </c>
      <c r="AQ273" s="0" t="n">
        <f aca="false">IFERROR(
LEFT(AP273,FIND(":",AP273)-1)
+ MID(AP273,FIND(":",AP273)+1,2)/24
+ RIGHT(AP273,2)/1440,
"")</f>
        <v>2.83611111111111</v>
      </c>
      <c r="AR273" s="0" t="n">
        <f aca="false">WEEKNUM(B273,1)</f>
        <v>14</v>
      </c>
      <c r="AS273" s="17" t="n">
        <f aca="false">IF(B273&gt;0, (B273+C273)-TIME(13,30,0), "")</f>
        <v>46115.3763888889</v>
      </c>
      <c r="AT273" s="18" t="n">
        <f aca="false">IF(B273&gt;0, (B273+C273)-TIME(13,30,0), "")</f>
        <v>46115.3763888889</v>
      </c>
      <c r="AU273" s="17" t="n">
        <f aca="false">IF(V273&gt;0, (V273+W273)-TIME(13,30,0), "")</f>
        <v>46120.2125</v>
      </c>
      <c r="AV273" s="18" t="n">
        <f aca="false">IF(V273&gt;0, (V273+W273)-TIME(13,30,0), "")</f>
        <v>46120.2125</v>
      </c>
      <c r="AW273" s="19" t="n">
        <f aca="false">24*(
MAX(0,
IF(NETWORKDAYS(AS273,AU273)=1,
MIN(MOD(AV273,1),TIME(17,30,0)) - MAX(MOD(AT273,1),TIME(8,30,0)),
(TIME(17,30,0)-MAX(MOD(AT273,1),TIME(8,30,0)))
+ (MIN(MOD(AV273,1),TIME(17,30,0))-TIME(8,30,0))
+ (NETWORKDAYS(AS273,AU273)-2)*9/24
)
)
)</f>
        <v>23.0666666666667</v>
      </c>
      <c r="AX273" s="19" t="n">
        <f aca="false">24*(
MAX(0,
IF(NETWORKDAYS(AS273,AU273)=1,
MIN(MOD(AV273,1),TIME(17,30,0)) - MAX(MOD(AT273,1),TIME(8,30,0)),
(TIME(17,30,0)-MAX(MOD(AT273,1),TIME(8,30,0)))
+ (MIN(MOD(AV273,1),TIME(17,30,0))-TIME(8,30,0))
+ (NETWORKDAYS(AS273,AU273)-2)* (TIME(17,30,0)-TIME(8,30,0))
)
)
)</f>
        <v>23.0666666666667</v>
      </c>
      <c r="AY273" s="20" t="n">
        <f aca="false">ROUND(
IF(AS273=AU273,
MAX(0,
(MIN(MOD(AV273,1),TIME(17,30,0))-
MAX(MOD(AT273,1),TIME(8,30,0)))*24
),
(
(MAX(0,TIME(17,30,0)-MAX(MOD(AT273,1),TIME(8,30,0)))*24)
+
(MAX(0,MIN(MOD(AV273,1),TIME(17,30,0))-TIME(8,30,0))*24)
+
(MAX(0,NETWORKDAYS(AS273+1,AU273-1))*9)
)
),
2)</f>
        <v>26.47</v>
      </c>
      <c r="AZ273" s="0" t="n">
        <f aca="false" t="array" ref="AZ273:AZ273">_xlfn.XLOOKUP(J273,{"Low","Medium","High"},{270,72,24})</f>
        <v>270</v>
      </c>
      <c r="BA273" s="0" t="str">
        <f aca="false">IF(AW273&gt;AZ273,"Not Met","Met")</f>
        <v>Met</v>
      </c>
      <c r="BB273" s="21" t="str">
        <f aca="false">IF(AS273="","",TEXT(AS273,"MMM")&amp;"'"&amp;TEXT(AS273,"yy"))</f>
        <v>Apr'26</v>
      </c>
      <c r="BC273" s="0" t="str">
        <f aca="false">IF(AU273="","",TEXT(AU273,"MMM")&amp;"'"&amp;TEXT(AU273,"yy"))</f>
        <v>Apr'26</v>
      </c>
    </row>
    <row r="274" customFormat="false" ht="15" hidden="false" customHeight="false" outlineLevel="0" collapsed="false">
      <c r="A274" s="1" t="s">
        <v>960</v>
      </c>
      <c r="B274" s="11" t="n">
        <v>46116</v>
      </c>
      <c r="C274" s="12" t="n">
        <v>0.0826388888888889</v>
      </c>
      <c r="D274" s="13" t="str">
        <f aca="false">IF(B274="","",TEXT(B274,"MMM")&amp;"'"&amp;TEXT(B274,"yy"))</f>
        <v>Apr'26</v>
      </c>
      <c r="E274" s="27" t="s">
        <v>55</v>
      </c>
      <c r="F274" s="1" t="s">
        <v>39</v>
      </c>
      <c r="G274" s="1" t="str">
        <f aca="false">IF(F274="Closed","Closed","Pending")</f>
        <v>Closed</v>
      </c>
      <c r="H274" s="1" t="s">
        <v>120</v>
      </c>
      <c r="I274" s="1" t="s">
        <v>126</v>
      </c>
      <c r="J274" s="1" t="s">
        <v>74</v>
      </c>
      <c r="K274" s="1" t="s">
        <v>59</v>
      </c>
      <c r="L274" s="1" t="s">
        <v>961</v>
      </c>
      <c r="M274" s="35" t="s">
        <v>962</v>
      </c>
      <c r="N274" s="1" t="s">
        <v>62</v>
      </c>
      <c r="O274" s="1" t="s">
        <v>77</v>
      </c>
      <c r="Q274" s="1" t="s">
        <v>65</v>
      </c>
      <c r="R274" s="1" t="s">
        <v>87</v>
      </c>
      <c r="U274" s="12" t="n">
        <v>0.1</v>
      </c>
      <c r="V274" s="11" t="n">
        <v>46120</v>
      </c>
      <c r="W274" s="12" t="n">
        <v>0.777777777777778</v>
      </c>
      <c r="X274" s="11" t="n">
        <v>46122</v>
      </c>
      <c r="Y274" s="12" t="n">
        <v>0.867361111111111</v>
      </c>
      <c r="Z274" s="1" t="s">
        <v>67</v>
      </c>
      <c r="AA274" s="1" t="s">
        <v>68</v>
      </c>
      <c r="AB274" s="2" t="e">
        <f aca="false">U274-F274</f>
        <v>#VALUE!</v>
      </c>
      <c r="AC274" s="14" t="n">
        <f aca="false">(V274+W274)-(B274+C274)</f>
        <v>4.69513888888889</v>
      </c>
      <c r="AD274" s="4" t="str">
        <f aca="false">INT((V274+W274)-(B274+C274)) &amp; ":" &amp;
TEXT(HOUR((V274+W274)-(B274+C274)), "00") &amp; ":" &amp;
TEXT(MINUTE((V274+W274)-(B274+C274)), "00")</f>
        <v>4:16:41</v>
      </c>
      <c r="AE274" s="1" t="n">
        <f aca="false">IFERROR(
LEFT(AD274,FIND(":",AD274)-1)
+ MID(AD274,FIND(":",AD274)+1,2)/24
+ RIGHT(AD274,2)/1440,
"")</f>
        <v>4.69513888888889</v>
      </c>
      <c r="AF274" s="4" t="str">
        <f aca="false">INT((X274+Y274)-(B274+C274)) &amp; ":" &amp;
TEXT(HOUR((X274+Y274)-(B274+C274)), "00") &amp; ":" &amp;
TEXT(MINUTE((X274+Y274)-(B274+C274)), "00")</f>
        <v>6:18:50</v>
      </c>
      <c r="AG274" s="4" t="str">
        <f aca="false" t="array" ref="AG274:AG274">INT(_xlfn.XLOOKUP(J274,{"Low","Medium","High","Urgent"},{48,24,12,8})/24) &amp; ":" &amp;
TEXT(MOD(_xlfn.XLOOKUP(J274,{"Low","Medium","High","Urgent"},{48,24,12,8}),24)/24,"hh:mm")</f>
        <v>2:00:00</v>
      </c>
      <c r="AH274" s="4" t="str">
        <f aca="false">IF(AD274&gt;AG274,"Not Met","Met")</f>
        <v>Not Met</v>
      </c>
      <c r="AI274" s="4" t="e">
        <f aca="false">IF(AB274&lt;TIME(0,30,0),"Met","Not Met")</f>
        <v>#VALUE!</v>
      </c>
      <c r="AN274" s="1" t="str">
        <f aca="false">TEXT(B274,"dd")</f>
        <v>04</v>
      </c>
      <c r="AO274" s="1" t="str">
        <f aca="false">TEXT(X274,"dd")</f>
        <v>10</v>
      </c>
      <c r="AP274" s="16" t="str">
        <f aca="false">INT(
  NETWORKDAYS(B274,V274)-1
  + IF(WEEKDAY(V274,2)&lt;6,MOD(V274+W274,1),0)
  - IF(WEEKDAY(B274,2)&lt;6,MOD(B274+C274,1),0)
)
&amp; ":" &amp;
TEXT(HOUR(
  NETWORKDAYS(B274,V274)-1
  + IF(WEEKDAY(V274,2)&lt;6,MOD(V274+W274,1),0)
  - IF(WEEKDAY(B274,2)&lt;6,MOD(B274+C274,1),0)
),"00")
&amp; ":" &amp;
TEXT(MINUTE(
  NETWORKDAYS(B274,V274)-1
  + IF(WEEKDAY(V274,2)&lt;6,MOD(V274+W274,1),0)
  - IF(WEEKDAY(B274,2)&lt;6,MOD(B274+C274,1),0)
),"00")</f>
        <v>2:18:40</v>
      </c>
      <c r="AQ274" s="0" t="n">
        <f aca="false">IFERROR(
LEFT(AP274,FIND(":",AP274)-1)
+ MID(AP274,FIND(":",AP274)+1,2)/24
+ RIGHT(AP274,2)/1440,
"")</f>
        <v>2.77777777777778</v>
      </c>
      <c r="AR274" s="0" t="n">
        <f aca="false">WEEKNUM(B274,1)</f>
        <v>14</v>
      </c>
      <c r="AS274" s="17" t="n">
        <f aca="false">IF(B274&gt;0, (B274+C274)-TIME(13,30,0), "")</f>
        <v>46115.5201388889</v>
      </c>
      <c r="AT274" s="18" t="n">
        <f aca="false">IF(B274&gt;0, (B274+C274)-TIME(13,30,0), "")</f>
        <v>46115.5201388889</v>
      </c>
      <c r="AU274" s="17" t="n">
        <f aca="false">IF(V274&gt;0, (V274+W274)-TIME(13,30,0), "")</f>
        <v>46120.2152777778</v>
      </c>
      <c r="AV274" s="18" t="n">
        <f aca="false">IF(V274&gt;0, (V274+W274)-TIME(13,30,0), "")</f>
        <v>46120.2152777778</v>
      </c>
      <c r="AW274" s="19" t="n">
        <f aca="false">24*(
MAX(0,
IF(NETWORKDAYS(AS274,AU274)=1,
MIN(MOD(AV274,1),TIME(17,30,0)) - MAX(MOD(AT274,1),TIME(8,30,0)),
(TIME(17,30,0)-MAX(MOD(AT274,1),TIME(8,30,0)))
+ (MIN(MOD(AV274,1),TIME(17,30,0))-TIME(8,30,0))
+ (NETWORKDAYS(AS274,AU274)-2)*9/24
)
)
)</f>
        <v>19.6833333333333</v>
      </c>
      <c r="AX274" s="19" t="n">
        <f aca="false">24*(
MAX(0,
IF(NETWORKDAYS(AS274,AU274)=1,
MIN(MOD(AV274,1),TIME(17,30,0)) - MAX(MOD(AT274,1),TIME(8,30,0)),
(TIME(17,30,0)-MAX(MOD(AT274,1),TIME(8,30,0)))
+ (MIN(MOD(AV274,1),TIME(17,30,0))-TIME(8,30,0))
+ (NETWORKDAYS(AS274,AU274)-2)* (TIME(17,30,0)-TIME(8,30,0))
)
)
)</f>
        <v>19.6833333333333</v>
      </c>
      <c r="AY274" s="20" t="n">
        <f aca="false">ROUND(
IF(AS274=AU274,
MAX(0,
(MIN(MOD(AV274,1),TIME(17,30,0))-
MAX(MOD(AT274,1),TIME(8,30,0)))*24
),
(
(MAX(0,TIME(17,30,0)-MAX(MOD(AT274,1),TIME(8,30,0)))*24)
+
(MAX(0,MIN(MOD(AV274,1),TIME(17,30,0))-TIME(8,30,0))*24)
+
(MAX(0,NETWORKDAYS(AS274+1,AU274-1))*9)
)
),
2)</f>
        <v>23.02</v>
      </c>
      <c r="AZ274" s="0" t="n">
        <f aca="false" t="array" ref="AZ274:AZ274">_xlfn.XLOOKUP(J274,{"Low","Medium","High"},{270,72,24})</f>
        <v>270</v>
      </c>
      <c r="BA274" s="0" t="str">
        <f aca="false">IF(AW274&gt;AZ274,"Not Met","Met")</f>
        <v>Met</v>
      </c>
      <c r="BB274" s="21" t="str">
        <f aca="false">IF(AS274="","",TEXT(AS274,"MMM")&amp;"'"&amp;TEXT(AS274,"yy"))</f>
        <v>Apr'26</v>
      </c>
      <c r="BC274" s="0" t="str">
        <f aca="false">IF(AU274="","",TEXT(AU274,"MMM")&amp;"'"&amp;TEXT(AU274,"yy"))</f>
        <v>Apr'26</v>
      </c>
    </row>
    <row r="275" customFormat="false" ht="15" hidden="false" customHeight="false" outlineLevel="0" collapsed="false">
      <c r="A275" s="1" t="s">
        <v>963</v>
      </c>
      <c r="B275" s="11" t="n">
        <v>46119</v>
      </c>
      <c r="C275" s="12" t="n">
        <v>0.109027777777778</v>
      </c>
      <c r="D275" s="13" t="str">
        <f aca="false">IF(B275="","",TEXT(B275,"MMM")&amp;"'"&amp;TEXT(B275,"yy"))</f>
        <v>Apr'26</v>
      </c>
      <c r="E275" s="27" t="s">
        <v>55</v>
      </c>
      <c r="F275" s="1" t="s">
        <v>39</v>
      </c>
      <c r="G275" s="1" t="str">
        <f aca="false">IF(F275="Closed","Closed","Pending")</f>
        <v>Closed</v>
      </c>
      <c r="H275" s="42" t="s">
        <v>964</v>
      </c>
      <c r="I275" s="1" t="s">
        <v>410</v>
      </c>
      <c r="J275" s="29" t="s">
        <v>74</v>
      </c>
      <c r="K275" s="29" t="s">
        <v>59</v>
      </c>
      <c r="L275" s="29" t="s">
        <v>965</v>
      </c>
      <c r="M275" s="1" t="s">
        <v>966</v>
      </c>
      <c r="N275" s="1" t="s">
        <v>143</v>
      </c>
      <c r="O275" s="1" t="s">
        <v>143</v>
      </c>
      <c r="Q275" s="1" t="s">
        <v>143</v>
      </c>
      <c r="R275" s="1" t="s">
        <v>87</v>
      </c>
      <c r="U275" s="12" t="n">
        <v>0.759722222222222</v>
      </c>
      <c r="V275" s="11" t="n">
        <v>46150</v>
      </c>
      <c r="W275" s="12" t="n">
        <v>0.861805555555556</v>
      </c>
      <c r="X275" s="11" t="n">
        <v>46156</v>
      </c>
      <c r="Y275" s="12" t="n">
        <v>0.195138888888889</v>
      </c>
      <c r="Z275" s="1" t="s">
        <v>67</v>
      </c>
      <c r="AA275" s="1" t="s">
        <v>68</v>
      </c>
      <c r="AB275" s="2" t="e">
        <f aca="false">U275-F275</f>
        <v>#VALUE!</v>
      </c>
      <c r="AC275" s="14" t="n">
        <f aca="false">(V275+W275)-(B275+C275)</f>
        <v>31.7527777777778</v>
      </c>
      <c r="AD275" s="4" t="str">
        <f aca="false">INT((V275+W275)-(B275+C275)) &amp; ":" &amp;
TEXT(HOUR((V275+W275)-(B275+C275)), "00") &amp; ":" &amp;
TEXT(MINUTE((V275+W275)-(B275+C275)), "00")</f>
        <v>31:18:04</v>
      </c>
      <c r="AE275" s="1" t="n">
        <f aca="false">IFERROR(
LEFT(AD275,FIND(":",AD275)-1)
+ MID(AD275,FIND(":",AD275)+1,2)/24
+ RIGHT(AD275,2)/1440,
"")</f>
        <v>31.7527777777778</v>
      </c>
      <c r="AF275" s="4" t="str">
        <f aca="false">INT((X275+Y275)-(B275+C275)) &amp; ":" &amp;
TEXT(HOUR((X275+Y275)-(B275+C275)), "00") &amp; ":" &amp;
TEXT(MINUTE((X275+Y275)-(B275+C275)), "00")</f>
        <v>37:02:04</v>
      </c>
      <c r="AG275" s="4" t="str">
        <f aca="false" t="array" ref="AG275:AG275">INT(_xlfn.XLOOKUP(J275,{"Low","Medium","High","Urgent"},{48,24,12,8})/24) &amp; ":" &amp;
TEXT(MOD(_xlfn.XLOOKUP(J275,{"Low","Medium","High","Urgent"},{48,24,12,8}),24)/24,"hh:mm")</f>
        <v>2:00:00</v>
      </c>
      <c r="AH275" s="4" t="str">
        <f aca="false">IF(AD275&gt;AG275,"Not Met","Met")</f>
        <v>Not Met</v>
      </c>
      <c r="AI275" s="4" t="e">
        <f aca="false">IF(AB275&lt;TIME(0,30,0),"Met","Not Met")</f>
        <v>#VALUE!</v>
      </c>
      <c r="AN275" s="1" t="str">
        <f aca="false">TEXT(B275,"dd")</f>
        <v>07</v>
      </c>
      <c r="AO275" s="1" t="str">
        <f aca="false">TEXT(X275,"dd")</f>
        <v>14</v>
      </c>
      <c r="AP275" s="16" t="str">
        <f aca="false">INT(
  NETWORKDAYS(B275,V275)-1
  + IF(WEEKDAY(V275,2)&lt;6,MOD(V275+W275,1),0)
  - IF(WEEKDAY(B275,2)&lt;6,MOD(B275+C275,1),0)
)
&amp; ":" &amp;
TEXT(HOUR(
  NETWORKDAYS(B275,V275)-1
  + IF(WEEKDAY(V275,2)&lt;6,MOD(V275+W275,1),0)
  - IF(WEEKDAY(B275,2)&lt;6,MOD(B275+C275,1),0)
),"00")
&amp; ":" &amp;
TEXT(MINUTE(
  NETWORKDAYS(B275,V275)-1
  + IF(WEEKDAY(V275,2)&lt;6,MOD(V275+W275,1),0)
  - IF(WEEKDAY(B275,2)&lt;6,MOD(B275+C275,1),0)
),"00")</f>
        <v>23:18:04</v>
      </c>
      <c r="AQ275" s="0" t="n">
        <f aca="false">IFERROR(
LEFT(AP275,FIND(":",AP275)-1)
+ MID(AP275,FIND(":",AP275)+1,2)/24
+ RIGHT(AP275,2)/1440,
"")</f>
        <v>23.7527777777778</v>
      </c>
      <c r="AR275" s="0" t="n">
        <f aca="false">WEEKNUM(B275,1)</f>
        <v>15</v>
      </c>
      <c r="AS275" s="17" t="n">
        <f aca="false">IF(B275&gt;0, (B275+C275)-TIME(13,30,0), "")</f>
        <v>46118.5465277778</v>
      </c>
      <c r="AT275" s="18" t="n">
        <f aca="false">IF(B275&gt;0, (B275+C275)-TIME(13,30,0), "")</f>
        <v>46118.5465277778</v>
      </c>
      <c r="AU275" s="17" t="n">
        <f aca="false">IF(V275&gt;0, (V275+W275)-TIME(13,30,0), "")</f>
        <v>46150.2993055556</v>
      </c>
      <c r="AV275" s="18" t="n">
        <f aca="false">IF(V275&gt;0, (V275+W275)-TIME(13,30,0), "")</f>
        <v>46150.2993055556</v>
      </c>
      <c r="AW275" s="19" t="n">
        <f aca="false">24*(
MAX(0,
IF(NETWORKDAYS(AS275,AU275)=1,
MIN(MOD(AV275,1),TIME(17,30,0)) - MAX(MOD(AT275,1),TIME(8,30,0)),
(TIME(17,30,0)-MAX(MOD(AT275,1),TIME(8,30,0)))
+ (MIN(MOD(AV275,1),TIME(17,30,0))-TIME(8,30,0))
+ (NETWORKDAYS(AS275,AU275)-2)*9/24
)
)
)</f>
        <v>210.066666666667</v>
      </c>
      <c r="AX275" s="19" t="n">
        <f aca="false">24*(
MAX(0,
IF(NETWORKDAYS(AS275,AU275)=1,
MIN(MOD(AV275,1),TIME(17,30,0)) - MAX(MOD(AT275,1),TIME(8,30,0)),
(TIME(17,30,0)-MAX(MOD(AT275,1),TIME(8,30,0)))
+ (MIN(MOD(AV275,1),TIME(17,30,0))-TIME(8,30,0))
+ (NETWORKDAYS(AS275,AU275)-2)* (TIME(17,30,0)-TIME(8,30,0))
)
)
)</f>
        <v>210.066666666667</v>
      </c>
      <c r="AY275" s="20" t="n">
        <f aca="false">ROUND(
IF(AS275=AU275,
MAX(0,
(MIN(MOD(AV275,1),TIME(17,30,0))-
MAX(MOD(AT275,1),TIME(8,30,0)))*24
),
(
(MAX(0,TIME(17,30,0)-MAX(MOD(AT275,1),TIME(8,30,0)))*24)
+
(MAX(0,MIN(MOD(AV275,1),TIME(17,30,0))-TIME(8,30,0))*24)
+
(MAX(0,NETWORKDAYS(AS275+1,AU275-1))*9)
)
),
2)</f>
        <v>211.38</v>
      </c>
      <c r="AZ275" s="0" t="n">
        <f aca="false" t="array" ref="AZ275:AZ275">_xlfn.XLOOKUP(J275,{"Low","Medium","High"},{270,72,24})</f>
        <v>270</v>
      </c>
      <c r="BA275" s="0" t="str">
        <f aca="false">IF(AW275&gt;AZ275,"Not Met","Met")</f>
        <v>Met</v>
      </c>
      <c r="BB275" s="21" t="str">
        <f aca="false">IF(AS275="","",TEXT(AS275,"MMM")&amp;"'"&amp;TEXT(AS275,"yy"))</f>
        <v>Apr'26</v>
      </c>
      <c r="BC275" s="0" t="str">
        <f aca="false">IF(AU275="","",TEXT(AU275,"MMM")&amp;"'"&amp;TEXT(AU275,"yy"))</f>
        <v>May'26</v>
      </c>
    </row>
    <row r="276" customFormat="false" ht="15" hidden="false" customHeight="false" outlineLevel="0" collapsed="false">
      <c r="A276" s="1" t="s">
        <v>967</v>
      </c>
      <c r="B276" s="11" t="n">
        <v>46119</v>
      </c>
      <c r="C276" s="12" t="n">
        <v>0.978472222222222</v>
      </c>
      <c r="D276" s="13" t="str">
        <f aca="false">IF(B276="","",TEXT(B276,"MMM")&amp;"'"&amp;TEXT(B276,"yy"))</f>
        <v>Apr'26</v>
      </c>
      <c r="E276" s="27" t="s">
        <v>55</v>
      </c>
      <c r="F276" s="1" t="s">
        <v>39</v>
      </c>
      <c r="G276" s="1" t="str">
        <f aca="false">IF(F276="Closed","Closed","Pending")</f>
        <v>Closed</v>
      </c>
      <c r="H276" s="1" t="s">
        <v>81</v>
      </c>
      <c r="I276" s="1" t="s">
        <v>82</v>
      </c>
      <c r="J276" s="35" t="s">
        <v>74</v>
      </c>
      <c r="K276" s="1" t="s">
        <v>59</v>
      </c>
      <c r="L276" s="1" t="s">
        <v>968</v>
      </c>
      <c r="M276" s="1" t="s">
        <v>969</v>
      </c>
      <c r="N276" s="1" t="s">
        <v>62</v>
      </c>
      <c r="O276" s="1" t="s">
        <v>77</v>
      </c>
      <c r="Q276" s="1" t="s">
        <v>65</v>
      </c>
      <c r="R276" s="1" t="s">
        <v>87</v>
      </c>
      <c r="U276" s="12" t="n">
        <v>0.997222222222222</v>
      </c>
      <c r="V276" s="11" t="n">
        <v>46121</v>
      </c>
      <c r="W276" s="12" t="n">
        <v>0.778472222222222</v>
      </c>
      <c r="X276" s="11" t="n">
        <v>46122</v>
      </c>
      <c r="Y276" s="12" t="n">
        <v>0.930555555555556</v>
      </c>
      <c r="Z276" s="1" t="s">
        <v>67</v>
      </c>
      <c r="AA276" s="1" t="s">
        <v>68</v>
      </c>
      <c r="AB276" s="2" t="e">
        <f aca="false">U276-F276</f>
        <v>#VALUE!</v>
      </c>
      <c r="AC276" s="14" t="n">
        <f aca="false">(V276+W276)-(B276+C276)</f>
        <v>1.8</v>
      </c>
      <c r="AD276" s="4" t="str">
        <f aca="false">INT((V276+W276)-(B276+C276)) &amp; ":" &amp;
TEXT(HOUR((V276+W276)-(B276+C276)), "00") &amp; ":" &amp;
TEXT(MINUTE((V276+W276)-(B276+C276)), "00")</f>
        <v>1:19:12</v>
      </c>
      <c r="AE276" s="1" t="n">
        <f aca="false">IFERROR(
LEFT(AD276,FIND(":",AD276)-1)
+ MID(AD276,FIND(":",AD276)+1,2)/24
+ RIGHT(AD276,2)/1440,
"")</f>
        <v>1.8</v>
      </c>
      <c r="AF276" s="4" t="str">
        <f aca="false">INT((X276+Y276)-(B276+C276)) &amp; ":" &amp;
TEXT(HOUR((X276+Y276)-(B276+C276)), "00") &amp; ":" &amp;
TEXT(MINUTE((X276+Y276)-(B276+C276)), "00")</f>
        <v>2:22:51</v>
      </c>
      <c r="AG276" s="4" t="str">
        <f aca="false" t="array" ref="AG276:AG276">INT(_xlfn.XLOOKUP(J276,{"Low","Medium","High","Urgent"},{48,24,12,8})/24) &amp; ":" &amp;
TEXT(MOD(_xlfn.XLOOKUP(J276,{"Low","Medium","High","Urgent"},{48,24,12,8}),24)/24,"hh:mm")</f>
        <v>2:00:00</v>
      </c>
      <c r="AH276" s="4" t="str">
        <f aca="false">IF(AD276&gt;AG276,"Not Met","Met")</f>
        <v>Met</v>
      </c>
      <c r="AI276" s="4" t="e">
        <f aca="false">IF(AB276&lt;TIME(0,30,0),"Met","Not Met")</f>
        <v>#VALUE!</v>
      </c>
      <c r="AN276" s="1" t="str">
        <f aca="false">TEXT(B276,"dd")</f>
        <v>07</v>
      </c>
      <c r="AO276" s="1" t="str">
        <f aca="false">TEXT(X276,"dd")</f>
        <v>10</v>
      </c>
      <c r="AP276" s="16" t="str">
        <f aca="false">INT(
  NETWORKDAYS(B276,V276)-1
  + IF(WEEKDAY(V276,2)&lt;6,MOD(V276+W276,1),0)
  - IF(WEEKDAY(B276,2)&lt;6,MOD(B276+C276,1),0)
)
&amp; ":" &amp;
TEXT(HOUR(
  NETWORKDAYS(B276,V276)-1
  + IF(WEEKDAY(V276,2)&lt;6,MOD(V276+W276,1),0)
  - IF(WEEKDAY(B276,2)&lt;6,MOD(B276+C276,1),0)
),"00")
&amp; ":" &amp;
TEXT(MINUTE(
  NETWORKDAYS(B276,V276)-1
  + IF(WEEKDAY(V276,2)&lt;6,MOD(V276+W276,1),0)
  - IF(WEEKDAY(B276,2)&lt;6,MOD(B276+C276,1),0)
),"00")</f>
        <v>1:19:11</v>
      </c>
      <c r="AQ276" s="0" t="n">
        <f aca="false">IFERROR(
LEFT(AP276,FIND(":",AP276)-1)
+ MID(AP276,FIND(":",AP276)+1,2)/24
+ RIGHT(AP276,2)/1440,
"")</f>
        <v>1.79930555555556</v>
      </c>
      <c r="AR276" s="0" t="n">
        <f aca="false">WEEKNUM(B276,1)</f>
        <v>15</v>
      </c>
      <c r="AS276" s="17" t="n">
        <f aca="false">IF(B276&gt;0, (B276+C276)-TIME(13,30,0), "")</f>
        <v>46119.4159722222</v>
      </c>
      <c r="AT276" s="18" t="n">
        <f aca="false">IF(B276&gt;0, (B276+C276)-TIME(13,30,0), "")</f>
        <v>46119.4159722222</v>
      </c>
      <c r="AU276" s="17" t="n">
        <f aca="false">IF(V276&gt;0, (V276+W276)-TIME(13,30,0), "")</f>
        <v>46121.2159722222</v>
      </c>
      <c r="AV276" s="18" t="n">
        <f aca="false">IF(V276&gt;0, (V276+W276)-TIME(13,30,0), "")</f>
        <v>46121.2159722222</v>
      </c>
      <c r="AW276" s="19" t="n">
        <f aca="false">24*(
MAX(0,
IF(NETWORKDAYS(AS276,AU276)=1,
MIN(MOD(AV276,1),TIME(17,30,0)) - MAX(MOD(AT276,1),TIME(8,30,0)),
(TIME(17,30,0)-MAX(MOD(AT276,1),TIME(8,30,0)))
+ (MIN(MOD(AV276,1),TIME(17,30,0))-TIME(8,30,0))
+ (NETWORKDAYS(AS276,AU276)-2)*9/24
)
)
)</f>
        <v>13.1999999999142</v>
      </c>
      <c r="AX276" s="19" t="n">
        <f aca="false">24*(
MAX(0,
IF(NETWORKDAYS(AS276,AU276)=1,
MIN(MOD(AV276,1),TIME(17,30,0)) - MAX(MOD(AT276,1),TIME(8,30,0)),
(TIME(17,30,0)-MAX(MOD(AT276,1),TIME(8,30,0)))
+ (MIN(MOD(AV276,1),TIME(17,30,0))-TIME(8,30,0))
+ (NETWORKDAYS(AS276,AU276)-2)* (TIME(17,30,0)-TIME(8,30,0))
)
)
)</f>
        <v>13.1999999999142</v>
      </c>
      <c r="AY276" s="20" t="n">
        <f aca="false">ROUND(
IF(AS276=AU276,
MAX(0,
(MIN(MOD(AV276,1),TIME(17,30,0))-
MAX(MOD(AT276,1),TIME(8,30,0)))*24
),
(
(MAX(0,TIME(17,30,0)-MAX(MOD(AT276,1),TIME(8,30,0)))*24)
+
(MAX(0,MIN(MOD(AV276,1),TIME(17,30,0))-TIME(8,30,0))*24)
+
(MAX(0,NETWORKDAYS(AS276+1,AU276-1))*9)
)
),
2)</f>
        <v>16.52</v>
      </c>
      <c r="AZ276" s="0" t="n">
        <f aca="false" t="array" ref="AZ276:AZ276">_xlfn.XLOOKUP(J276,{"Low","Medium","High"},{270,72,24})</f>
        <v>270</v>
      </c>
      <c r="BA276" s="0" t="str">
        <f aca="false">IF(AW276&gt;AZ276,"Not Met","Met")</f>
        <v>Met</v>
      </c>
      <c r="BB276" s="21" t="str">
        <f aca="false">IF(AS276="","",TEXT(AS276,"MMM")&amp;"'"&amp;TEXT(AS276,"yy"))</f>
        <v>Apr'26</v>
      </c>
      <c r="BC276" s="0" t="str">
        <f aca="false">IF(AU276="","",TEXT(AU276,"MMM")&amp;"'"&amp;TEXT(AU276,"yy"))</f>
        <v>Apr'26</v>
      </c>
    </row>
    <row r="277" customFormat="false" ht="15" hidden="false" customHeight="false" outlineLevel="0" collapsed="false">
      <c r="A277" s="1" t="s">
        <v>970</v>
      </c>
      <c r="B277" s="11" t="n">
        <v>46120</v>
      </c>
      <c r="C277" s="12" t="n">
        <v>0.143055555555556</v>
      </c>
      <c r="D277" s="13" t="str">
        <f aca="false">IF(B277="","",TEXT(B277,"MMM")&amp;"'"&amp;TEXT(B277,"yy"))</f>
        <v>Apr'26</v>
      </c>
      <c r="E277" s="27" t="s">
        <v>55</v>
      </c>
      <c r="F277" s="1" t="s">
        <v>39</v>
      </c>
      <c r="G277" s="1" t="str">
        <f aca="false">IF(F277="Closed","Closed","Pending")</f>
        <v>Closed</v>
      </c>
      <c r="H277" s="1" t="s">
        <v>81</v>
      </c>
      <c r="I277" s="1" t="s">
        <v>82</v>
      </c>
      <c r="J277" s="35" t="s">
        <v>74</v>
      </c>
      <c r="K277" s="1" t="s">
        <v>59</v>
      </c>
      <c r="L277" s="1" t="s">
        <v>971</v>
      </c>
      <c r="M277" s="1" t="s">
        <v>971</v>
      </c>
      <c r="N277" s="1" t="s">
        <v>65</v>
      </c>
      <c r="O277" s="1" t="s">
        <v>106</v>
      </c>
      <c r="Q277" s="1" t="s">
        <v>65</v>
      </c>
      <c r="R277" s="1" t="s">
        <v>490</v>
      </c>
      <c r="U277" s="12" t="n">
        <v>0.986805555555556</v>
      </c>
      <c r="V277" s="11" t="n">
        <v>46122</v>
      </c>
      <c r="W277" s="12" t="n">
        <v>0.0868055555555556</v>
      </c>
      <c r="X277" s="11" t="n">
        <v>46122</v>
      </c>
      <c r="Y277" s="12" t="n">
        <v>0.0868055555555556</v>
      </c>
      <c r="Z277" s="1" t="s">
        <v>67</v>
      </c>
      <c r="AA277" s="1" t="s">
        <v>68</v>
      </c>
      <c r="AB277" s="2" t="e">
        <f aca="false">U277-F277</f>
        <v>#VALUE!</v>
      </c>
      <c r="AC277" s="14" t="n">
        <f aca="false">(V277+W277)-(B277+C277)</f>
        <v>1.94375</v>
      </c>
      <c r="AD277" s="4" t="str">
        <f aca="false">INT((V277+W277)-(B277+C277)) &amp; ":" &amp;
TEXT(HOUR((V277+W277)-(B277+C277)), "00") &amp; ":" &amp;
TEXT(MINUTE((V277+W277)-(B277+C277)), "00")</f>
        <v>1:22:39</v>
      </c>
      <c r="AE277" s="1" t="n">
        <f aca="false">IFERROR(
LEFT(AD277,FIND(":",AD277)-1)
+ MID(AD277,FIND(":",AD277)+1,2)/24
+ RIGHT(AD277,2)/1440,
"")</f>
        <v>1.94375</v>
      </c>
      <c r="AF277" s="4" t="str">
        <f aca="false">INT((X277+Y277)-(B277+C277)) &amp; ":" &amp;
TEXT(HOUR((X277+Y277)-(B277+C277)), "00") &amp; ":" &amp;
TEXT(MINUTE((X277+Y277)-(B277+C277)), "00")</f>
        <v>1:22:39</v>
      </c>
      <c r="AG277" s="4" t="str">
        <f aca="false" t="array" ref="AG277:AG277">INT(_xlfn.XLOOKUP(J277,{"Low","Medium","High","Urgent"},{48,24,12,8})/24) &amp; ":" &amp;
TEXT(MOD(_xlfn.XLOOKUP(J277,{"Low","Medium","High","Urgent"},{48,24,12,8}),24)/24,"hh:mm")</f>
        <v>2:00:00</v>
      </c>
      <c r="AH277" s="4" t="str">
        <f aca="false">IF(AD277&gt;AG277,"Not Met","Met")</f>
        <v>Met</v>
      </c>
      <c r="AI277" s="4" t="e">
        <f aca="false">IF(AB277&lt;TIME(0,30,0),"Met","Not Met")</f>
        <v>#VALUE!</v>
      </c>
      <c r="AN277" s="1" t="str">
        <f aca="false">TEXT(B277,"dd")</f>
        <v>08</v>
      </c>
      <c r="AO277" s="1" t="str">
        <f aca="false">TEXT(X277,"dd")</f>
        <v>10</v>
      </c>
      <c r="AP277" s="16" t="str">
        <f aca="false">INT(
  NETWORKDAYS(B277,V277)-1
  + IF(WEEKDAY(V277,2)&lt;6,MOD(V277+W277,1),0)
  - IF(WEEKDAY(B277,2)&lt;6,MOD(B277+C277,1),0)
)
&amp; ":" &amp;
TEXT(HOUR(
  NETWORKDAYS(B277,V277)-1
  + IF(WEEKDAY(V277,2)&lt;6,MOD(V277+W277,1),0)
  - IF(WEEKDAY(B277,2)&lt;6,MOD(B277+C277,1),0)
),"00")
&amp; ":" &amp;
TEXT(MINUTE(
  NETWORKDAYS(B277,V277)-1
  + IF(WEEKDAY(V277,2)&lt;6,MOD(V277+W277,1),0)
  - IF(WEEKDAY(B277,2)&lt;6,MOD(B277+C277,1),0)
),"00")</f>
        <v>1:22:38</v>
      </c>
      <c r="AQ277" s="0" t="n">
        <f aca="false">IFERROR(
LEFT(AP277,FIND(":",AP277)-1)
+ MID(AP277,FIND(":",AP277)+1,2)/24
+ RIGHT(AP277,2)/1440,
"")</f>
        <v>1.94305555555556</v>
      </c>
      <c r="AR277" s="0" t="n">
        <f aca="false">WEEKNUM(B277,1)</f>
        <v>15</v>
      </c>
      <c r="AS277" s="17" t="n">
        <f aca="false">IF(B277&gt;0, (B277+C277)-TIME(13,30,0), "")</f>
        <v>46119.5805555556</v>
      </c>
      <c r="AT277" s="18" t="n">
        <f aca="false">IF(B277&gt;0, (B277+C277)-TIME(13,30,0), "")</f>
        <v>46119.5805555556</v>
      </c>
      <c r="AU277" s="17" t="n">
        <f aca="false">IF(V277&gt;0, (V277+W277)-TIME(13,30,0), "")</f>
        <v>46121.5243055556</v>
      </c>
      <c r="AV277" s="18" t="n">
        <f aca="false">IF(V277&gt;0, (V277+W277)-TIME(13,30,0), "")</f>
        <v>46121.5243055556</v>
      </c>
      <c r="AW277" s="19" t="n">
        <f aca="false">24*(
MAX(0,
IF(NETWORKDAYS(AS277,AU277)=1,
MIN(MOD(AV277,1),TIME(17,30,0)) - MAX(MOD(AT277,1),TIME(8,30,0)),
(TIME(17,30,0)-MAX(MOD(AT277,1),TIME(8,30,0)))
+ (MIN(MOD(AV277,1),TIME(17,30,0))-TIME(8,30,0))
+ (NETWORKDAYS(AS277,AU277)-2)*9/24
)
)
)</f>
        <v>16.65</v>
      </c>
      <c r="AX277" s="19" t="n">
        <f aca="false">24*(
MAX(0,
IF(NETWORKDAYS(AS277,AU277)=1,
MIN(MOD(AV277,1),TIME(17,30,0)) - MAX(MOD(AT277,1),TIME(8,30,0)),
(TIME(17,30,0)-MAX(MOD(AT277,1),TIME(8,30,0)))
+ (MIN(MOD(AV277,1),TIME(17,30,0))-TIME(8,30,0))
+ (NETWORKDAYS(AS277,AU277)-2)* (TIME(17,30,0)-TIME(8,30,0))
)
)
)</f>
        <v>16.65</v>
      </c>
      <c r="AY277" s="20" t="n">
        <f aca="false">ROUND(
IF(AS277=AU277,
MAX(0,
(MIN(MOD(AV277,1),TIME(17,30,0))-
MAX(MOD(AT277,1),TIME(8,30,0)))*24
),
(
(MAX(0,TIME(17,30,0)-MAX(MOD(AT277,1),TIME(8,30,0)))*24)
+
(MAX(0,MIN(MOD(AV277,1),TIME(17,30,0))-TIME(8,30,0))*24)
+
(MAX(0,NETWORKDAYS(AS277+1,AU277-1))*9)
)
),
2)</f>
        <v>16.65</v>
      </c>
      <c r="AZ277" s="0" t="n">
        <f aca="false" t="array" ref="AZ277:AZ277">_xlfn.XLOOKUP(J277,{"Low","Medium","High"},{270,72,24})</f>
        <v>270</v>
      </c>
      <c r="BA277" s="0" t="str">
        <f aca="false">IF(AW277&gt;AZ277,"Not Met","Met")</f>
        <v>Met</v>
      </c>
      <c r="BB277" s="21" t="str">
        <f aca="false">IF(AS277="","",TEXT(AS277,"MMM")&amp;"'"&amp;TEXT(AS277,"yy"))</f>
        <v>Apr'26</v>
      </c>
      <c r="BC277" s="0" t="str">
        <f aca="false">IF(AU277="","",TEXT(AU277,"MMM")&amp;"'"&amp;TEXT(AU277,"yy"))</f>
        <v>Apr'26</v>
      </c>
    </row>
    <row r="278" customFormat="false" ht="15" hidden="false" customHeight="false" outlineLevel="0" collapsed="false">
      <c r="A278" s="1" t="s">
        <v>972</v>
      </c>
      <c r="B278" s="11" t="n">
        <v>46120</v>
      </c>
      <c r="C278" s="12" t="n">
        <v>0.1625</v>
      </c>
      <c r="D278" s="13" t="str">
        <f aca="false">IF(B278="","",TEXT(B278,"MMM")&amp;"'"&amp;TEXT(B278,"yy"))</f>
        <v>Apr'26</v>
      </c>
      <c r="E278" s="27" t="s">
        <v>55</v>
      </c>
      <c r="F278" s="1" t="s">
        <v>39</v>
      </c>
      <c r="G278" s="1" t="str">
        <f aca="false">IF(F278="Closed","Closed","Pending")</f>
        <v>Closed</v>
      </c>
      <c r="H278" s="1" t="s">
        <v>56</v>
      </c>
      <c r="I278" s="1" t="s">
        <v>410</v>
      </c>
      <c r="J278" s="35" t="s">
        <v>74</v>
      </c>
      <c r="K278" s="1" t="s">
        <v>59</v>
      </c>
      <c r="L278" s="1" t="s">
        <v>973</v>
      </c>
      <c r="M278" s="1" t="s">
        <v>974</v>
      </c>
      <c r="N278" s="1" t="s">
        <v>62</v>
      </c>
      <c r="O278" s="1" t="s">
        <v>63</v>
      </c>
      <c r="Q278" s="1" t="s">
        <v>229</v>
      </c>
      <c r="R278" s="1" t="s">
        <v>490</v>
      </c>
      <c r="U278" s="12" t="n">
        <v>0.8</v>
      </c>
      <c r="V278" s="11" t="n">
        <v>46120</v>
      </c>
      <c r="W278" s="12" t="n">
        <v>0.8</v>
      </c>
      <c r="X278" s="11" t="n">
        <v>46120</v>
      </c>
      <c r="Y278" s="12" t="n">
        <v>0.809722222222222</v>
      </c>
      <c r="Z278" s="1" t="s">
        <v>67</v>
      </c>
      <c r="AA278" s="1" t="s">
        <v>68</v>
      </c>
      <c r="AB278" s="2" t="e">
        <f aca="false">U278-F278</f>
        <v>#VALUE!</v>
      </c>
      <c r="AC278" s="14" t="n">
        <f aca="false">(V278+W278)-(B278+C278)</f>
        <v>0.6375</v>
      </c>
      <c r="AD278" s="4" t="str">
        <f aca="false">INT((V278+W278)-(B278+C278)) &amp; ":" &amp;
TEXT(HOUR((V278+W278)-(B278+C278)), "00") &amp; ":" &amp;
TEXT(MINUTE((V278+W278)-(B278+C278)), "00")</f>
        <v>0:15:18</v>
      </c>
      <c r="AE278" s="1" t="n">
        <f aca="false">IFERROR(
LEFT(AD278,FIND(":",AD278)-1)
+ MID(AD278,FIND(":",AD278)+1,2)/24
+ RIGHT(AD278,2)/1440,
"")</f>
        <v>0.6375</v>
      </c>
      <c r="AF278" s="4" t="str">
        <f aca="false">INT((X278+Y278)-(B278+C278)) &amp; ":" &amp;
TEXT(HOUR((X278+Y278)-(B278+C278)), "00") &amp; ":" &amp;
TEXT(MINUTE((X278+Y278)-(B278+C278)), "00")</f>
        <v>0:15:32</v>
      </c>
      <c r="AG278" s="4" t="str">
        <f aca="false" t="array" ref="AG278:AG278">INT(_xlfn.XLOOKUP(J278,{"Low","Medium","High","Urgent"},{48,24,12,8})/24) &amp; ":" &amp;
TEXT(MOD(_xlfn.XLOOKUP(J278,{"Low","Medium","High","Urgent"},{48,24,12,8}),24)/24,"hh:mm")</f>
        <v>2:00:00</v>
      </c>
      <c r="AH278" s="4" t="str">
        <f aca="false">IF(AD278&gt;AG278,"Not Met","Met")</f>
        <v>Met</v>
      </c>
      <c r="AI278" s="4" t="e">
        <f aca="false">IF(AB278&lt;TIME(0,30,0),"Met","Not Met")</f>
        <v>#VALUE!</v>
      </c>
      <c r="AN278" s="1" t="str">
        <f aca="false">TEXT(B278,"dd")</f>
        <v>08</v>
      </c>
      <c r="AO278" s="1" t="str">
        <f aca="false">TEXT(X278,"dd")</f>
        <v>08</v>
      </c>
      <c r="AP278" s="16" t="str">
        <f aca="false">INT(
  NETWORKDAYS(B278,V278)-1
  + IF(WEEKDAY(V278,2)&lt;6,MOD(V278+W278,1),0)
  - IF(WEEKDAY(B278,2)&lt;6,MOD(B278+C278,1),0)
)
&amp; ":" &amp;
TEXT(HOUR(
  NETWORKDAYS(B278,V278)-1
  + IF(WEEKDAY(V278,2)&lt;6,MOD(V278+W278,1),0)
  - IF(WEEKDAY(B278,2)&lt;6,MOD(B278+C278,1),0)
),"00")
&amp; ":" &amp;
TEXT(MINUTE(
  NETWORKDAYS(B278,V278)-1
  + IF(WEEKDAY(V278,2)&lt;6,MOD(V278+W278,1),0)
  - IF(WEEKDAY(B278,2)&lt;6,MOD(B278+C278,1),0)
),"00")</f>
        <v>0:15:18</v>
      </c>
      <c r="AQ278" s="0" t="n">
        <f aca="false">IFERROR(
LEFT(AP278,FIND(":",AP278)-1)
+ MID(AP278,FIND(":",AP278)+1,2)/24
+ RIGHT(AP278,2)/1440,
"")</f>
        <v>0.6375</v>
      </c>
      <c r="AR278" s="0" t="n">
        <f aca="false">WEEKNUM(B278,1)</f>
        <v>15</v>
      </c>
      <c r="AS278" s="17" t="n">
        <f aca="false">IF(B278&gt;0, (B278+C278)-TIME(13,30,0), "")</f>
        <v>46119.6</v>
      </c>
      <c r="AT278" s="18" t="n">
        <f aca="false">IF(B278&gt;0, (B278+C278)-TIME(13,30,0), "")</f>
        <v>46119.6</v>
      </c>
      <c r="AU278" s="17" t="n">
        <f aca="false">IF(V278&gt;0, (V278+W278)-TIME(13,30,0), "")</f>
        <v>46120.2375</v>
      </c>
      <c r="AV278" s="18" t="n">
        <f aca="false">IF(V278&gt;0, (V278+W278)-TIME(13,30,0), "")</f>
        <v>46120.2375</v>
      </c>
      <c r="AW278" s="19" t="n">
        <f aca="false">24*(
MAX(0,
IF(NETWORKDAYS(AS278,AU278)=1,
MIN(MOD(AV278,1),TIME(17,30,0)) - MAX(MOD(AT278,1),TIME(8,30,0)),
(TIME(17,30,0)-MAX(MOD(AT278,1),TIME(8,30,0)))
+ (MIN(MOD(AV278,1),TIME(17,30,0))-TIME(8,30,0))
+ (NETWORKDAYS(AS278,AU278)-2)*9/24
)
)
)</f>
        <v>0.3</v>
      </c>
      <c r="AX278" s="19" t="n">
        <f aca="false">24*(
MAX(0,
IF(NETWORKDAYS(AS278,AU278)=1,
MIN(MOD(AV278,1),TIME(17,30,0)) - MAX(MOD(AT278,1),TIME(8,30,0)),
(TIME(17,30,0)-MAX(MOD(AT278,1),TIME(8,30,0)))
+ (MIN(MOD(AV278,1),TIME(17,30,0))-TIME(8,30,0))
+ (NETWORKDAYS(AS278,AU278)-2)* (TIME(17,30,0)-TIME(8,30,0))
)
)
)</f>
        <v>0.3</v>
      </c>
      <c r="AY278" s="20" t="n">
        <f aca="false">ROUND(
IF(AS278=AU278,
MAX(0,
(MIN(MOD(AV278,1),TIME(17,30,0))-
MAX(MOD(AT278,1),TIME(8,30,0)))*24
),
(
(MAX(0,TIME(17,30,0)-MAX(MOD(AT278,1),TIME(8,30,0)))*24)
+
(MAX(0,MIN(MOD(AV278,1),TIME(17,30,0))-TIME(8,30,0))*24)
+
(MAX(0,NETWORKDAYS(AS278+1,AU278-1))*9)
)
),
2)</f>
        <v>3.1</v>
      </c>
      <c r="AZ278" s="0" t="n">
        <f aca="false" t="array" ref="AZ278:AZ278">_xlfn.XLOOKUP(J278,{"Low","Medium","High"},{270,72,24})</f>
        <v>270</v>
      </c>
      <c r="BA278" s="0" t="str">
        <f aca="false">IF(AW278&gt;AZ278,"Not Met","Met")</f>
        <v>Met</v>
      </c>
      <c r="BB278" s="21" t="str">
        <f aca="false">IF(AS278="","",TEXT(AS278,"MMM")&amp;"'"&amp;TEXT(AS278,"yy"))</f>
        <v>Apr'26</v>
      </c>
      <c r="BC278" s="0" t="str">
        <f aca="false">IF(AU278="","",TEXT(AU278,"MMM")&amp;"'"&amp;TEXT(AU278,"yy"))</f>
        <v>Apr'26</v>
      </c>
    </row>
    <row r="279" customFormat="false" ht="15" hidden="false" customHeight="false" outlineLevel="0" collapsed="false">
      <c r="A279" s="1" t="s">
        <v>975</v>
      </c>
      <c r="B279" s="11" t="n">
        <v>46120</v>
      </c>
      <c r="C279" s="12" t="n">
        <v>0.840972222222222</v>
      </c>
      <c r="D279" s="13" t="str">
        <f aca="false">IF(B279="","",TEXT(B279,"MMM")&amp;"'"&amp;TEXT(B279,"yy"))</f>
        <v>Apr'26</v>
      </c>
      <c r="E279" s="27" t="s">
        <v>55</v>
      </c>
      <c r="F279" s="1" t="s">
        <v>39</v>
      </c>
      <c r="G279" s="1" t="str">
        <f aca="false">IF(F279="Closed","Closed","Pending")</f>
        <v>Closed</v>
      </c>
      <c r="H279" s="29" t="s">
        <v>120</v>
      </c>
      <c r="I279" s="1" t="s">
        <v>976</v>
      </c>
      <c r="J279" s="1" t="s">
        <v>58</v>
      </c>
      <c r="K279" s="1" t="s">
        <v>59</v>
      </c>
      <c r="L279" s="66" t="s">
        <v>977</v>
      </c>
      <c r="M279" s="1" t="s">
        <v>978</v>
      </c>
      <c r="N279" s="1" t="s">
        <v>62</v>
      </c>
      <c r="O279" s="1" t="s">
        <v>77</v>
      </c>
      <c r="Q279" s="1" t="s">
        <v>979</v>
      </c>
      <c r="R279" s="1" t="s">
        <v>87</v>
      </c>
      <c r="U279" s="12" t="n">
        <v>0.850694444444444</v>
      </c>
      <c r="V279" s="11" t="n">
        <v>46121</v>
      </c>
      <c r="W279" s="12" t="n">
        <v>0.78125</v>
      </c>
      <c r="X279" s="11" t="n">
        <v>46139</v>
      </c>
      <c r="Y279" s="12" t="n">
        <v>0.814583333333333</v>
      </c>
      <c r="Z279" s="1" t="s">
        <v>67</v>
      </c>
      <c r="AA279" s="1" t="s">
        <v>68</v>
      </c>
      <c r="AB279" s="2" t="e">
        <f aca="false">U279-F279</f>
        <v>#VALUE!</v>
      </c>
      <c r="AC279" s="14" t="n">
        <f aca="false">(V279+W279)-(B279+C279)</f>
        <v>0.940277777777778</v>
      </c>
      <c r="AD279" s="4" t="str">
        <f aca="false">INT((V279+W279)-(B279+C279)) &amp; ":" &amp;
TEXT(HOUR((V279+W279)-(B279+C279)), "00") &amp; ":" &amp;
TEXT(MINUTE((V279+W279)-(B279+C279)), "00")</f>
        <v>0:22:34</v>
      </c>
      <c r="AE279" s="1" t="n">
        <f aca="false">IFERROR(
LEFT(AD279,FIND(":",AD279)-1)
+ MID(AD279,FIND(":",AD279)+1,2)/24
+ RIGHT(AD279,2)/1440,
"")</f>
        <v>0.940277777777778</v>
      </c>
      <c r="AF279" s="4" t="str">
        <f aca="false">INT((X279+Y279)-(B279+C279)) &amp; ":" &amp;
TEXT(HOUR((X279+Y279)-(B279+C279)), "00") &amp; ":" &amp;
TEXT(MINUTE((X279+Y279)-(B279+C279)), "00")</f>
        <v>18:23:22</v>
      </c>
      <c r="AG279" s="4" t="str">
        <f aca="false" t="array" ref="AG279:AG279">INT(_xlfn.XLOOKUP(J279,{"Low","Medium","High","Urgent"},{48,24,12,8})/24) &amp; ":" &amp;
TEXT(MOD(_xlfn.XLOOKUP(J279,{"Low","Medium","High","Urgent"},{48,24,12,8}),24)/24,"hh:mm")</f>
        <v>1:00:00</v>
      </c>
      <c r="AH279" s="4" t="str">
        <f aca="false">IF(AD279&gt;AG279,"Not Met","Met")</f>
        <v>Met</v>
      </c>
      <c r="AI279" s="4" t="e">
        <f aca="false">IF(AB279&lt;TIME(0,30,0),"Met","Not Met")</f>
        <v>#VALUE!</v>
      </c>
      <c r="AN279" s="1" t="str">
        <f aca="false">TEXT(B279,"dd")</f>
        <v>08</v>
      </c>
      <c r="AO279" s="1" t="str">
        <f aca="false">TEXT(X279,"dd")</f>
        <v>27</v>
      </c>
      <c r="AP279" s="16" t="str">
        <f aca="false">INT(
  NETWORKDAYS(B279,V279)-1
  + IF(WEEKDAY(V279,2)&lt;6,MOD(V279+W279,1),0)
  - IF(WEEKDAY(B279,2)&lt;6,MOD(B279+C279,1),0)
)
&amp; ":" &amp;
TEXT(HOUR(
  NETWORKDAYS(B279,V279)-1
  + IF(WEEKDAY(V279,2)&lt;6,MOD(V279+W279,1),0)
  - IF(WEEKDAY(B279,2)&lt;6,MOD(B279+C279,1),0)
),"00")
&amp; ":" &amp;
TEXT(MINUTE(
  NETWORKDAYS(B279,V279)-1
  + IF(WEEKDAY(V279,2)&lt;6,MOD(V279+W279,1),0)
  - IF(WEEKDAY(B279,2)&lt;6,MOD(B279+C279,1),0)
),"00")</f>
        <v>0:22:34</v>
      </c>
      <c r="AQ279" s="0" t="n">
        <f aca="false">IFERROR(
LEFT(AP279,FIND(":",AP279)-1)
+ MID(AP279,FIND(":",AP279)+1,2)/24
+ RIGHT(AP279,2)/1440,
"")</f>
        <v>0.940277777777778</v>
      </c>
      <c r="AR279" s="0" t="n">
        <f aca="false">WEEKNUM(B279,1)</f>
        <v>15</v>
      </c>
      <c r="AS279" s="17" t="n">
        <f aca="false">IF(B279&gt;0, (B279+C279)-TIME(13,30,0), "")</f>
        <v>46120.2784722222</v>
      </c>
      <c r="AT279" s="18" t="n">
        <f aca="false">IF(B279&gt;0, (B279+C279)-TIME(13,30,0), "")</f>
        <v>46120.2784722222</v>
      </c>
      <c r="AU279" s="17" t="n">
        <f aca="false">IF(V279&gt;0, (V279+W279)-TIME(13,30,0), "")</f>
        <v>46121.21875</v>
      </c>
      <c r="AV279" s="18" t="n">
        <f aca="false">IF(V279&gt;0, (V279+W279)-TIME(13,30,0), "")</f>
        <v>46121.21875</v>
      </c>
      <c r="AW279" s="19" t="n">
        <f aca="false">24*(
MAX(0,
IF(NETWORKDAYS(AS279,AU279)=1,
MIN(MOD(AV279,1),TIME(17,30,0)) - MAX(MOD(AT279,1),TIME(8,30,0)),
(TIME(17,30,0)-MAX(MOD(AT279,1),TIME(8,30,0)))
+ (MIN(MOD(AV279,1),TIME(17,30,0))-TIME(8,30,0))
+ (NETWORKDAYS(AS279,AU279)-2)*9/24
)
)
)</f>
        <v>5.75</v>
      </c>
      <c r="AX279" s="19" t="n">
        <f aca="false">24*(
MAX(0,
IF(NETWORKDAYS(AS279,AU279)=1,
MIN(MOD(AV279,1),TIME(17,30,0)) - MAX(MOD(AT279,1),TIME(8,30,0)),
(TIME(17,30,0)-MAX(MOD(AT279,1),TIME(8,30,0)))
+ (MIN(MOD(AV279,1),TIME(17,30,0))-TIME(8,30,0))
+ (NETWORKDAYS(AS279,AU279)-2)* (TIME(17,30,0)-TIME(8,30,0))
)
)
)</f>
        <v>5.75</v>
      </c>
      <c r="AY279" s="20" t="n">
        <f aca="false">ROUND(
IF(AS279=AU279,
MAX(0,
(MIN(MOD(AV279,1),TIME(17,30,0))-
MAX(MOD(AT279,1),TIME(8,30,0)))*24
),
(
(MAX(0,TIME(17,30,0)-MAX(MOD(AT279,1),TIME(8,30,0)))*24)
+
(MAX(0,MIN(MOD(AV279,1),TIME(17,30,0))-TIME(8,30,0))*24)
+
(MAX(0,NETWORKDAYS(AS279+1,AU279-1))*9)
)
),
2)</f>
        <v>9</v>
      </c>
      <c r="AZ279" s="0" t="n">
        <f aca="false" t="array" ref="AZ279:AZ279">_xlfn.XLOOKUP(J279,{"Low","Medium","High"},{270,72,24})</f>
        <v>72</v>
      </c>
      <c r="BA279" s="0" t="str">
        <f aca="false">IF(AW279&gt;AZ279,"Not Met","Met")</f>
        <v>Met</v>
      </c>
      <c r="BB279" s="21" t="str">
        <f aca="false">IF(AS279="","",TEXT(AS279,"MMM")&amp;"'"&amp;TEXT(AS279,"yy"))</f>
        <v>Apr'26</v>
      </c>
      <c r="BC279" s="0" t="str">
        <f aca="false">IF(AU279="","",TEXT(AU279,"MMM")&amp;"'"&amp;TEXT(AU279,"yy"))</f>
        <v>Apr'26</v>
      </c>
    </row>
    <row r="280" customFormat="false" ht="15" hidden="false" customHeight="false" outlineLevel="0" collapsed="false">
      <c r="A280" s="1" t="s">
        <v>980</v>
      </c>
      <c r="B280" s="11" t="n">
        <v>46121</v>
      </c>
      <c r="C280" s="12" t="n">
        <v>0.227777777777778</v>
      </c>
      <c r="D280" s="13" t="str">
        <f aca="false">IF(B280="","",TEXT(B280,"MMM")&amp;"'"&amp;TEXT(B280,"yy"))</f>
        <v>Apr'26</v>
      </c>
      <c r="E280" s="27" t="s">
        <v>55</v>
      </c>
      <c r="F280" s="1" t="s">
        <v>39</v>
      </c>
      <c r="G280" s="1" t="str">
        <f aca="false">IF(F280="Closed","Closed","Pending")</f>
        <v>Closed</v>
      </c>
      <c r="H280" s="58" t="s">
        <v>56</v>
      </c>
      <c r="I280" s="26" t="s">
        <v>639</v>
      </c>
      <c r="J280" s="40" t="s">
        <v>74</v>
      </c>
      <c r="K280" s="1" t="s">
        <v>59</v>
      </c>
      <c r="L280" s="1" t="s">
        <v>981</v>
      </c>
      <c r="M280" s="1" t="s">
        <v>982</v>
      </c>
      <c r="N280" s="1" t="s">
        <v>65</v>
      </c>
      <c r="O280" s="1" t="s">
        <v>106</v>
      </c>
      <c r="Q280" s="1" t="s">
        <v>65</v>
      </c>
      <c r="R280" s="1" t="s">
        <v>87</v>
      </c>
      <c r="U280" s="12" t="n">
        <v>0.940972222222222</v>
      </c>
      <c r="V280" s="11" t="n">
        <v>46123</v>
      </c>
      <c r="W280" s="12" t="n">
        <v>0.0229166666666667</v>
      </c>
      <c r="X280" s="11" t="n">
        <v>46123</v>
      </c>
      <c r="Y280" s="12" t="n">
        <v>0.234027777777778</v>
      </c>
      <c r="Z280" s="1" t="s">
        <v>67</v>
      </c>
      <c r="AA280" s="1" t="s">
        <v>68</v>
      </c>
      <c r="AB280" s="2" t="e">
        <f aca="false">U280-F280</f>
        <v>#VALUE!</v>
      </c>
      <c r="AC280" s="14" t="n">
        <f aca="false">(V280+W280)-(B280+C280)</f>
        <v>1.79513888888889</v>
      </c>
      <c r="AD280" s="4" t="str">
        <f aca="false">INT((V280+W280)-(B280+C280)) &amp; ":" &amp;
TEXT(HOUR((V280+W280)-(B280+C280)), "00") &amp; ":" &amp;
TEXT(MINUTE((V280+W280)-(B280+C280)), "00")</f>
        <v>1:19:05</v>
      </c>
      <c r="AE280" s="1" t="n">
        <f aca="false">IFERROR(
LEFT(AD280,FIND(":",AD280)-1)
+ MID(AD280,FIND(":",AD280)+1,2)/24
+ RIGHT(AD280,2)/1440,
"")</f>
        <v>1.79513888888889</v>
      </c>
      <c r="AF280" s="4" t="str">
        <f aca="false">INT((X280+Y280)-(B280+C280)) &amp; ":" &amp;
TEXT(HOUR((X280+Y280)-(B280+C280)), "00") &amp; ":" &amp;
TEXT(MINUTE((X280+Y280)-(B280+C280)), "00")</f>
        <v>2:00:09</v>
      </c>
      <c r="AG280" s="4" t="str">
        <f aca="false" t="array" ref="AG280:AG280">INT(_xlfn.XLOOKUP(J280,{"Low","Medium","High","Urgent"},{48,24,12,8})/24) &amp; ":" &amp;
TEXT(MOD(_xlfn.XLOOKUP(J280,{"Low","Medium","High","Urgent"},{48,24,12,8}),24)/24,"hh:mm")</f>
        <v>2:00:00</v>
      </c>
      <c r="AH280" s="4" t="str">
        <f aca="false">IF(AD280&gt;AG280,"Not Met","Met")</f>
        <v>Met</v>
      </c>
      <c r="AI280" s="4" t="e">
        <f aca="false">IF(AB280&lt;TIME(0,30,0),"Met","Not Met")</f>
        <v>#VALUE!</v>
      </c>
      <c r="AN280" s="1" t="str">
        <f aca="false">TEXT(B280,"dd")</f>
        <v>09</v>
      </c>
      <c r="AO280" s="1" t="str">
        <f aca="false">TEXT(X280,"dd")</f>
        <v>11</v>
      </c>
      <c r="AP280" s="16" t="str">
        <f aca="false">INT(
  NETWORKDAYS(B280,V280)-1
  + IF(WEEKDAY(V280,2)&lt;6,MOD(V280+W280,1),0)
  - IF(WEEKDAY(B280,2)&lt;6,MOD(B280+C280,1),0)
)
&amp; ":" &amp;
TEXT(HOUR(
  NETWORKDAYS(B280,V280)-1
  + IF(WEEKDAY(V280,2)&lt;6,MOD(V280+W280,1),0)
  - IF(WEEKDAY(B280,2)&lt;6,MOD(B280+C280,1),0)
),"00")
&amp; ":" &amp;
TEXT(MINUTE(
  NETWORKDAYS(B280,V280)-1
  + IF(WEEKDAY(V280,2)&lt;6,MOD(V280+W280,1),0)
  - IF(WEEKDAY(B280,2)&lt;6,MOD(B280+C280,1),0)
),"00")</f>
        <v>0:18:31</v>
      </c>
      <c r="AQ280" s="0" t="n">
        <f aca="false">IFERROR(
LEFT(AP280,FIND(":",AP280)-1)
+ MID(AP280,FIND(":",AP280)+1,2)/24
+ RIGHT(AP280,2)/1440,
"")</f>
        <v>0.771527777777778</v>
      </c>
      <c r="AR280" s="0" t="n">
        <f aca="false">WEEKNUM(B280,1)</f>
        <v>15</v>
      </c>
      <c r="AS280" s="17" t="n">
        <f aca="false">IF(B280&gt;0, (B280+C280)-TIME(13,30,0), "")</f>
        <v>46120.6652777778</v>
      </c>
      <c r="AT280" s="18" t="n">
        <f aca="false">IF(B280&gt;0, (B280+C280)-TIME(13,30,0), "")</f>
        <v>46120.6652777778</v>
      </c>
      <c r="AU280" s="17" t="n">
        <f aca="false">IF(V280&gt;0, (V280+W280)-TIME(13,30,0), "")</f>
        <v>46122.4604166667</v>
      </c>
      <c r="AV280" s="18" t="n">
        <f aca="false">IF(V280&gt;0, (V280+W280)-TIME(13,30,0), "")</f>
        <v>46122.4604166667</v>
      </c>
      <c r="AW280" s="19" t="n">
        <f aca="false">24*(
MAX(0,
IF(NETWORKDAYS(AS280,AU280)=1,
MIN(MOD(AV280,1),TIME(17,30,0)) - MAX(MOD(AT280,1),TIME(8,30,0)),
(TIME(17,30,0)-MAX(MOD(AT280,1),TIME(8,30,0)))
+ (MIN(MOD(AV280,1),TIME(17,30,0))-TIME(8,30,0))
+ (NETWORKDAYS(AS280,AU280)-2)*9/24
)
)
)</f>
        <v>13.0833333333333</v>
      </c>
      <c r="AX280" s="19" t="n">
        <f aca="false">24*(
MAX(0,
IF(NETWORKDAYS(AS280,AU280)=1,
MIN(MOD(AV280,1),TIME(17,30,0)) - MAX(MOD(AT280,1),TIME(8,30,0)),
(TIME(17,30,0)-MAX(MOD(AT280,1),TIME(8,30,0)))
+ (MIN(MOD(AV280,1),TIME(17,30,0))-TIME(8,30,0))
+ (NETWORKDAYS(AS280,AU280)-2)* (TIME(17,30,0)-TIME(8,30,0))
)
)
)</f>
        <v>13.0833333333333</v>
      </c>
      <c r="AY280" s="20" t="n">
        <f aca="false">ROUND(
IF(AS280=AU280,
MAX(0,
(MIN(MOD(AV280,1),TIME(17,30,0))-
MAX(MOD(AT280,1),TIME(8,30,0)))*24
),
(
(MAX(0,TIME(17,30,0)-MAX(MOD(AT280,1),TIME(8,30,0)))*24)
+
(MAX(0,MIN(MOD(AV280,1),TIME(17,30,0))-TIME(8,30,0))*24)
+
(MAX(0,NETWORKDAYS(AS280+1,AU280-1))*9)
)
),
2)</f>
        <v>13.08</v>
      </c>
      <c r="AZ280" s="0" t="n">
        <f aca="false" t="array" ref="AZ280:AZ280">_xlfn.XLOOKUP(J280,{"Low","Medium","High"},{270,72,24})</f>
        <v>270</v>
      </c>
      <c r="BA280" s="0" t="str">
        <f aca="false">IF(AW280&gt;AZ280,"Not Met","Met")</f>
        <v>Met</v>
      </c>
      <c r="BB280" s="21" t="str">
        <f aca="false">IF(AS280="","",TEXT(AS280,"MMM")&amp;"'"&amp;TEXT(AS280,"yy"))</f>
        <v>Apr'26</v>
      </c>
      <c r="BC280" s="0" t="str">
        <f aca="false">IF(AU280="","",TEXT(AU280,"MMM")&amp;"'"&amp;TEXT(AU280,"yy"))</f>
        <v>Apr'26</v>
      </c>
    </row>
    <row r="281" customFormat="false" ht="15" hidden="false" customHeight="false" outlineLevel="0" collapsed="false">
      <c r="A281" s="1" t="s">
        <v>983</v>
      </c>
      <c r="B281" s="11" t="n">
        <v>46121</v>
      </c>
      <c r="C281" s="12" t="n">
        <v>0.789583333333333</v>
      </c>
      <c r="D281" s="13" t="str">
        <f aca="false">IF(B281="","",TEXT(B281,"MMM")&amp;"'"&amp;TEXT(B281,"yy"))</f>
        <v>Apr'26</v>
      </c>
      <c r="E281" s="27" t="s">
        <v>55</v>
      </c>
      <c r="F281" s="1" t="s">
        <v>39</v>
      </c>
      <c r="G281" s="1" t="str">
        <f aca="false">IF(F281="Closed","Closed","Pending")</f>
        <v>Closed</v>
      </c>
      <c r="H281" s="1" t="s">
        <v>120</v>
      </c>
      <c r="I281" s="1" t="s">
        <v>349</v>
      </c>
      <c r="J281" s="1" t="s">
        <v>74</v>
      </c>
      <c r="K281" s="35" t="s">
        <v>59</v>
      </c>
      <c r="L281" s="1" t="s">
        <v>721</v>
      </c>
      <c r="M281" s="1" t="s">
        <v>984</v>
      </c>
      <c r="N281" s="1" t="s">
        <v>65</v>
      </c>
      <c r="O281" s="1" t="s">
        <v>106</v>
      </c>
      <c r="Q281" s="1" t="s">
        <v>65</v>
      </c>
      <c r="R281" s="1" t="s">
        <v>87</v>
      </c>
      <c r="U281" s="12" t="n">
        <v>0.796527777777778</v>
      </c>
      <c r="V281" s="11" t="n">
        <v>46127</v>
      </c>
      <c r="W281" s="12" t="n">
        <v>0.914583333333333</v>
      </c>
      <c r="X281" s="11" t="n">
        <v>46128</v>
      </c>
      <c r="Y281" s="12" t="n">
        <v>0.0513888888888889</v>
      </c>
      <c r="Z281" s="1" t="s">
        <v>67</v>
      </c>
      <c r="AA281" s="1" t="s">
        <v>68</v>
      </c>
      <c r="AB281" s="2" t="e">
        <f aca="false">U281-F281</f>
        <v>#VALUE!</v>
      </c>
      <c r="AC281" s="14" t="n">
        <f aca="false">(V281+W281)-(B281+C281)</f>
        <v>6.125</v>
      </c>
      <c r="AD281" s="4" t="str">
        <f aca="false">INT((V281+W281)-(B281+C281)) &amp; ":" &amp;
TEXT(HOUR((V281+W281)-(B281+C281)), "00") &amp; ":" &amp;
TEXT(MINUTE((V281+W281)-(B281+C281)), "00")</f>
        <v>6:03:00</v>
      </c>
      <c r="AE281" s="1" t="n">
        <f aca="false">IFERROR(
LEFT(AD281,FIND(":",AD281)-1)
+ MID(AD281,FIND(":",AD281)+1,2)/24
+ RIGHT(AD281,2)/1440,
"")</f>
        <v>6.125</v>
      </c>
      <c r="AF281" s="4" t="str">
        <f aca="false">INT((X281+Y281)-(B281+C281)) &amp; ":" &amp;
TEXT(HOUR((X281+Y281)-(B281+C281)), "00") &amp; ":" &amp;
TEXT(MINUTE((X281+Y281)-(B281+C281)), "00")</f>
        <v>6:06:17</v>
      </c>
      <c r="AG281" s="4" t="str">
        <f aca="false" t="array" ref="AG281:AG281">INT(_xlfn.XLOOKUP(J281,{"Low","Medium","High","Urgent"},{48,24,12,8})/24) &amp; ":" &amp;
TEXT(MOD(_xlfn.XLOOKUP(J281,{"Low","Medium","High","Urgent"},{48,24,12,8}),24)/24,"hh:mm")</f>
        <v>2:00:00</v>
      </c>
      <c r="AH281" s="4" t="str">
        <f aca="false">IF(AD281&gt;AG281,"Not Met","Met")</f>
        <v>Not Met</v>
      </c>
      <c r="AI281" s="4" t="e">
        <f aca="false">IF(AB281&lt;TIME(0,30,0),"Met","Not Met")</f>
        <v>#VALUE!</v>
      </c>
      <c r="AN281" s="1" t="str">
        <f aca="false">TEXT(B281,"dd")</f>
        <v>09</v>
      </c>
      <c r="AO281" s="1" t="str">
        <f aca="false">TEXT(X281,"dd")</f>
        <v>16</v>
      </c>
      <c r="AP281" s="16" t="str">
        <f aca="false">INT(
  NETWORKDAYS(B281,V281)-1
  + IF(WEEKDAY(V281,2)&lt;6,MOD(V281+W281,1),0)
  - IF(WEEKDAY(B281,2)&lt;6,MOD(B281+C281,1),0)
)
&amp; ":" &amp;
TEXT(HOUR(
  NETWORKDAYS(B281,V281)-1
  + IF(WEEKDAY(V281,2)&lt;6,MOD(V281+W281,1),0)
  - IF(WEEKDAY(B281,2)&lt;6,MOD(B281+C281,1),0)
),"00")
&amp; ":" &amp;
TEXT(MINUTE(
  NETWORKDAYS(B281,V281)-1
  + IF(WEEKDAY(V281,2)&lt;6,MOD(V281+W281,1),0)
  - IF(WEEKDAY(B281,2)&lt;6,MOD(B281+C281,1),0)
),"00")</f>
        <v>4:03:00</v>
      </c>
      <c r="AQ281" s="0" t="n">
        <f aca="false">IFERROR(
LEFT(AP281,FIND(":",AP281)-1)
+ MID(AP281,FIND(":",AP281)+1,2)/24
+ RIGHT(AP281,2)/1440,
"")</f>
        <v>4.125</v>
      </c>
      <c r="AR281" s="0" t="n">
        <f aca="false">WEEKNUM(B281,1)</f>
        <v>15</v>
      </c>
      <c r="AS281" s="17" t="n">
        <f aca="false">IF(B281&gt;0, (B281+C281)-TIME(13,30,0), "")</f>
        <v>46121.2270833333</v>
      </c>
      <c r="AT281" s="18" t="n">
        <f aca="false">IF(B281&gt;0, (B281+C281)-TIME(13,30,0), "")</f>
        <v>46121.2270833333</v>
      </c>
      <c r="AU281" s="17" t="n">
        <f aca="false">IF(V281&gt;0, (V281+W281)-TIME(13,30,0), "")</f>
        <v>46127.3520833333</v>
      </c>
      <c r="AV281" s="18" t="n">
        <f aca="false">IF(V281&gt;0, (V281+W281)-TIME(13,30,0), "")</f>
        <v>46127.3520833333</v>
      </c>
      <c r="AW281" s="19" t="n">
        <f aca="false">24*(
MAX(0,
IF(NETWORKDAYS(AS281,AU281)=1,
MIN(MOD(AV281,1),TIME(17,30,0)) - MAX(MOD(AT281,1),TIME(8,30,0)),
(TIME(17,30,0)-MAX(MOD(AT281,1),TIME(8,30,0)))
+ (MIN(MOD(AV281,1),TIME(17,30,0))-TIME(8,30,0))
+ (NETWORKDAYS(AS281,AU281)-2)*9/24
)
)
)</f>
        <v>35.95</v>
      </c>
      <c r="AX281" s="19" t="n">
        <f aca="false">24*(
MAX(0,
IF(NETWORKDAYS(AS281,AU281)=1,
MIN(MOD(AV281,1),TIME(17,30,0)) - MAX(MOD(AT281,1),TIME(8,30,0)),
(TIME(17,30,0)-MAX(MOD(AT281,1),TIME(8,30,0)))
+ (MIN(MOD(AV281,1),TIME(17,30,0))-TIME(8,30,0))
+ (NETWORKDAYS(AS281,AU281)-2)* (TIME(17,30,0)-TIME(8,30,0))
)
)
)</f>
        <v>35.95</v>
      </c>
      <c r="AY281" s="20" t="n">
        <f aca="false">ROUND(
IF(AS281=AU281,
MAX(0,
(MIN(MOD(AV281,1),TIME(17,30,0))-
MAX(MOD(AT281,1),TIME(8,30,0)))*24
),
(
(MAX(0,TIME(17,30,0)-MAX(MOD(AT281,1),TIME(8,30,0)))*24)
+
(MAX(0,MIN(MOD(AV281,1),TIME(17,30,0))-TIME(8,30,0))*24)
+
(MAX(0,NETWORKDAYS(AS281+1,AU281-1))*9)
)
),
2)</f>
        <v>36</v>
      </c>
      <c r="AZ281" s="0" t="n">
        <f aca="false" t="array" ref="AZ281:AZ281">_xlfn.XLOOKUP(J281,{"Low","Medium","High"},{270,72,24})</f>
        <v>270</v>
      </c>
      <c r="BA281" s="0" t="str">
        <f aca="false">IF(AW281&gt;AZ281,"Not Met","Met")</f>
        <v>Met</v>
      </c>
      <c r="BB281" s="21" t="str">
        <f aca="false">IF(AS281="","",TEXT(AS281,"MMM")&amp;"'"&amp;TEXT(AS281,"yy"))</f>
        <v>Apr'26</v>
      </c>
      <c r="BC281" s="0" t="str">
        <f aca="false">IF(AU281="","",TEXT(AU281,"MMM")&amp;"'"&amp;TEXT(AU281,"yy"))</f>
        <v>Apr'26</v>
      </c>
    </row>
    <row r="282" customFormat="false" ht="15" hidden="false" customHeight="false" outlineLevel="0" collapsed="false">
      <c r="A282" s="1" t="s">
        <v>985</v>
      </c>
      <c r="B282" s="11" t="n">
        <v>46122</v>
      </c>
      <c r="C282" s="12" t="n">
        <v>0.0930555555555556</v>
      </c>
      <c r="D282" s="13" t="str">
        <f aca="false">IF(B282="","",TEXT(B282,"MMM")&amp;"'"&amp;TEXT(B282,"yy"))</f>
        <v>Apr'26</v>
      </c>
      <c r="E282" s="27" t="s">
        <v>55</v>
      </c>
      <c r="F282" s="1" t="s">
        <v>39</v>
      </c>
      <c r="G282" s="1" t="str">
        <f aca="false">IF(F282="Closed","Closed","Pending")</f>
        <v>Closed</v>
      </c>
      <c r="H282" s="54" t="s">
        <v>520</v>
      </c>
      <c r="I282" s="42" t="s">
        <v>976</v>
      </c>
      <c r="J282" s="53" t="s">
        <v>74</v>
      </c>
      <c r="K282" s="1" t="s">
        <v>59</v>
      </c>
      <c r="L282" s="1" t="s">
        <v>986</v>
      </c>
      <c r="M282" s="1" t="s">
        <v>987</v>
      </c>
      <c r="N282" s="1" t="s">
        <v>62</v>
      </c>
      <c r="O282" s="1" t="s">
        <v>63</v>
      </c>
      <c r="Q282" s="1" t="s">
        <v>229</v>
      </c>
      <c r="R282" s="1" t="s">
        <v>622</v>
      </c>
      <c r="U282" s="12" t="n">
        <v>0.0986111111111111</v>
      </c>
      <c r="V282" s="11" t="n">
        <v>46126</v>
      </c>
      <c r="W282" s="12" t="n">
        <v>0.884027777777778</v>
      </c>
      <c r="X282" s="11" t="n">
        <v>46126</v>
      </c>
      <c r="Y282" s="12" t="n">
        <v>0.89375</v>
      </c>
      <c r="Z282" s="1" t="s">
        <v>67</v>
      </c>
      <c r="AA282" s="1" t="s">
        <v>68</v>
      </c>
      <c r="AB282" s="2" t="e">
        <f aca="false">U282-F282</f>
        <v>#VALUE!</v>
      </c>
      <c r="AC282" s="14" t="n">
        <f aca="false">(V282+W282)-(B282+C282)</f>
        <v>4.79097222222222</v>
      </c>
      <c r="AD282" s="4" t="str">
        <f aca="false">INT((V282+W282)-(B282+C282)) &amp; ":" &amp;
TEXT(HOUR((V282+W282)-(B282+C282)), "00") &amp; ":" &amp;
TEXT(MINUTE((V282+W282)-(B282+C282)), "00")</f>
        <v>4:18:59</v>
      </c>
      <c r="AE282" s="1" t="n">
        <f aca="false">IFERROR(
LEFT(AD282,FIND(":",AD282)-1)
+ MID(AD282,FIND(":",AD282)+1,2)/24
+ RIGHT(AD282,2)/1440,
"")</f>
        <v>4.79097222222222</v>
      </c>
      <c r="AF282" s="4" t="str">
        <f aca="false">INT((X282+Y282)-(B282+C282)) &amp; ":" &amp;
TEXT(HOUR((X282+Y282)-(B282+C282)), "00") &amp; ":" &amp;
TEXT(MINUTE((X282+Y282)-(B282+C282)), "00")</f>
        <v>4:19:13</v>
      </c>
      <c r="AG282" s="4" t="str">
        <f aca="false" t="array" ref="AG282:AG282">INT(_xlfn.XLOOKUP(J282,{"Low","Medium","High","Urgent"},{48,24,12,8})/24) &amp; ":" &amp;
TEXT(MOD(_xlfn.XLOOKUP(J282,{"Low","Medium","High","Urgent"},{48,24,12,8}),24)/24,"hh:mm")</f>
        <v>2:00:00</v>
      </c>
      <c r="AH282" s="4" t="str">
        <f aca="false">IF(AD282&gt;AG282,"Not Met","Met")</f>
        <v>Not Met</v>
      </c>
      <c r="AI282" s="4" t="e">
        <f aca="false">IF(AB282&lt;TIME(0,30,0),"Met","Not Met")</f>
        <v>#VALUE!</v>
      </c>
      <c r="AN282" s="1" t="str">
        <f aca="false">TEXT(B282,"dd")</f>
        <v>10</v>
      </c>
      <c r="AO282" s="1" t="str">
        <f aca="false">TEXT(X282,"dd")</f>
        <v>14</v>
      </c>
      <c r="AP282" s="16" t="str">
        <f aca="false">INT(
  NETWORKDAYS(B282,V282)-1
  + IF(WEEKDAY(V282,2)&lt;6,MOD(V282+W282,1),0)
  - IF(WEEKDAY(B282,2)&lt;6,MOD(B282+C282,1),0)
)
&amp; ":" &amp;
TEXT(HOUR(
  NETWORKDAYS(B282,V282)-1
  + IF(WEEKDAY(V282,2)&lt;6,MOD(V282+W282,1),0)
  - IF(WEEKDAY(B282,2)&lt;6,MOD(B282+C282,1),0)
),"00")
&amp; ":" &amp;
TEXT(MINUTE(
  NETWORKDAYS(B282,V282)-1
  + IF(WEEKDAY(V282,2)&lt;6,MOD(V282+W282,1),0)
  - IF(WEEKDAY(B282,2)&lt;6,MOD(B282+C282,1),0)
),"00")</f>
        <v>2:18:59</v>
      </c>
      <c r="AQ282" s="0" t="n">
        <f aca="false">IFERROR(
LEFT(AP282,FIND(":",AP282)-1)
+ MID(AP282,FIND(":",AP282)+1,2)/24
+ RIGHT(AP282,2)/1440,
"")</f>
        <v>2.79097222222222</v>
      </c>
      <c r="AR282" s="0" t="n">
        <f aca="false">WEEKNUM(B282,1)</f>
        <v>15</v>
      </c>
      <c r="AS282" s="17" t="n">
        <f aca="false">IF(B282&gt;0, (B282+C282)-TIME(13,30,0), "")</f>
        <v>46121.5305555556</v>
      </c>
      <c r="AT282" s="18" t="n">
        <f aca="false">IF(B282&gt;0, (B282+C282)-TIME(13,30,0), "")</f>
        <v>46121.5305555556</v>
      </c>
      <c r="AU282" s="17" t="n">
        <f aca="false">IF(V282&gt;0, (V282+W282)-TIME(13,30,0), "")</f>
        <v>46126.3215277778</v>
      </c>
      <c r="AV282" s="18" t="n">
        <f aca="false">IF(V282&gt;0, (V282+W282)-TIME(13,30,0), "")</f>
        <v>46126.3215277778</v>
      </c>
      <c r="AW282" s="19" t="n">
        <f aca="false">24*(
MAX(0,
IF(NETWORKDAYS(AS282,AU282)=1,
MIN(MOD(AV282,1),TIME(17,30,0)) - MAX(MOD(AT282,1),TIME(8,30,0)),
(TIME(17,30,0)-MAX(MOD(AT282,1),TIME(8,30,0)))
+ (MIN(MOD(AV282,1),TIME(17,30,0))-TIME(8,30,0))
+ (NETWORKDAYS(AS282,AU282)-2)*9/24
)
)
)</f>
        <v>21.9833333333333</v>
      </c>
      <c r="AX282" s="19" t="n">
        <f aca="false">24*(
MAX(0,
IF(NETWORKDAYS(AS282,AU282)=1,
MIN(MOD(AV282,1),TIME(17,30,0)) - MAX(MOD(AT282,1),TIME(8,30,0)),
(TIME(17,30,0)-MAX(MOD(AT282,1),TIME(8,30,0)))
+ (MIN(MOD(AV282,1),TIME(17,30,0))-TIME(8,30,0))
+ (NETWORKDAYS(AS282,AU282)-2)* (TIME(17,30,0)-TIME(8,30,0))
)
)
)</f>
        <v>21.9833333333333</v>
      </c>
      <c r="AY282" s="20" t="n">
        <f aca="false">ROUND(
IF(AS282=AU282,
MAX(0,
(MIN(MOD(AV282,1),TIME(17,30,0))-
MAX(MOD(AT282,1),TIME(8,30,0)))*24
),
(
(MAX(0,TIME(17,30,0)-MAX(MOD(AT282,1),TIME(8,30,0)))*24)
+
(MAX(0,MIN(MOD(AV282,1),TIME(17,30,0))-TIME(8,30,0))*24)
+
(MAX(0,NETWORKDAYS(AS282+1,AU282-1))*9)
)
),
2)</f>
        <v>22.77</v>
      </c>
      <c r="AZ282" s="0" t="n">
        <f aca="false" t="array" ref="AZ282:AZ282">_xlfn.XLOOKUP(J282,{"Low","Medium","High"},{270,72,24})</f>
        <v>270</v>
      </c>
      <c r="BA282" s="0" t="str">
        <f aca="false">IF(AW282&gt;AZ282,"Not Met","Met")</f>
        <v>Met</v>
      </c>
      <c r="BB282" s="21" t="str">
        <f aca="false">IF(AS282="","",TEXT(AS282,"MMM")&amp;"'"&amp;TEXT(AS282,"yy"))</f>
        <v>Apr'26</v>
      </c>
      <c r="BC282" s="0" t="str">
        <f aca="false">IF(AU282="","",TEXT(AU282,"MMM")&amp;"'"&amp;TEXT(AU282,"yy"))</f>
        <v>Apr'26</v>
      </c>
    </row>
    <row r="283" customFormat="false" ht="15" hidden="false" customHeight="false" outlineLevel="0" collapsed="false">
      <c r="A283" s="1" t="s">
        <v>988</v>
      </c>
      <c r="B283" s="11" t="n">
        <v>46126</v>
      </c>
      <c r="C283" s="12" t="n">
        <v>0.877083333333333</v>
      </c>
      <c r="D283" s="13" t="str">
        <f aca="false">IF(B283="","",TEXT(B283,"MMM")&amp;"'"&amp;TEXT(B283,"yy"))</f>
        <v>Apr'26</v>
      </c>
      <c r="E283" s="27" t="s">
        <v>55</v>
      </c>
      <c r="F283" s="1" t="s">
        <v>39</v>
      </c>
      <c r="G283" s="1" t="str">
        <f aca="false">IF(F283="Closed","Closed","Pending")</f>
        <v>Closed</v>
      </c>
      <c r="H283" s="26" t="s">
        <v>56</v>
      </c>
      <c r="I283" s="26" t="s">
        <v>410</v>
      </c>
      <c r="J283" s="26" t="s">
        <v>74</v>
      </c>
      <c r="K283" s="40" t="s">
        <v>59</v>
      </c>
      <c r="L283" s="1" t="s">
        <v>989</v>
      </c>
      <c r="M283" s="1" t="s">
        <v>990</v>
      </c>
      <c r="N283" s="1" t="s">
        <v>62</v>
      </c>
      <c r="O283" s="1" t="s">
        <v>77</v>
      </c>
      <c r="Q283" s="1" t="s">
        <v>86</v>
      </c>
      <c r="R283" s="1" t="s">
        <v>66</v>
      </c>
      <c r="U283" s="12" t="n">
        <v>0.894444444444445</v>
      </c>
      <c r="V283" s="11" t="n">
        <v>46135</v>
      </c>
      <c r="W283" s="12" t="n">
        <v>0.934722222222222</v>
      </c>
      <c r="X283" s="11" t="n">
        <v>46136</v>
      </c>
      <c r="Y283" s="12" t="n">
        <v>0.765972222222222</v>
      </c>
      <c r="Z283" s="1" t="s">
        <v>108</v>
      </c>
      <c r="AA283" s="1" t="s">
        <v>68</v>
      </c>
      <c r="AB283" s="2" t="e">
        <f aca="false">U283-F283</f>
        <v>#VALUE!</v>
      </c>
      <c r="AC283" s="14" t="n">
        <f aca="false">(V283+W283)-(B283+C283)</f>
        <v>9.05763888888889</v>
      </c>
      <c r="AD283" s="4" t="str">
        <f aca="false">INT((V283+W283)-(B283+C283)) &amp; ":" &amp;
TEXT(HOUR((V283+W283)-(B283+C283)), "00") &amp; ":" &amp;
TEXT(MINUTE((V283+W283)-(B283+C283)), "00")</f>
        <v>9:01:23</v>
      </c>
      <c r="AE283" s="1" t="n">
        <f aca="false">IFERROR(
LEFT(AD283,FIND(":",AD283)-1)
+ MID(AD283,FIND(":",AD283)+1,2)/24
+ RIGHT(AD283,2)/1440,
"")</f>
        <v>9.05763888888889</v>
      </c>
      <c r="AF283" s="4" t="str">
        <f aca="false">INT((X283+Y283)-(B283+C283)) &amp; ":" &amp;
TEXT(HOUR((X283+Y283)-(B283+C283)), "00") &amp; ":" &amp;
TEXT(MINUTE((X283+Y283)-(B283+C283)), "00")</f>
        <v>9:21:20</v>
      </c>
      <c r="AG283" s="4" t="str">
        <f aca="false" t="array" ref="AG283:AG283">INT(_xlfn.XLOOKUP(J283,{"Low","Medium","High","Urgent"},{48,24,12,8})/24) &amp; ":" &amp;
TEXT(MOD(_xlfn.XLOOKUP(J283,{"Low","Medium","High","Urgent"},{48,24,12,8}),24)/24,"hh:mm")</f>
        <v>2:00:00</v>
      </c>
      <c r="AH283" s="4" t="str">
        <f aca="false">IF(AD283&gt;AG283,"Not Met","Met")</f>
        <v>Not Met</v>
      </c>
      <c r="AI283" s="4" t="e">
        <f aca="false">IF(AB283&lt;TIME(0,30,0),"Met","Not Met")</f>
        <v>#VALUE!</v>
      </c>
      <c r="AN283" s="1" t="str">
        <f aca="false">TEXT(B283,"dd")</f>
        <v>14</v>
      </c>
      <c r="AO283" s="1" t="str">
        <f aca="false">TEXT(X283,"dd")</f>
        <v>24</v>
      </c>
      <c r="AP283" s="16" t="str">
        <f aca="false">INT(
  NETWORKDAYS(B283,V283)-1
  + IF(WEEKDAY(V283,2)&lt;6,MOD(V283+W283,1),0)
  - IF(WEEKDAY(B283,2)&lt;6,MOD(B283+C283,1),0)
)
&amp; ":" &amp;
TEXT(HOUR(
  NETWORKDAYS(B283,V283)-1
  + IF(WEEKDAY(V283,2)&lt;6,MOD(V283+W283,1),0)
  - IF(WEEKDAY(B283,2)&lt;6,MOD(B283+C283,1),0)
),"00")
&amp; ":" &amp;
TEXT(MINUTE(
  NETWORKDAYS(B283,V283)-1
  + IF(WEEKDAY(V283,2)&lt;6,MOD(V283+W283,1),0)
  - IF(WEEKDAY(B283,2)&lt;6,MOD(B283+C283,1),0)
),"00")</f>
        <v>7:01:22</v>
      </c>
      <c r="AQ283" s="0" t="n">
        <f aca="false">IFERROR(
LEFT(AP283,FIND(":",AP283)-1)
+ MID(AP283,FIND(":",AP283)+1,2)/24
+ RIGHT(AP283,2)/1440,
"")</f>
        <v>7.05694444444444</v>
      </c>
      <c r="AR283" s="0" t="n">
        <f aca="false">WEEKNUM(B283,1)</f>
        <v>16</v>
      </c>
      <c r="AS283" s="17" t="n">
        <f aca="false">IF(B283&gt;0, (B283+C283)-TIME(13,30,0), "")</f>
        <v>46126.3145833333</v>
      </c>
      <c r="AT283" s="18" t="n">
        <f aca="false">IF(B283&gt;0, (B283+C283)-TIME(13,30,0), "")</f>
        <v>46126.3145833333</v>
      </c>
      <c r="AU283" s="17" t="n">
        <f aca="false">IF(V283&gt;0, (V283+W283)-TIME(13,30,0), "")</f>
        <v>46135.3722222222</v>
      </c>
      <c r="AV283" s="18" t="n">
        <f aca="false">IF(V283&gt;0, (V283+W283)-TIME(13,30,0), "")</f>
        <v>46135.3722222222</v>
      </c>
      <c r="AW283" s="19" t="n">
        <f aca="false">24*(
MAX(0,
IF(NETWORKDAYS(AS283,AU283)=1,
MIN(MOD(AV283,1),TIME(17,30,0)) - MAX(MOD(AT283,1),TIME(8,30,0)),
(TIME(17,30,0)-MAX(MOD(AT283,1),TIME(8,30,0)))
+ (MIN(MOD(AV283,1),TIME(17,30,0))-TIME(8,30,0))
+ (NETWORKDAYS(AS283,AU283)-2)*9/24
)
)
)</f>
        <v>63.4333333333333</v>
      </c>
      <c r="AX283" s="19" t="n">
        <f aca="false">24*(
MAX(0,
IF(NETWORKDAYS(AS283,AU283)=1,
MIN(MOD(AV283,1),TIME(17,30,0)) - MAX(MOD(AT283,1),TIME(8,30,0)),
(TIME(17,30,0)-MAX(MOD(AT283,1),TIME(8,30,0)))
+ (MIN(MOD(AV283,1),TIME(17,30,0))-TIME(8,30,0))
+ (NETWORKDAYS(AS283,AU283)-2)* (TIME(17,30,0)-TIME(8,30,0))
)
)
)</f>
        <v>63.4333333333333</v>
      </c>
      <c r="AY283" s="20" t="n">
        <f aca="false">ROUND(
IF(AS283=AU283,
MAX(0,
(MIN(MOD(AV283,1),TIME(17,30,0))-
MAX(MOD(AT283,1),TIME(8,30,0)))*24
),
(
(MAX(0,TIME(17,30,0)-MAX(MOD(AT283,1),TIME(8,30,0)))*24)
+
(MAX(0,MIN(MOD(AV283,1),TIME(17,30,0))-TIME(8,30,0))*24)
+
(MAX(0,NETWORKDAYS(AS283+1,AU283-1))*9)
)
),
2)</f>
        <v>63.43</v>
      </c>
      <c r="AZ283" s="0" t="n">
        <f aca="false" t="array" ref="AZ283:AZ283">_xlfn.XLOOKUP(J283,{"Low","Medium","High"},{270,72,24})</f>
        <v>270</v>
      </c>
      <c r="BA283" s="0" t="str">
        <f aca="false">IF(AW283&gt;AZ283,"Not Met","Met")</f>
        <v>Met</v>
      </c>
      <c r="BB283" s="21" t="str">
        <f aca="false">IF(AS283="","",TEXT(AS283,"MMM")&amp;"'"&amp;TEXT(AS283,"yy"))</f>
        <v>Apr'26</v>
      </c>
      <c r="BC283" s="0" t="str">
        <f aca="false">IF(AU283="","",TEXT(AU283,"MMM")&amp;"'"&amp;TEXT(AU283,"yy"))</f>
        <v>Apr'26</v>
      </c>
    </row>
    <row r="284" customFormat="false" ht="15" hidden="false" customHeight="false" outlineLevel="0" collapsed="false">
      <c r="A284" s="1" t="s">
        <v>991</v>
      </c>
      <c r="B284" s="11" t="n">
        <v>46126</v>
      </c>
      <c r="C284" s="12" t="n">
        <v>0.909027777777778</v>
      </c>
      <c r="D284" s="13" t="str">
        <f aca="false">IF(B284="","",TEXT(B284,"MMM")&amp;"'"&amp;TEXT(B284,"yy"))</f>
        <v>Apr'26</v>
      </c>
      <c r="E284" s="27" t="s">
        <v>55</v>
      </c>
      <c r="F284" s="23" t="s">
        <v>39</v>
      </c>
      <c r="G284" s="1" t="str">
        <f aca="false">IF(F284="Closed","Closed","Pending")</f>
        <v>Closed</v>
      </c>
      <c r="H284" s="1" t="s">
        <v>120</v>
      </c>
      <c r="I284" s="1" t="s">
        <v>210</v>
      </c>
      <c r="J284" s="1" t="s">
        <v>74</v>
      </c>
      <c r="K284" s="1" t="s">
        <v>59</v>
      </c>
      <c r="L284" s="35" t="s">
        <v>992</v>
      </c>
      <c r="M284" s="23" t="s">
        <v>993</v>
      </c>
      <c r="N284" s="1" t="s">
        <v>62</v>
      </c>
      <c r="O284" s="1" t="s">
        <v>63</v>
      </c>
      <c r="Q284" s="1" t="s">
        <v>229</v>
      </c>
      <c r="R284" s="1" t="s">
        <v>87</v>
      </c>
      <c r="U284" s="12" t="n">
        <v>0.919444444444444</v>
      </c>
      <c r="V284" s="11" t="n">
        <v>46136</v>
      </c>
      <c r="W284" s="12" t="n">
        <v>0.928472222222222</v>
      </c>
      <c r="X284" s="11" t="n">
        <v>46136</v>
      </c>
      <c r="Y284" s="12" t="n">
        <v>0.928472222222222</v>
      </c>
      <c r="Z284" s="1" t="s">
        <v>67</v>
      </c>
      <c r="AA284" s="1" t="s">
        <v>68</v>
      </c>
      <c r="AB284" s="2" t="e">
        <f aca="false">U284-F284</f>
        <v>#VALUE!</v>
      </c>
      <c r="AC284" s="14" t="n">
        <f aca="false">(V284+W284)-(B284+C284)</f>
        <v>10.0194444444444</v>
      </c>
      <c r="AD284" s="4" t="str">
        <f aca="false">INT((V284+W284)-(B284+C284)) &amp; ":" &amp;
TEXT(HOUR((V284+W284)-(B284+C284)), "00") &amp; ":" &amp;
TEXT(MINUTE((V284+W284)-(B284+C284)), "00")</f>
        <v>10:00:28</v>
      </c>
      <c r="AE284" s="1" t="n">
        <f aca="false">IFERROR(
LEFT(AD284,FIND(":",AD284)-1)
+ MID(AD284,FIND(":",AD284)+1,2)/24
+ RIGHT(AD284,2)/1440,
"")</f>
        <v>10.0194444444444</v>
      </c>
      <c r="AF284" s="4" t="str">
        <f aca="false">INT((X284+Y284)-(B284+C284)) &amp; ":" &amp;
TEXT(HOUR((X284+Y284)-(B284+C284)), "00") &amp; ":" &amp;
TEXT(MINUTE((X284+Y284)-(B284+C284)), "00")</f>
        <v>10:00:28</v>
      </c>
      <c r="AG284" s="4" t="str">
        <f aca="false" t="array" ref="AG284:AG284">INT(_xlfn.XLOOKUP(J284,{"Low","Medium","High","Urgent"},{48,24,12,8})/24) &amp; ":" &amp;
TEXT(MOD(_xlfn.XLOOKUP(J284,{"Low","Medium","High","Urgent"},{48,24,12,8}),24)/24,"hh:mm")</f>
        <v>2:00:00</v>
      </c>
      <c r="AH284" s="4" t="str">
        <f aca="false">IF(AD284&gt;AG284,"Not Met","Met")</f>
        <v>Met</v>
      </c>
      <c r="AI284" s="4" t="e">
        <f aca="false">IF(AB284&lt;TIME(0,30,0),"Met","Not Met")</f>
        <v>#VALUE!</v>
      </c>
      <c r="AN284" s="1" t="str">
        <f aca="false">TEXT(B284,"dd")</f>
        <v>14</v>
      </c>
      <c r="AO284" s="1" t="str">
        <f aca="false">TEXT(X284,"dd")</f>
        <v>24</v>
      </c>
      <c r="AP284" s="16" t="str">
        <f aca="false">INT(
  NETWORKDAYS(B284,V284)-1
  + IF(WEEKDAY(V284,2)&lt;6,MOD(V284+W284,1),0)
  - IF(WEEKDAY(B284,2)&lt;6,MOD(B284+C284,1),0)
)
&amp; ":" &amp;
TEXT(HOUR(
  NETWORKDAYS(B284,V284)-1
  + IF(WEEKDAY(V284,2)&lt;6,MOD(V284+W284,1),0)
  - IF(WEEKDAY(B284,2)&lt;6,MOD(B284+C284,1),0)
),"00")
&amp; ":" &amp;
TEXT(MINUTE(
  NETWORKDAYS(B284,V284)-1
  + IF(WEEKDAY(V284,2)&lt;6,MOD(V284+W284,1),0)
  - IF(WEEKDAY(B284,2)&lt;6,MOD(B284+C284,1),0)
),"00")</f>
        <v>8:00:27</v>
      </c>
      <c r="AQ284" s="0" t="n">
        <f aca="false">IFERROR(
LEFT(AP284,FIND(":",AP284)-1)
+ MID(AP284,FIND(":",AP284)+1,2)/24
+ RIGHT(AP284,2)/1440,
"")</f>
        <v>8.01875</v>
      </c>
      <c r="AR284" s="0" t="n">
        <f aca="false">WEEKNUM(B284,1)</f>
        <v>16</v>
      </c>
      <c r="AS284" s="17" t="n">
        <f aca="false">IF(B284&gt;0, (B284+C284)-TIME(13,30,0), "")</f>
        <v>46126.3465277778</v>
      </c>
      <c r="AT284" s="18" t="n">
        <f aca="false">IF(B284&gt;0, (B284+C284)-TIME(13,30,0), "")</f>
        <v>46126.3465277778</v>
      </c>
      <c r="AU284" s="17" t="n">
        <f aca="false">IF(V284&gt;0, (V284+W284)-TIME(13,30,0), "")</f>
        <v>46136.3659722222</v>
      </c>
      <c r="AV284" s="18" t="n">
        <f aca="false">IF(V284&gt;0, (V284+W284)-TIME(13,30,0), "")</f>
        <v>46136.3659722222</v>
      </c>
      <c r="AW284" s="19" t="n">
        <f aca="false">24*(
MAX(0,
IF(NETWORKDAYS(AS284,AU284)=1,
MIN(MOD(AV284,1),TIME(17,30,0)) - MAX(MOD(AT284,1),TIME(8,30,0)),
(TIME(17,30,0)-MAX(MOD(AT284,1),TIME(8,30,0)))
+ (MIN(MOD(AV284,1),TIME(17,30,0))-TIME(8,30,0))
+ (NETWORKDAYS(AS284,AU284)-2)*9/24
)
)
)</f>
        <v>72.2833333333333</v>
      </c>
      <c r="AX284" s="19" t="n">
        <f aca="false">24*(
MAX(0,
IF(NETWORKDAYS(AS284,AU284)=1,
MIN(MOD(AV284,1),TIME(17,30,0)) - MAX(MOD(AT284,1),TIME(8,30,0)),
(TIME(17,30,0)-MAX(MOD(AT284,1),TIME(8,30,0)))
+ (MIN(MOD(AV284,1),TIME(17,30,0))-TIME(8,30,0))
+ (NETWORKDAYS(AS284,AU284)-2)* (TIME(17,30,0)-TIME(8,30,0))
)
)
)</f>
        <v>72.2833333333333</v>
      </c>
      <c r="AY284" s="20" t="n">
        <f aca="false">ROUND(
IF(AS284=AU284,
MAX(0,
(MIN(MOD(AV284,1),TIME(17,30,0))-
MAX(MOD(AT284,1),TIME(8,30,0)))*24
),
(
(MAX(0,TIME(17,30,0)-MAX(MOD(AT284,1),TIME(8,30,0)))*24)
+
(MAX(0,MIN(MOD(AV284,1),TIME(17,30,0))-TIME(8,30,0))*24)
+
(MAX(0,NETWORKDAYS(AS284+1,AU284-1))*9)
)
),
2)</f>
        <v>72.28</v>
      </c>
      <c r="AZ284" s="0" t="n">
        <f aca="false" t="array" ref="AZ284:AZ284">_xlfn.XLOOKUP(J284,{"Low","Medium","High"},{270,72,24})</f>
        <v>270</v>
      </c>
      <c r="BA284" s="0" t="str">
        <f aca="false">IF(AW284&gt;AZ284,"Not Met","Met")</f>
        <v>Met</v>
      </c>
      <c r="BB284" s="21" t="str">
        <f aca="false">IF(AS284="","",TEXT(AS284,"MMM")&amp;"'"&amp;TEXT(AS284,"yy"))</f>
        <v>Apr'26</v>
      </c>
      <c r="BC284" s="0" t="str">
        <f aca="false">IF(AU284="","",TEXT(AU284,"MMM")&amp;"'"&amp;TEXT(AU284,"yy"))</f>
        <v>Apr'26</v>
      </c>
    </row>
    <row r="285" customFormat="false" ht="15" hidden="false" customHeight="false" outlineLevel="0" collapsed="false">
      <c r="A285" s="1" t="s">
        <v>994</v>
      </c>
      <c r="B285" s="11" t="n">
        <v>46128</v>
      </c>
      <c r="C285" s="12" t="n">
        <v>0.254861111111111</v>
      </c>
      <c r="D285" s="13" t="str">
        <f aca="false">IF(B285="","",TEXT(B285,"MMM")&amp;"'"&amp;TEXT(B285,"yy"))</f>
        <v>Apr'26</v>
      </c>
      <c r="E285" s="27" t="s">
        <v>55</v>
      </c>
      <c r="F285" s="1" t="s">
        <v>39</v>
      </c>
      <c r="G285" s="1" t="str">
        <f aca="false">IF(F285="Closed","Closed","Pending")</f>
        <v>Closed</v>
      </c>
      <c r="H285" s="1" t="s">
        <v>56</v>
      </c>
      <c r="I285" s="1" t="s">
        <v>323</v>
      </c>
      <c r="J285" s="1" t="s">
        <v>58</v>
      </c>
      <c r="K285" s="1" t="s">
        <v>59</v>
      </c>
      <c r="L285" s="35" t="s">
        <v>995</v>
      </c>
      <c r="M285" s="1" t="s">
        <v>996</v>
      </c>
      <c r="N285" s="1" t="s">
        <v>62</v>
      </c>
      <c r="O285" s="1" t="s">
        <v>77</v>
      </c>
      <c r="Q285" s="1" t="s">
        <v>86</v>
      </c>
      <c r="R285" s="1" t="s">
        <v>87</v>
      </c>
      <c r="U285" s="12" t="n">
        <v>0.886111111111111</v>
      </c>
      <c r="V285" s="11" t="n">
        <v>46132</v>
      </c>
      <c r="W285" s="12" t="n">
        <v>0.895833333333333</v>
      </c>
      <c r="X285" s="11" t="n">
        <v>46135</v>
      </c>
      <c r="Y285" s="12" t="n">
        <v>0.925</v>
      </c>
      <c r="Z285" s="1" t="s">
        <v>108</v>
      </c>
      <c r="AA285" s="1" t="s">
        <v>68</v>
      </c>
      <c r="AB285" s="2" t="e">
        <f aca="false">U285-F285</f>
        <v>#VALUE!</v>
      </c>
      <c r="AC285" s="14" t="n">
        <f aca="false">(V285+W285)-(B285+C285)</f>
        <v>4.64097222222222</v>
      </c>
      <c r="AD285" s="4" t="str">
        <f aca="false">INT((V285+W285)-(B285+C285)) &amp; ":" &amp;
TEXT(HOUR((V285+W285)-(B285+C285)), "00") &amp; ":" &amp;
TEXT(MINUTE((V285+W285)-(B285+C285)), "00")</f>
        <v>4:15:23</v>
      </c>
      <c r="AE285" s="1" t="n">
        <f aca="false">IFERROR(
LEFT(AD285,FIND(":",AD285)-1)
+ MID(AD285,FIND(":",AD285)+1,2)/24
+ RIGHT(AD285,2)/1440,
"")</f>
        <v>4.64097222222222</v>
      </c>
      <c r="AF285" s="4" t="str">
        <f aca="false">INT((X285+Y285)-(B285+C285)) &amp; ":" &amp;
TEXT(HOUR((X285+Y285)-(B285+C285)), "00") &amp; ":" &amp;
TEXT(MINUTE((X285+Y285)-(B285+C285)), "00")</f>
        <v>7:16:05</v>
      </c>
      <c r="AG285" s="4" t="str">
        <f aca="false" t="array" ref="AG285:AG285">INT(_xlfn.XLOOKUP(J285,{"Low","Medium","High","Urgent"},{48,24,12,8})/24) &amp; ":" &amp;
TEXT(MOD(_xlfn.XLOOKUP(J285,{"Low","Medium","High","Urgent"},{48,24,12,8}),24)/24,"hh:mm")</f>
        <v>1:00:00</v>
      </c>
      <c r="AH285" s="4" t="str">
        <f aca="false">IF(AD285&gt;AG285,"Not Met","Met")</f>
        <v>Not Met</v>
      </c>
      <c r="AI285" s="4" t="e">
        <f aca="false">IF(AB285&lt;TIME(0,30,0),"Met","Not Met")</f>
        <v>#VALUE!</v>
      </c>
      <c r="AN285" s="1" t="str">
        <f aca="false">TEXT(B285,"dd")</f>
        <v>16</v>
      </c>
      <c r="AO285" s="1" t="str">
        <f aca="false">TEXT(X285,"dd")</f>
        <v>23</v>
      </c>
      <c r="AP285" s="16" t="str">
        <f aca="false">INT(
  NETWORKDAYS(B285,V285)-1
  + IF(WEEKDAY(V285,2)&lt;6,MOD(V285+W285,1),0)
  - IF(WEEKDAY(B285,2)&lt;6,MOD(B285+C285,1),0)
)
&amp; ":" &amp;
TEXT(HOUR(
  NETWORKDAYS(B285,V285)-1
  + IF(WEEKDAY(V285,2)&lt;6,MOD(V285+W285,1),0)
  - IF(WEEKDAY(B285,2)&lt;6,MOD(B285+C285,1),0)
),"00")
&amp; ":" &amp;
TEXT(MINUTE(
  NETWORKDAYS(B285,V285)-1
  + IF(WEEKDAY(V285,2)&lt;6,MOD(V285+W285,1),0)
  - IF(WEEKDAY(B285,2)&lt;6,MOD(B285+C285,1),0)
),"00")</f>
        <v>2:15:23</v>
      </c>
      <c r="AQ285" s="0" t="n">
        <f aca="false">IFERROR(
LEFT(AP285,FIND(":",AP285)-1)
+ MID(AP285,FIND(":",AP285)+1,2)/24
+ RIGHT(AP285,2)/1440,
"")</f>
        <v>2.64097222222222</v>
      </c>
      <c r="AR285" s="0" t="n">
        <f aca="false">WEEKNUM(B285,1)</f>
        <v>16</v>
      </c>
      <c r="AS285" s="17" t="n">
        <f aca="false">IF(B285&gt;0, (B285+C285)-TIME(13,30,0), "")</f>
        <v>46127.6923611111</v>
      </c>
      <c r="AT285" s="18" t="n">
        <f aca="false">IF(B285&gt;0, (B285+C285)-TIME(13,30,0), "")</f>
        <v>46127.6923611111</v>
      </c>
      <c r="AU285" s="17" t="n">
        <f aca="false">IF(V285&gt;0, (V285+W285)-TIME(13,30,0), "")</f>
        <v>46132.3333333333</v>
      </c>
      <c r="AV285" s="18" t="n">
        <f aca="false">IF(V285&gt;0, (V285+W285)-TIME(13,30,0), "")</f>
        <v>46132.3333333333</v>
      </c>
      <c r="AW285" s="19" t="n">
        <f aca="false">24*(
MAX(0,
IF(NETWORKDAYS(AS285,AU285)=1,
MIN(MOD(AV285,1),TIME(17,30,0)) - MAX(MOD(AT285,1),TIME(8,30,0)),
(TIME(17,30,0)-MAX(MOD(AT285,1),TIME(8,30,0)))
+ (MIN(MOD(AV285,1),TIME(17,30,0))-TIME(8,30,0))
+ (NETWORKDAYS(AS285,AU285)-2)*9/24
)
)
)</f>
        <v>18.3833333333333</v>
      </c>
      <c r="AX285" s="19" t="n">
        <f aca="false">24*(
MAX(0,
IF(NETWORKDAYS(AS285,AU285)=1,
MIN(MOD(AV285,1),TIME(17,30,0)) - MAX(MOD(AT285,1),TIME(8,30,0)),
(TIME(17,30,0)-MAX(MOD(AT285,1),TIME(8,30,0)))
+ (MIN(MOD(AV285,1),TIME(17,30,0))-TIME(8,30,0))
+ (NETWORKDAYS(AS285,AU285)-2)* (TIME(17,30,0)-TIME(8,30,0))
)
)
)</f>
        <v>18.3833333333333</v>
      </c>
      <c r="AY285" s="20" t="n">
        <f aca="false">ROUND(
IF(AS285=AU285,
MAX(0,
(MIN(MOD(AV285,1),TIME(17,30,0))-
MAX(MOD(AT285,1),TIME(8,30,0)))*24
),
(
(MAX(0,TIME(17,30,0)-MAX(MOD(AT285,1),TIME(8,30,0)))*24)
+
(MAX(0,MIN(MOD(AV285,1),TIME(17,30,0))-TIME(8,30,0))*24)
+
(MAX(0,NETWORKDAYS(AS285+1,AU285-1))*9)
)
),
2)</f>
        <v>18.88</v>
      </c>
      <c r="AZ285" s="0" t="n">
        <f aca="false" t="array" ref="AZ285:AZ285">_xlfn.XLOOKUP(J285,{"Low","Medium","High"},{270,72,24})</f>
        <v>72</v>
      </c>
      <c r="BA285" s="0" t="str">
        <f aca="false">IF(AW285&gt;AZ285,"Not Met","Met")</f>
        <v>Met</v>
      </c>
      <c r="BB285" s="21" t="str">
        <f aca="false">IF(AS285="","",TEXT(AS285,"MMM")&amp;"'"&amp;TEXT(AS285,"yy"))</f>
        <v>Apr'26</v>
      </c>
      <c r="BC285" s="0" t="str">
        <f aca="false">IF(AU285="","",TEXT(AU285,"MMM")&amp;"'"&amp;TEXT(AU285,"yy"))</f>
        <v>Apr'26</v>
      </c>
    </row>
    <row r="286" customFormat="false" ht="15" hidden="false" customHeight="false" outlineLevel="0" collapsed="false">
      <c r="A286" s="1" t="s">
        <v>997</v>
      </c>
      <c r="B286" s="11" t="n">
        <v>46128</v>
      </c>
      <c r="C286" s="12" t="n">
        <v>0.80625</v>
      </c>
      <c r="D286" s="13" t="str">
        <f aca="false">IF(B286="","",TEXT(B286,"MMM")&amp;"'"&amp;TEXT(B286,"yy"))</f>
        <v>Apr'26</v>
      </c>
      <c r="E286" s="27" t="s">
        <v>55</v>
      </c>
      <c r="F286" s="1" t="s">
        <v>39</v>
      </c>
      <c r="G286" s="1" t="str">
        <f aca="false">IF(F286="Closed","Closed","Pending")</f>
        <v>Closed</v>
      </c>
      <c r="H286" s="29" t="s">
        <v>185</v>
      </c>
      <c r="I286" s="1" t="s">
        <v>302</v>
      </c>
      <c r="J286" s="29" t="s">
        <v>74</v>
      </c>
      <c r="K286" s="29" t="s">
        <v>59</v>
      </c>
      <c r="L286" s="1" t="s">
        <v>998</v>
      </c>
      <c r="M286" s="1" t="s">
        <v>999</v>
      </c>
      <c r="N286" s="1" t="s">
        <v>62</v>
      </c>
      <c r="O286" s="1" t="s">
        <v>63</v>
      </c>
      <c r="Q286" s="1" t="s">
        <v>229</v>
      </c>
      <c r="R286" s="1" t="s">
        <v>66</v>
      </c>
      <c r="U286" s="12" t="n">
        <v>0.886111111111111</v>
      </c>
      <c r="V286" s="11" t="n">
        <v>46130</v>
      </c>
      <c r="W286" s="12" t="n">
        <v>0.0194444444444444</v>
      </c>
      <c r="X286" s="11" t="n">
        <v>46130</v>
      </c>
      <c r="Y286" s="12" t="n">
        <v>0.188194444444444</v>
      </c>
      <c r="Z286" s="1" t="s">
        <v>108</v>
      </c>
      <c r="AA286" s="1" t="s">
        <v>68</v>
      </c>
      <c r="AB286" s="2" t="e">
        <f aca="false">U286-F286</f>
        <v>#VALUE!</v>
      </c>
      <c r="AC286" s="14" t="n">
        <f aca="false">(V286+W286)-(B286+C286)</f>
        <v>1.21319444444444</v>
      </c>
      <c r="AD286" s="4" t="str">
        <f aca="false">INT((V286+W286)-(B286+C286)) &amp; ":" &amp;
TEXT(HOUR((V286+W286)-(B286+C286)), "00") &amp; ":" &amp;
TEXT(MINUTE((V286+W286)-(B286+C286)), "00")</f>
        <v>1:05:07</v>
      </c>
      <c r="AE286" s="1" t="n">
        <f aca="false">IFERROR(
LEFT(AD286,FIND(":",AD286)-1)
+ MID(AD286,FIND(":",AD286)+1,2)/24
+ RIGHT(AD286,2)/1440,
"")</f>
        <v>1.21319444444444</v>
      </c>
      <c r="AF286" s="4" t="str">
        <f aca="false">INT((X286+Y286)-(B286+C286)) &amp; ":" &amp;
TEXT(HOUR((X286+Y286)-(B286+C286)), "00") &amp; ":" &amp;
TEXT(MINUTE((X286+Y286)-(B286+C286)), "00")</f>
        <v>1:09:10</v>
      </c>
      <c r="AG286" s="4" t="str">
        <f aca="false" t="array" ref="AG286:AG286">INT(_xlfn.XLOOKUP(J286,{"Low","Medium","High","Urgent"},{48,24,12,8})/24) &amp; ":" &amp;
TEXT(MOD(_xlfn.XLOOKUP(J286,{"Low","Medium","High","Urgent"},{48,24,12,8}),24)/24,"hh:mm")</f>
        <v>2:00:00</v>
      </c>
      <c r="AH286" s="4" t="str">
        <f aca="false">IF(AD286&gt;AG286,"Not Met","Met")</f>
        <v>Met</v>
      </c>
      <c r="AI286" s="4" t="e">
        <f aca="false">IF(AB286&lt;TIME(0,30,0),"Met","Not Met")</f>
        <v>#VALUE!</v>
      </c>
      <c r="AN286" s="1" t="str">
        <f aca="false">TEXT(B286,"dd")</f>
        <v>16</v>
      </c>
      <c r="AO286" s="1" t="str">
        <f aca="false">TEXT(X286,"dd")</f>
        <v>18</v>
      </c>
      <c r="AP286" s="16" t="str">
        <f aca="false">INT(
  NETWORKDAYS(B286,V286)-1
  + IF(WEEKDAY(V286,2)&lt;6,MOD(V286+W286,1),0)
  - IF(WEEKDAY(B286,2)&lt;6,MOD(B286+C286,1),0)
)
&amp; ":" &amp;
TEXT(HOUR(
  NETWORKDAYS(B286,V286)-1
  + IF(WEEKDAY(V286,2)&lt;6,MOD(V286+W286,1),0)
  - IF(WEEKDAY(B286,2)&lt;6,MOD(B286+C286,1),0)
),"00")
&amp; ":" &amp;
TEXT(MINUTE(
  NETWORKDAYS(B286,V286)-1
  + IF(WEEKDAY(V286,2)&lt;6,MOD(V286+W286,1),0)
  - IF(WEEKDAY(B286,2)&lt;6,MOD(B286+C286,1),0)
),"00")</f>
        <v>0:04:38</v>
      </c>
      <c r="AQ286" s="0" t="n">
        <f aca="false">IFERROR(
LEFT(AP286,FIND(":",AP286)-1)
+ MID(AP286,FIND(":",AP286)+1,2)/24
+ RIGHT(AP286,2)/1440,
"")</f>
        <v>0.193055555555556</v>
      </c>
      <c r="AR286" s="0" t="n">
        <f aca="false">WEEKNUM(B286,1)</f>
        <v>16</v>
      </c>
      <c r="AS286" s="17" t="n">
        <f aca="false">IF(B286&gt;0, (B286+C286)-TIME(13,30,0), "")</f>
        <v>46128.24375</v>
      </c>
      <c r="AT286" s="18" t="n">
        <f aca="false">IF(B286&gt;0, (B286+C286)-TIME(13,30,0), "")</f>
        <v>46128.24375</v>
      </c>
      <c r="AU286" s="17" t="n">
        <f aca="false">IF(V286&gt;0, (V286+W286)-TIME(13,30,0), "")</f>
        <v>46129.4569444444</v>
      </c>
      <c r="AV286" s="18" t="n">
        <f aca="false">IF(V286&gt;0, (V286+W286)-TIME(13,30,0), "")</f>
        <v>46129.4569444444</v>
      </c>
      <c r="AW286" s="19" t="n">
        <f aca="false">24*(
MAX(0,
IF(NETWORKDAYS(AS286,AU286)=1,
MIN(MOD(AV286,1),TIME(17,30,0)) - MAX(MOD(AT286,1),TIME(8,30,0)),
(TIME(17,30,0)-MAX(MOD(AT286,1),TIME(8,30,0)))
+ (MIN(MOD(AV286,1),TIME(17,30,0))-TIME(8,30,0))
+ (NETWORKDAYS(AS286,AU286)-2)*9/24
)
)
)</f>
        <v>11.4666666666667</v>
      </c>
      <c r="AX286" s="19" t="n">
        <f aca="false">24*(
MAX(0,
IF(NETWORKDAYS(AS286,AU286)=1,
MIN(MOD(AV286,1),TIME(17,30,0)) - MAX(MOD(AT286,1),TIME(8,30,0)),
(TIME(17,30,0)-MAX(MOD(AT286,1),TIME(8,30,0)))
+ (MIN(MOD(AV286,1),TIME(17,30,0))-TIME(8,30,0))
+ (NETWORKDAYS(AS286,AU286)-2)* (TIME(17,30,0)-TIME(8,30,0))
)
)
)</f>
        <v>11.4666666666667</v>
      </c>
      <c r="AY286" s="20" t="n">
        <f aca="false">ROUND(
IF(AS286=AU286,
MAX(0,
(MIN(MOD(AV286,1),TIME(17,30,0))-
MAX(MOD(AT286,1),TIME(8,30,0)))*24
),
(
(MAX(0,TIME(17,30,0)-MAX(MOD(AT286,1),TIME(8,30,0)))*24)
+
(MAX(0,MIN(MOD(AV286,1),TIME(17,30,0))-TIME(8,30,0))*24)
+
(MAX(0,NETWORKDAYS(AS286+1,AU286-1))*9)
)
),
2)</f>
        <v>11.47</v>
      </c>
      <c r="AZ286" s="0" t="n">
        <f aca="false" t="array" ref="AZ286:AZ286">_xlfn.XLOOKUP(J286,{"Low","Medium","High"},{270,72,24})</f>
        <v>270</v>
      </c>
      <c r="BA286" s="0" t="str">
        <f aca="false">IF(AW286&gt;AZ286,"Not Met","Met")</f>
        <v>Met</v>
      </c>
      <c r="BB286" s="21" t="str">
        <f aca="false">IF(AS286="","",TEXT(AS286,"MMM")&amp;"'"&amp;TEXT(AS286,"yy"))</f>
        <v>Apr'26</v>
      </c>
      <c r="BC286" s="0" t="str">
        <f aca="false">IF(AU286="","",TEXT(AU286,"MMM")&amp;"'"&amp;TEXT(AU286,"yy"))</f>
        <v>Apr'26</v>
      </c>
    </row>
    <row r="287" customFormat="false" ht="15" hidden="false" customHeight="false" outlineLevel="0" collapsed="false">
      <c r="A287" s="1" t="s">
        <v>1000</v>
      </c>
      <c r="B287" s="11" t="n">
        <v>46129</v>
      </c>
      <c r="C287" s="12" t="n">
        <v>0.0958333333333333</v>
      </c>
      <c r="D287" s="13" t="str">
        <f aca="false">IF(B287="","",TEXT(B287,"MMM")&amp;"'"&amp;TEXT(B287,"yy"))</f>
        <v>Apr'26</v>
      </c>
      <c r="E287" s="27" t="s">
        <v>55</v>
      </c>
      <c r="F287" s="1" t="s">
        <v>39</v>
      </c>
      <c r="G287" s="1" t="str">
        <f aca="false">IF(F287="Closed","Closed","Pending")</f>
        <v>Closed</v>
      </c>
      <c r="H287" s="1" t="s">
        <v>81</v>
      </c>
      <c r="I287" s="1" t="s">
        <v>82</v>
      </c>
      <c r="J287" s="1" t="s">
        <v>74</v>
      </c>
      <c r="K287" s="1" t="s">
        <v>59</v>
      </c>
      <c r="L287" s="1" t="s">
        <v>1001</v>
      </c>
      <c r="M287" s="1" t="s">
        <v>1002</v>
      </c>
      <c r="N287" s="1" t="s">
        <v>65</v>
      </c>
      <c r="O287" s="1" t="s">
        <v>106</v>
      </c>
      <c r="Q287" s="1" t="s">
        <v>65</v>
      </c>
      <c r="R287" s="1" t="s">
        <v>87</v>
      </c>
      <c r="U287" s="12" t="n">
        <v>0.107638888888889</v>
      </c>
      <c r="V287" s="11" t="n">
        <v>46130</v>
      </c>
      <c r="W287" s="12" t="n">
        <v>0.0215277777777778</v>
      </c>
      <c r="X287" s="11" t="n">
        <v>46130</v>
      </c>
      <c r="Y287" s="12" t="n">
        <v>0.14375</v>
      </c>
      <c r="Z287" s="1" t="s">
        <v>67</v>
      </c>
      <c r="AA287" s="1" t="s">
        <v>68</v>
      </c>
      <c r="AB287" s="2" t="e">
        <f aca="false">U287-F287</f>
        <v>#VALUE!</v>
      </c>
      <c r="AC287" s="14" t="n">
        <f aca="false">(V287+W287)-(B287+C287)</f>
        <v>0.925694444444445</v>
      </c>
      <c r="AD287" s="4" t="str">
        <f aca="false">INT((V287+W287)-(B287+C287)) &amp; ":" &amp;
TEXT(HOUR((V287+W287)-(B287+C287)), "00") &amp; ":" &amp;
TEXT(MINUTE((V287+W287)-(B287+C287)), "00")</f>
        <v>0:22:13</v>
      </c>
      <c r="AE287" s="1" t="n">
        <f aca="false">IFERROR(
LEFT(AD287,FIND(":",AD287)-1)
+ MID(AD287,FIND(":",AD287)+1,2)/24
+ RIGHT(AD287,2)/1440,
"")</f>
        <v>0.925694444444444</v>
      </c>
      <c r="AF287" s="4" t="str">
        <f aca="false">INT((X287+Y287)-(B287+C287)) &amp; ":" &amp;
TEXT(HOUR((X287+Y287)-(B287+C287)), "00") &amp; ":" &amp;
TEXT(MINUTE((X287+Y287)-(B287+C287)), "00")</f>
        <v>1:01:09</v>
      </c>
      <c r="AG287" s="4" t="str">
        <f aca="false" t="array" ref="AG287:AG287">INT(_xlfn.XLOOKUP(J287,{"Low","Medium","High","Urgent"},{48,24,12,8})/24) &amp; ":" &amp;
TEXT(MOD(_xlfn.XLOOKUP(J287,{"Low","Medium","High","Urgent"},{48,24,12,8}),24)/24,"hh:mm")</f>
        <v>2:00:00</v>
      </c>
      <c r="AH287" s="4" t="str">
        <f aca="false">IF(AD287&gt;AG287,"Not Met","Met")</f>
        <v>Met</v>
      </c>
      <c r="AI287" s="4" t="e">
        <f aca="false">IF(AB287&lt;TIME(0,30,0),"Met","Not Met")</f>
        <v>#VALUE!</v>
      </c>
      <c r="AN287" s="1" t="str">
        <f aca="false">TEXT(B287,"dd")</f>
        <v>17</v>
      </c>
      <c r="AO287" s="1" t="str">
        <f aca="false">TEXT(X287,"dd")</f>
        <v>18</v>
      </c>
      <c r="AP287" s="16" t="str">
        <f aca="false">INT(
  NETWORKDAYS(B287,V287)-1
  + IF(WEEKDAY(V287,2)&lt;6,MOD(V287+W287,1),0)
  - IF(WEEKDAY(B287,2)&lt;6,MOD(B287+C287,1),0)
)
&amp; ":" &amp;
TEXT(HOUR(
  NETWORKDAYS(B287,V287)-1
  + IF(WEEKDAY(V287,2)&lt;6,MOD(V287+W287,1),0)
  - IF(WEEKDAY(B287,2)&lt;6,MOD(B287+C287,1),0)
),"00")
&amp; ":" &amp;
TEXT(MINUTE(
  NETWORKDAYS(B287,V287)-1
  + IF(WEEKDAY(V287,2)&lt;6,MOD(V287+W287,1),0)
  - IF(WEEKDAY(B287,2)&lt;6,MOD(B287+C287,1),0)
),"00")</f>
        <v>-1:21:42</v>
      </c>
      <c r="AQ287" s="0" t="n">
        <f aca="false">IFERROR(
LEFT(AP287,FIND(":",AP287)-1)
+ MID(AP287,FIND(":",AP287)+1,2)/24
+ RIGHT(AP287,2)/1440,
"")</f>
        <v>-0.0958333333333333</v>
      </c>
      <c r="AR287" s="0" t="n">
        <f aca="false">WEEKNUM(B287,1)</f>
        <v>16</v>
      </c>
      <c r="AS287" s="17" t="n">
        <f aca="false">IF(B287&gt;0, (B287+C287)-TIME(13,30,0), "")</f>
        <v>46128.5333333333</v>
      </c>
      <c r="AT287" s="18" t="n">
        <f aca="false">IF(B287&gt;0, (B287+C287)-TIME(13,30,0), "")</f>
        <v>46128.5333333333</v>
      </c>
      <c r="AU287" s="17" t="n">
        <f aca="false">IF(V287&gt;0, (V287+W287)-TIME(13,30,0), "")</f>
        <v>46129.4590277778</v>
      </c>
      <c r="AV287" s="18" t="n">
        <f aca="false">IF(V287&gt;0, (V287+W287)-TIME(13,30,0), "")</f>
        <v>46129.4590277778</v>
      </c>
      <c r="AW287" s="19" t="n">
        <f aca="false">24*(
MAX(0,
IF(NETWORKDAYS(AS287,AU287)=1,
MIN(MOD(AV287,1),TIME(17,30,0)) - MAX(MOD(AT287,1),TIME(8,30,0)),
(TIME(17,30,0)-MAX(MOD(AT287,1),TIME(8,30,0)))
+ (MIN(MOD(AV287,1),TIME(17,30,0))-TIME(8,30,0))
+ (NETWORKDAYS(AS287,AU287)-2)*9/24
)
)
)</f>
        <v>7.21666666666667</v>
      </c>
      <c r="AX287" s="19" t="n">
        <f aca="false">24*(
MAX(0,
IF(NETWORKDAYS(AS287,AU287)=1,
MIN(MOD(AV287,1),TIME(17,30,0)) - MAX(MOD(AT287,1),TIME(8,30,0)),
(TIME(17,30,0)-MAX(MOD(AT287,1),TIME(8,30,0)))
+ (MIN(MOD(AV287,1),TIME(17,30,0))-TIME(8,30,0))
+ (NETWORKDAYS(AS287,AU287)-2)* (TIME(17,30,0)-TIME(8,30,0))
)
)
)</f>
        <v>7.21666666666667</v>
      </c>
      <c r="AY287" s="20" t="n">
        <f aca="false">ROUND(
IF(AS287=AU287,
MAX(0,
(MIN(MOD(AV287,1),TIME(17,30,0))-
MAX(MOD(AT287,1),TIME(8,30,0)))*24
),
(
(MAX(0,TIME(17,30,0)-MAX(MOD(AT287,1),TIME(8,30,0)))*24)
+
(MAX(0,MIN(MOD(AV287,1),TIME(17,30,0))-TIME(8,30,0))*24)
+
(MAX(0,NETWORKDAYS(AS287+1,AU287-1))*9)
)
),
2)</f>
        <v>7.22</v>
      </c>
      <c r="AZ287" s="0" t="n">
        <f aca="false" t="array" ref="AZ287:AZ287">_xlfn.XLOOKUP(J287,{"Low","Medium","High"},{270,72,24})</f>
        <v>270</v>
      </c>
      <c r="BA287" s="0" t="str">
        <f aca="false">IF(AW287&gt;AZ287,"Not Met","Met")</f>
        <v>Met</v>
      </c>
      <c r="BB287" s="21" t="str">
        <f aca="false">IF(AS287="","",TEXT(AS287,"MMM")&amp;"'"&amp;TEXT(AS287,"yy"))</f>
        <v>Apr'26</v>
      </c>
      <c r="BC287" s="0" t="str">
        <f aca="false">IF(AU287="","",TEXT(AU287,"MMM")&amp;"'"&amp;TEXT(AU287,"yy"))</f>
        <v>Apr'26</v>
      </c>
    </row>
    <row r="288" customFormat="false" ht="15" hidden="false" customHeight="false" outlineLevel="0" collapsed="false">
      <c r="A288" s="1" t="s">
        <v>1003</v>
      </c>
      <c r="B288" s="11" t="n">
        <v>46129</v>
      </c>
      <c r="C288" s="12" t="n">
        <v>0.2</v>
      </c>
      <c r="D288" s="13" t="str">
        <f aca="false">IF(B288="","",TEXT(B288,"MMM")&amp;"'"&amp;TEXT(B288,"yy"))</f>
        <v>Apr'26</v>
      </c>
      <c r="E288" s="27" t="s">
        <v>55</v>
      </c>
      <c r="F288" s="26" t="s">
        <v>39</v>
      </c>
      <c r="G288" s="33" t="str">
        <f aca="false">IF(F288="Closed","Closed","Pending")</f>
        <v>Closed</v>
      </c>
      <c r="H288" s="26" t="s">
        <v>56</v>
      </c>
      <c r="I288" s="1" t="s">
        <v>663</v>
      </c>
      <c r="J288" s="26" t="s">
        <v>74</v>
      </c>
      <c r="K288" s="26" t="s">
        <v>59</v>
      </c>
      <c r="L288" s="26" t="s">
        <v>1004</v>
      </c>
      <c r="M288" s="26" t="s">
        <v>282</v>
      </c>
      <c r="N288" s="26" t="s">
        <v>65</v>
      </c>
      <c r="O288" s="1" t="s">
        <v>106</v>
      </c>
      <c r="Q288" s="1" t="s">
        <v>65</v>
      </c>
      <c r="R288" s="1" t="s">
        <v>87</v>
      </c>
      <c r="U288" s="25" t="n">
        <v>46130.0229166667</v>
      </c>
      <c r="V288" s="11" t="n">
        <v>46130</v>
      </c>
      <c r="W288" s="12" t="n">
        <v>0.0229166666666667</v>
      </c>
      <c r="X288" s="11" t="n">
        <v>46132</v>
      </c>
      <c r="Y288" s="12" t="n">
        <v>0.899305555555556</v>
      </c>
      <c r="Z288" s="1" t="s">
        <v>67</v>
      </c>
      <c r="AA288" s="1" t="s">
        <v>68</v>
      </c>
      <c r="AB288" s="2" t="n">
        <v>0.822916666666667</v>
      </c>
      <c r="AC288" s="14" t="n">
        <f aca="false">(V288+W288)-(B288+C288)</f>
        <v>0.822916666666667</v>
      </c>
      <c r="AD288" s="4" t="str">
        <f aca="false">INT((V288+W288)-(B288+C288)) &amp; ":" &amp;
TEXT(HOUR((V288+W288)-(B288+C288)), "00") &amp; ":" &amp;
TEXT(MINUTE((V288+W288)-(B288+C288)), "00")</f>
        <v>0:19:45</v>
      </c>
      <c r="AE288" s="1" t="n">
        <f aca="false">IFERROR(
LEFT(AD288,FIND(":",AD288)-1)
+ MID(AD288,FIND(":",AD288)+1,2)/24
+ RIGHT(AD288,2)/1440,
"")</f>
        <v>0.822916666666667</v>
      </c>
      <c r="AF288" s="4" t="str">
        <f aca="false">INT((X288+Y288)-(B288+C288)) &amp; ":" &amp;
TEXT(HOUR((X288+Y288)-(B288+C288)), "00") &amp; ":" &amp;
TEXT(MINUTE((X288+Y288)-(B288+C288)), "00")</f>
        <v>3:16:47</v>
      </c>
      <c r="AG288" s="4" t="str">
        <f aca="false" t="array" ref="AG288:AG288">INT(_xlfn.XLOOKUP(J288,{"Low","Medium","High","Urgent"},{48,24,12,8})/24) &amp; ":" &amp;
TEXT(MOD(_xlfn.XLOOKUP(J288,{"Low","Medium","High","Urgent"},{48,24,12,8}),24)/24,"hh:mm")</f>
        <v>2:00:00</v>
      </c>
      <c r="AH288" s="4" t="str">
        <f aca="false">IF(AD288&gt;AG288,"Not Met","Met")</f>
        <v>Met</v>
      </c>
      <c r="AI288" s="4" t="str">
        <f aca="false">IF(AB288&lt;TIME(0,30,0),"Met","Not Met")</f>
        <v>Not Met</v>
      </c>
      <c r="AN288" s="1" t="str">
        <f aca="false">TEXT(B288,"dd")</f>
        <v>17</v>
      </c>
      <c r="AO288" s="1" t="str">
        <f aca="false">TEXT(X288,"dd")</f>
        <v>20</v>
      </c>
      <c r="AP288" s="16" t="str">
        <f aca="false">INT(
  NETWORKDAYS(B288,V288)-1
  + IF(WEEKDAY(V288,2)&lt;6,MOD(V288+W288,1),0)
  - IF(WEEKDAY(B288,2)&lt;6,MOD(B288+C288,1),0)
)
&amp; ":" &amp;
TEXT(HOUR(
  NETWORKDAYS(B288,V288)-1
  + IF(WEEKDAY(V288,2)&lt;6,MOD(V288+W288,1),0)
  - IF(WEEKDAY(B288,2)&lt;6,MOD(B288+C288,1),0)
),"00")
&amp; ":" &amp;
TEXT(MINUTE(
  NETWORKDAYS(B288,V288)-1
  + IF(WEEKDAY(V288,2)&lt;6,MOD(V288+W288,1),0)
  - IF(WEEKDAY(B288,2)&lt;6,MOD(B288+C288,1),0)
),"00")</f>
        <v>-1:19:12</v>
      </c>
      <c r="AQ288" s="0" t="n">
        <f aca="false">IFERROR(
LEFT(AP288,FIND(":",AP288)-1)
+ MID(AP288,FIND(":",AP288)+1,2)/24
+ RIGHT(AP288,2)/1440,
"")</f>
        <v>-0.2</v>
      </c>
      <c r="AR288" s="0" t="n">
        <f aca="false">WEEKNUM(B288,1)</f>
        <v>16</v>
      </c>
      <c r="AS288" s="17" t="n">
        <f aca="false">IF(B288&gt;0, (B288+C288)-TIME(13,30,0), "")</f>
        <v>46128.6375</v>
      </c>
      <c r="AT288" s="18" t="n">
        <f aca="false">IF(B288&gt;0, (B288+C288)-TIME(13,30,0), "")</f>
        <v>46128.6375</v>
      </c>
      <c r="AU288" s="17" t="n">
        <f aca="false">IF(V288&gt;0, (V288+W288)-TIME(13,30,0), "")</f>
        <v>46129.4604166667</v>
      </c>
      <c r="AV288" s="18" t="n">
        <f aca="false">IF(V288&gt;0, (V288+W288)-TIME(13,30,0), "")</f>
        <v>46129.4604166667</v>
      </c>
      <c r="AW288" s="19" t="n">
        <f aca="false">24*(
MAX(0,
IF(NETWORKDAYS(AS288,AU288)=1,
MIN(MOD(AV288,1),TIME(17,30,0)) - MAX(MOD(AT288,1),TIME(8,30,0)),
(TIME(17,30,0)-MAX(MOD(AT288,1),TIME(8,30,0)))
+ (MIN(MOD(AV288,1),TIME(17,30,0))-TIME(8,30,0))
+ (NETWORKDAYS(AS288,AU288)-2)*9/24
)
)
)</f>
        <v>4.75</v>
      </c>
      <c r="AX288" s="19" t="n">
        <f aca="false">24*(
MAX(0,
IF(NETWORKDAYS(AS288,AU288)=1,
MIN(MOD(AV288,1),TIME(17,30,0)) - MAX(MOD(AT288,1),TIME(8,30,0)),
(TIME(17,30,0)-MAX(MOD(AT288,1),TIME(8,30,0)))
+ (MIN(MOD(AV288,1),TIME(17,30,0))-TIME(8,30,0))
+ (NETWORKDAYS(AS288,AU288)-2)* (TIME(17,30,0)-TIME(8,30,0))
)
)
)</f>
        <v>4.75</v>
      </c>
      <c r="AY288" s="20" t="n">
        <f aca="false">ROUND(
IF(AS288=AU288,
MAX(0,
(MIN(MOD(AV288,1),TIME(17,30,0))-
MAX(MOD(AT288,1),TIME(8,30,0)))*24
),
(
(MAX(0,TIME(17,30,0)-MAX(MOD(AT288,1),TIME(8,30,0)))*24)
+
(MAX(0,MIN(MOD(AV288,1),TIME(17,30,0))-TIME(8,30,0))*24)
+
(MAX(0,NETWORKDAYS(AS288+1,AU288-1))*9)
)
),
2)</f>
        <v>4.75</v>
      </c>
      <c r="AZ288" s="0" t="n">
        <f aca="false" t="array" ref="AZ288:AZ288">_xlfn.XLOOKUP(J288,{"Low","Medium","High"},{270,72,24})</f>
        <v>270</v>
      </c>
      <c r="BA288" s="0" t="str">
        <f aca="false">IF(AW288&gt;AZ288,"Not Met","Met")</f>
        <v>Met</v>
      </c>
      <c r="BB288" s="21" t="str">
        <f aca="false">IF(AS288="","",TEXT(AS288,"MMM")&amp;"'"&amp;TEXT(AS288,"yy"))</f>
        <v>Apr'26</v>
      </c>
      <c r="BC288" s="0" t="str">
        <f aca="false">IF(AU288="","",TEXT(AU288,"MMM")&amp;"'"&amp;TEXT(AU288,"yy"))</f>
        <v>Apr'26</v>
      </c>
    </row>
    <row r="289" customFormat="false" ht="15" hidden="false" customHeight="false" outlineLevel="0" collapsed="false">
      <c r="A289" s="1" t="s">
        <v>1005</v>
      </c>
      <c r="B289" s="11" t="n">
        <v>46129</v>
      </c>
      <c r="C289" s="12" t="n">
        <v>0.21875</v>
      </c>
      <c r="D289" s="13" t="str">
        <f aca="false">IF(B289="","",TEXT(B289,"MMM")&amp;"'"&amp;TEXT(B289,"yy"))</f>
        <v>Apr'26</v>
      </c>
      <c r="E289" s="27" t="s">
        <v>55</v>
      </c>
      <c r="F289" s="23" t="s">
        <v>39</v>
      </c>
      <c r="G289" s="1" t="str">
        <f aca="false">IF(F289="Closed","Closed","Pending")</f>
        <v>Closed</v>
      </c>
      <c r="H289" s="1" t="s">
        <v>72</v>
      </c>
      <c r="I289" s="1" t="s">
        <v>323</v>
      </c>
      <c r="J289" s="1" t="s">
        <v>74</v>
      </c>
      <c r="K289" s="1" t="s">
        <v>59</v>
      </c>
      <c r="L289" s="1" t="s">
        <v>1006</v>
      </c>
      <c r="M289" s="1" t="s">
        <v>1007</v>
      </c>
      <c r="N289" s="1" t="s">
        <v>62</v>
      </c>
      <c r="O289" s="1" t="s">
        <v>63</v>
      </c>
      <c r="Q289" s="1" t="s">
        <v>63</v>
      </c>
      <c r="R289" s="1" t="s">
        <v>87</v>
      </c>
      <c r="U289" s="25" t="n">
        <v>46130.025</v>
      </c>
      <c r="V289" s="11" t="n">
        <v>46196</v>
      </c>
      <c r="W289" s="12" t="n">
        <v>0.911111111111111</v>
      </c>
      <c r="X289" s="11" t="n">
        <v>46196</v>
      </c>
      <c r="Y289" s="12" t="n">
        <v>0.930555555555556</v>
      </c>
      <c r="Z289" s="1" t="s">
        <v>343</v>
      </c>
      <c r="AA289" s="1" t="s">
        <v>68</v>
      </c>
      <c r="AB289" s="2" t="n">
        <v>0.764583333333333</v>
      </c>
      <c r="AC289" s="14" t="n">
        <f aca="false">(V289+W289)-(B289+C289)</f>
        <v>67.6923611111111</v>
      </c>
      <c r="AD289" s="4" t="str">
        <f aca="false">INT((V289+W289)-(B289+C289)) &amp; ":" &amp;
TEXT(HOUR((V289+W289)-(B289+C289)), "00") &amp; ":" &amp;
TEXT(MINUTE((V289+W289)-(B289+C289)), "00")</f>
        <v>67:16:37</v>
      </c>
      <c r="AE289" s="1" t="n">
        <f aca="false">IFERROR(
LEFT(AD289,FIND(":",AD289)-1)
+ MID(AD289,FIND(":",AD289)+1,2)/24
+ RIGHT(AD289,2)/1440,
"")</f>
        <v>67.6923611111111</v>
      </c>
      <c r="AF289" s="4" t="str">
        <f aca="false">INT((X289+Y289)-(B289+C289)) &amp; ":" &amp;
TEXT(HOUR((X289+Y289)-(B289+C289)), "00") &amp; ":" &amp;
TEXT(MINUTE((X289+Y289)-(B289+C289)), "00")</f>
        <v>67:17:05</v>
      </c>
      <c r="AG289" s="4" t="str">
        <f aca="false" t="array" ref="AG289:AG289">INT(_xlfn.XLOOKUP(J289,{"Low","Medium","High","Urgent"},{48,24,12,8})/24) &amp; ":" &amp;
TEXT(MOD(_xlfn.XLOOKUP(J289,{"Low","Medium","High","Urgent"},{48,24,12,8}),24)/24,"hh:mm")</f>
        <v>2:00:00</v>
      </c>
      <c r="AH289" s="4" t="str">
        <f aca="false">IF(AD289&gt;AG289,"Not Met","Met")</f>
        <v>Not Met</v>
      </c>
      <c r="AI289" s="4" t="str">
        <f aca="false">IF(AB289&lt;TIME(0,30,0),"Met","Not Met")</f>
        <v>Not Met</v>
      </c>
      <c r="AN289" s="1" t="str">
        <f aca="false">TEXT(B289,"dd")</f>
        <v>17</v>
      </c>
      <c r="AO289" s="1" t="str">
        <f aca="false">TEXT(X289,"dd")</f>
        <v>23</v>
      </c>
      <c r="AP289" s="16" t="str">
        <f aca="false">INT(
  NETWORKDAYS(B289,V289)-1
  + IF(WEEKDAY(V289,2)&lt;6,MOD(V289+W289,1),0)
  - IF(WEEKDAY(B289,2)&lt;6,MOD(B289+C289,1),0)
)
&amp; ":" &amp;
TEXT(HOUR(
  NETWORKDAYS(B289,V289)-1
  + IF(WEEKDAY(V289,2)&lt;6,MOD(V289+W289,1),0)
  - IF(WEEKDAY(B289,2)&lt;6,MOD(B289+C289,1),0)
),"00")
&amp; ":" &amp;
TEXT(MINUTE(
  NETWORKDAYS(B289,V289)-1
  + IF(WEEKDAY(V289,2)&lt;6,MOD(V289+W289,1),0)
  - IF(WEEKDAY(B289,2)&lt;6,MOD(B289+C289,1),0)
),"00")</f>
        <v>47:16:37</v>
      </c>
      <c r="AQ289" s="0" t="n">
        <f aca="false">IFERROR(
LEFT(AP289,FIND(":",AP289)-1)
+ MID(AP289,FIND(":",AP289)+1,2)/24
+ RIGHT(AP289,2)/1440,
"")</f>
        <v>47.6923611111111</v>
      </c>
      <c r="AR289" s="0" t="n">
        <f aca="false">WEEKNUM(B289,1)</f>
        <v>16</v>
      </c>
      <c r="AS289" s="17" t="n">
        <f aca="false">IF(B289&gt;0, (B289+C289)-TIME(13,30,0), "")</f>
        <v>46128.65625</v>
      </c>
      <c r="AT289" s="18" t="n">
        <f aca="false">IF(B289&gt;0, (B289+C289)-TIME(13,30,0), "")</f>
        <v>46128.65625</v>
      </c>
      <c r="AU289" s="17" t="n">
        <f aca="false">IF(V289&gt;0, (V289+W289)-TIME(13,30,0), "")</f>
        <v>46196.3486111111</v>
      </c>
      <c r="AV289" s="18" t="n">
        <f aca="false">IF(V289&gt;0, (V289+W289)-TIME(13,30,0), "")</f>
        <v>46196.3486111111</v>
      </c>
      <c r="AW289" s="19" t="n">
        <f aca="false">24*(
MAX(0,
IF(NETWORKDAYS(AS289,AU289)=1,
MIN(MOD(AV289,1),TIME(17,30,0)) - MAX(MOD(AT289,1),TIME(8,30,0)),
(TIME(17,30,0)-MAX(MOD(AT289,1),TIME(8,30,0)))
+ (MIN(MOD(AV289,1),TIME(17,30,0))-TIME(8,30,0))
+ (NETWORKDAYS(AS289,AU289)-2)*9/24
)
)
)</f>
        <v>424.616666666667</v>
      </c>
      <c r="AX289" s="19" t="n">
        <f aca="false">24*(
MAX(0,
IF(NETWORKDAYS(AS289,AU289)=1,
MIN(MOD(AV289,1),TIME(17,30,0)) - MAX(MOD(AT289,1),TIME(8,30,0)),
(TIME(17,30,0)-MAX(MOD(AT289,1),TIME(8,30,0)))
+ (MIN(MOD(AV289,1),TIME(17,30,0))-TIME(8,30,0))
+ (NETWORKDAYS(AS289,AU289)-2)* (TIME(17,30,0)-TIME(8,30,0))
)
)
)</f>
        <v>424.616666666667</v>
      </c>
      <c r="AY289" s="20" t="n">
        <f aca="false">ROUND(
IF(AS289=AU289,
MAX(0,
(MIN(MOD(AV289,1),TIME(17,30,0))-
MAX(MOD(AT289,1),TIME(8,30,0)))*24
),
(
(MAX(0,TIME(17,30,0)-MAX(MOD(AT289,1),TIME(8,30,0)))*24)
+
(MAX(0,MIN(MOD(AV289,1),TIME(17,30,0))-TIME(8,30,0))*24)
+
(MAX(0,NETWORKDAYS(AS289+1,AU289-1))*9)
)
),
2)</f>
        <v>424.75</v>
      </c>
      <c r="AZ289" s="0" t="n">
        <f aca="false" t="array" ref="AZ289:AZ289">_xlfn.XLOOKUP(J289,{"Low","Medium","High"},{270,72,24})</f>
        <v>270</v>
      </c>
      <c r="BA289" s="0" t="str">
        <f aca="false">IF(AW289&gt;AZ289,"Not Met","Met")</f>
        <v>Not Met</v>
      </c>
      <c r="BB289" s="21" t="str">
        <f aca="false">IF(AS289="","",TEXT(AS289,"MMM")&amp;"'"&amp;TEXT(AS289,"yy"))</f>
        <v>Apr'26</v>
      </c>
      <c r="BC289" s="0" t="str">
        <f aca="false">IF(AU289="","",TEXT(AU289,"MMM")&amp;"'"&amp;TEXT(AU289,"yy"))</f>
        <v>Jun'26</v>
      </c>
    </row>
    <row r="290" customFormat="false" ht="15" hidden="false" customHeight="false" outlineLevel="0" collapsed="false">
      <c r="A290" s="1" t="s">
        <v>1008</v>
      </c>
      <c r="B290" s="11" t="n">
        <v>46132</v>
      </c>
      <c r="C290" s="12" t="n">
        <v>0.247916666666667</v>
      </c>
      <c r="D290" s="13" t="str">
        <f aca="false">IF(B290="","",TEXT(B290,"MMM")&amp;"'"&amp;TEXT(B290,"yy"))</f>
        <v>Apr'26</v>
      </c>
      <c r="E290" s="27" t="s">
        <v>55</v>
      </c>
      <c r="F290" s="1" t="s">
        <v>39</v>
      </c>
      <c r="G290" s="1" t="str">
        <f aca="false">IF(F290="Closed","Closed","Pending")</f>
        <v>Closed</v>
      </c>
      <c r="H290" s="1" t="s">
        <v>185</v>
      </c>
      <c r="I290" s="1" t="s">
        <v>302</v>
      </c>
      <c r="J290" s="1" t="s">
        <v>74</v>
      </c>
      <c r="K290" s="1" t="s">
        <v>59</v>
      </c>
      <c r="L290" s="1" t="s">
        <v>1009</v>
      </c>
      <c r="M290" s="1" t="s">
        <v>1010</v>
      </c>
      <c r="N290" s="1" t="s">
        <v>62</v>
      </c>
      <c r="O290" s="1" t="s">
        <v>63</v>
      </c>
      <c r="R290" s="1" t="s">
        <v>87</v>
      </c>
      <c r="U290" s="25" t="n">
        <v>46133.8847222222</v>
      </c>
      <c r="V290" s="11" t="n">
        <v>46135</v>
      </c>
      <c r="W290" s="12" t="n">
        <v>0.94375</v>
      </c>
      <c r="X290" s="11" t="n">
        <v>46135</v>
      </c>
      <c r="Y290" s="12" t="n">
        <v>0.94375</v>
      </c>
      <c r="Z290" s="1" t="s">
        <v>108</v>
      </c>
      <c r="AA290" s="1" t="s">
        <v>68</v>
      </c>
      <c r="AB290" s="2" t="n">
        <v>1.13680555555556</v>
      </c>
      <c r="AC290" s="14" t="n">
        <f aca="false">(V290+W290)-(B290+C290)</f>
        <v>3.69583333333333</v>
      </c>
      <c r="AD290" s="4" t="str">
        <f aca="false">INT((V290+W290)-(B290+C290)) &amp; ":" &amp;
TEXT(HOUR((V290+W290)-(B290+C290)), "00") &amp; ":" &amp;
TEXT(MINUTE((V290+W290)-(B290+C290)), "00")</f>
        <v>3:16:42</v>
      </c>
      <c r="AE290" s="1" t="n">
        <f aca="false">IFERROR(
LEFT(AD290,FIND(":",AD290)-1)
+ MID(AD290,FIND(":",AD290)+1,2)/24
+ RIGHT(AD290,2)/1440,
"")</f>
        <v>3.69583333333333</v>
      </c>
      <c r="AF290" s="4" t="str">
        <f aca="false">INT((X290+Y290)-(B290+C290)) &amp; ":" &amp;
TEXT(HOUR((X290+Y290)-(B290+C290)), "00") &amp; ":" &amp;
TEXT(MINUTE((X290+Y290)-(B290+C290)), "00")</f>
        <v>3:16:42</v>
      </c>
      <c r="AG290" s="4" t="str">
        <f aca="false" t="array" ref="AG290:AG290">INT(_xlfn.XLOOKUP(J290,{"Low","Medium","High","Urgent"},{48,24,12,8})/24) &amp; ":" &amp;
TEXT(MOD(_xlfn.XLOOKUP(J290,{"Low","Medium","High","Urgent"},{48,24,12,8}),24)/24,"hh:mm")</f>
        <v>2:00:00</v>
      </c>
      <c r="AH290" s="4" t="str">
        <f aca="false">IF(AD290&gt;AG290,"Not Met","Met")</f>
        <v>Not Met</v>
      </c>
      <c r="AI290" s="4" t="str">
        <f aca="false">IF(AB290&lt;TIME(0,30,0),"Met","Not Met")</f>
        <v>Not Met</v>
      </c>
      <c r="AN290" s="1" t="str">
        <f aca="false">TEXT(B290,"dd")</f>
        <v>20</v>
      </c>
      <c r="AO290" s="1" t="str">
        <f aca="false">TEXT(X290,"dd")</f>
        <v>23</v>
      </c>
      <c r="AP290" s="16" t="str">
        <f aca="false">INT(
  NETWORKDAYS(B290,V290)-1
  + IF(WEEKDAY(V290,2)&lt;6,MOD(V290+W290,1),0)
  - IF(WEEKDAY(B290,2)&lt;6,MOD(B290+C290,1),0)
)
&amp; ":" &amp;
TEXT(HOUR(
  NETWORKDAYS(B290,V290)-1
  + IF(WEEKDAY(V290,2)&lt;6,MOD(V290+W290,1),0)
  - IF(WEEKDAY(B290,2)&lt;6,MOD(B290+C290,1),0)
),"00")
&amp; ":" &amp;
TEXT(MINUTE(
  NETWORKDAYS(B290,V290)-1
  + IF(WEEKDAY(V290,2)&lt;6,MOD(V290+W290,1),0)
  - IF(WEEKDAY(B290,2)&lt;6,MOD(B290+C290,1),0)
),"00")</f>
        <v>3:16:41</v>
      </c>
      <c r="AQ290" s="0" t="n">
        <f aca="false">IFERROR(
LEFT(AP290,FIND(":",AP290)-1)
+ MID(AP290,FIND(":",AP290)+1,2)/24
+ RIGHT(AP290,2)/1440,
"")</f>
        <v>3.69513888888889</v>
      </c>
      <c r="AR290" s="0" t="n">
        <f aca="false">WEEKNUM(B290,1)</f>
        <v>17</v>
      </c>
      <c r="AS290" s="17" t="n">
        <f aca="false">IF(B290&gt;0, (B290+C290)-TIME(13,30,0), "")</f>
        <v>46131.6854166667</v>
      </c>
      <c r="AT290" s="18" t="n">
        <f aca="false">IF(B290&gt;0, (B290+C290)-TIME(13,30,0), "")</f>
        <v>46131.6854166667</v>
      </c>
      <c r="AU290" s="17" t="n">
        <f aca="false">IF(V290&gt;0, (V290+W290)-TIME(13,30,0), "")</f>
        <v>46135.38125</v>
      </c>
      <c r="AV290" s="18" t="n">
        <f aca="false">IF(V290&gt;0, (V290+W290)-TIME(13,30,0), "")</f>
        <v>46135.38125</v>
      </c>
      <c r="AW290" s="19" t="n">
        <f aca="false">24*(
MAX(0,
IF(NETWORKDAYS(AS290,AU290)=1,
MIN(MOD(AV290,1),TIME(17,30,0)) - MAX(MOD(AT290,1),TIME(8,30,0)),
(TIME(17,30,0)-MAX(MOD(AT290,1),TIME(8,30,0)))
+ (MIN(MOD(AV290,1),TIME(17,30,0))-TIME(8,30,0))
+ (NETWORKDAYS(AS290,AU290)-2)*9/24
)
)
)</f>
        <v>19.7</v>
      </c>
      <c r="AX290" s="19" t="n">
        <f aca="false">24*(
MAX(0,
IF(NETWORKDAYS(AS290,AU290)=1,
MIN(MOD(AV290,1),TIME(17,30,0)) - MAX(MOD(AT290,1),TIME(8,30,0)),
(TIME(17,30,0)-MAX(MOD(AT290,1),TIME(8,30,0)))
+ (MIN(MOD(AV290,1),TIME(17,30,0))-TIME(8,30,0))
+ (NETWORKDAYS(AS290,AU290)-2)* (TIME(17,30,0)-TIME(8,30,0))
)
)
)</f>
        <v>19.7</v>
      </c>
      <c r="AY290" s="20" t="n">
        <f aca="false">ROUND(
IF(AS290=AU290,
MAX(0,
(MIN(MOD(AV290,1),TIME(17,30,0))-
MAX(MOD(AT290,1),TIME(8,30,0)))*24
),
(
(MAX(0,TIME(17,30,0)-MAX(MOD(AT290,1),TIME(8,30,0)))*24)
+
(MAX(0,MIN(MOD(AV290,1),TIME(17,30,0))-TIME(8,30,0))*24)
+
(MAX(0,NETWORKDAYS(AS290+1,AU290-1))*9)
)
),
2)</f>
        <v>28.7</v>
      </c>
      <c r="AZ290" s="0" t="n">
        <f aca="false" t="array" ref="AZ290:AZ290">_xlfn.XLOOKUP(J290,{"Low","Medium","High"},{270,72,24})</f>
        <v>270</v>
      </c>
      <c r="BA290" s="0" t="str">
        <f aca="false">IF(AW290&gt;AZ290,"Not Met","Met")</f>
        <v>Met</v>
      </c>
      <c r="BB290" s="21" t="str">
        <f aca="false">IF(AS290="","",TEXT(AS290,"MMM")&amp;"'"&amp;TEXT(AS290,"yy"))</f>
        <v>Apr'26</v>
      </c>
      <c r="BC290" s="0" t="str">
        <f aca="false">IF(AU290="","",TEXT(AU290,"MMM")&amp;"'"&amp;TEXT(AU290,"yy"))</f>
        <v>Apr'26</v>
      </c>
    </row>
    <row r="291" customFormat="false" ht="15" hidden="false" customHeight="false" outlineLevel="0" collapsed="false">
      <c r="A291" s="1" t="s">
        <v>1011</v>
      </c>
      <c r="B291" s="11" t="n">
        <v>46133</v>
      </c>
      <c r="C291" s="12" t="n">
        <v>0.0944444444444444</v>
      </c>
      <c r="D291" s="13" t="str">
        <f aca="false">IF(B291="","",TEXT(B291,"MMM")&amp;"'"&amp;TEXT(B291,"yy"))</f>
        <v>Apr'26</v>
      </c>
      <c r="E291" s="27" t="s">
        <v>55</v>
      </c>
      <c r="F291" s="1" t="s">
        <v>39</v>
      </c>
      <c r="G291" s="1" t="str">
        <f aca="false">IF(F291="Closed","Closed","Pending")</f>
        <v>Closed</v>
      </c>
      <c r="H291" s="1" t="s">
        <v>72</v>
      </c>
      <c r="I291" s="1" t="s">
        <v>190</v>
      </c>
      <c r="J291" s="1" t="s">
        <v>74</v>
      </c>
      <c r="K291" s="1" t="s">
        <v>59</v>
      </c>
      <c r="L291" s="66" t="s">
        <v>1012</v>
      </c>
      <c r="M291" s="1" t="s">
        <v>1013</v>
      </c>
      <c r="N291" s="1" t="s">
        <v>62</v>
      </c>
      <c r="O291" s="35" t="s">
        <v>77</v>
      </c>
      <c r="Q291" s="1" t="s">
        <v>65</v>
      </c>
      <c r="R291" s="1" t="s">
        <v>66</v>
      </c>
      <c r="U291" s="12" t="n">
        <v>0.0979166666666667</v>
      </c>
      <c r="V291" s="11" t="n">
        <v>46135</v>
      </c>
      <c r="W291" s="12" t="n">
        <v>0.94375</v>
      </c>
      <c r="X291" s="11" t="n">
        <v>46136</v>
      </c>
      <c r="Y291" s="12" t="n">
        <v>0.896527777777778</v>
      </c>
      <c r="Z291" s="1" t="s">
        <v>108</v>
      </c>
      <c r="AA291" s="1" t="s">
        <v>68</v>
      </c>
      <c r="AB291" s="2" t="e">
        <f aca="false">U291-F291</f>
        <v>#VALUE!</v>
      </c>
      <c r="AC291" s="14" t="n">
        <f aca="false">(V291+W291)-(B291+C291)</f>
        <v>2.84930555555556</v>
      </c>
      <c r="AD291" s="4" t="str">
        <f aca="false">INT((V291+W291)-(B291+C291)) &amp; ":" &amp;
TEXT(HOUR((V291+W291)-(B291+C291)), "00") &amp; ":" &amp;
TEXT(MINUTE((V291+W291)-(B291+C291)), "00")</f>
        <v>2:20:23</v>
      </c>
      <c r="AE291" s="1" t="n">
        <f aca="false">IFERROR(
LEFT(AD291,FIND(":",AD291)-1)
+ MID(AD291,FIND(":",AD291)+1,2)/24
+ RIGHT(AD291,2)/1440,
"")</f>
        <v>2.84930555555556</v>
      </c>
      <c r="AF291" s="4" t="str">
        <f aca="false">INT((X291+Y291)-(B291+C291)) &amp; ":" &amp;
TEXT(HOUR((X291+Y291)-(B291+C291)), "00") &amp; ":" &amp;
TEXT(MINUTE((X291+Y291)-(B291+C291)), "00")</f>
        <v>3:19:15</v>
      </c>
      <c r="AG291" s="4" t="str">
        <f aca="false" t="array" ref="AG291:AG291">INT(_xlfn.XLOOKUP(J291,{"Low","Medium","High","Urgent"},{48,24,12,8})/24) &amp; ":" &amp;
TEXT(MOD(_xlfn.XLOOKUP(J291,{"Low","Medium","High","Urgent"},{48,24,12,8}),24)/24,"hh:mm")</f>
        <v>2:00:00</v>
      </c>
      <c r="AH291" s="4" t="str">
        <f aca="false">IF(AD291&gt;AG291,"Not Met","Met")</f>
        <v>Not Met</v>
      </c>
      <c r="AI291" s="4" t="e">
        <f aca="false">IF(AB291&lt;TIME(0,30,0),"Met","Not Met")</f>
        <v>#VALUE!</v>
      </c>
      <c r="AN291" s="1" t="str">
        <f aca="false">TEXT(B291,"dd")</f>
        <v>21</v>
      </c>
      <c r="AO291" s="1" t="str">
        <f aca="false">TEXT(X291,"dd")</f>
        <v>24</v>
      </c>
      <c r="AP291" s="16" t="str">
        <f aca="false">INT(
  NETWORKDAYS(B291,V291)-1
  + IF(WEEKDAY(V291,2)&lt;6,MOD(V291+W291,1),0)
  - IF(WEEKDAY(B291,2)&lt;6,MOD(B291+C291,1),0)
)
&amp; ":" &amp;
TEXT(HOUR(
  NETWORKDAYS(B291,V291)-1
  + IF(WEEKDAY(V291,2)&lt;6,MOD(V291+W291,1),0)
  - IF(WEEKDAY(B291,2)&lt;6,MOD(B291+C291,1),0)
),"00")
&amp; ":" &amp;
TEXT(MINUTE(
  NETWORKDAYS(B291,V291)-1
  + IF(WEEKDAY(V291,2)&lt;6,MOD(V291+W291,1),0)
  - IF(WEEKDAY(B291,2)&lt;6,MOD(B291+C291,1),0)
),"00")</f>
        <v>2:20:22</v>
      </c>
      <c r="AQ291" s="0" t="n">
        <f aca="false">IFERROR(
LEFT(AP291,FIND(":",AP291)-1)
+ MID(AP291,FIND(":",AP291)+1,2)/24
+ RIGHT(AP291,2)/1440,
"")</f>
        <v>2.84861111111111</v>
      </c>
      <c r="AR291" s="0" t="n">
        <f aca="false">WEEKNUM(B291,1)</f>
        <v>17</v>
      </c>
      <c r="AS291" s="17" t="n">
        <f aca="false">IF(B291&gt;0, (B291+C291)-TIME(13,30,0), "")</f>
        <v>46132.5319444445</v>
      </c>
      <c r="AT291" s="18" t="n">
        <f aca="false">IF(B291&gt;0, (B291+C291)-TIME(13,30,0), "")</f>
        <v>46132.5319444445</v>
      </c>
      <c r="AU291" s="17" t="n">
        <f aca="false">IF(V291&gt;0, (V291+W291)-TIME(13,30,0), "")</f>
        <v>46135.38125</v>
      </c>
      <c r="AV291" s="18" t="n">
        <f aca="false">IF(V291&gt;0, (V291+W291)-TIME(13,30,0), "")</f>
        <v>46135.38125</v>
      </c>
      <c r="AW291" s="19" t="n">
        <f aca="false">24*(
MAX(0,
IF(NETWORKDAYS(AS291,AU291)=1,
MIN(MOD(AV291,1),TIME(17,30,0)) - MAX(MOD(AT291,1),TIME(8,30,0)),
(TIME(17,30,0)-MAX(MOD(AT291,1),TIME(8,30,0)))
+ (MIN(MOD(AV291,1),TIME(17,30,0))-TIME(8,30,0))
+ (NETWORKDAYS(AS291,AU291)-2)*9/24
)
)
)</f>
        <v>23.3833333333333</v>
      </c>
      <c r="AX291" s="19" t="n">
        <f aca="false">24*(
MAX(0,
IF(NETWORKDAYS(AS291,AU291)=1,
MIN(MOD(AV291,1),TIME(17,30,0)) - MAX(MOD(AT291,1),TIME(8,30,0)),
(TIME(17,30,0)-MAX(MOD(AT291,1),TIME(8,30,0)))
+ (MIN(MOD(AV291,1),TIME(17,30,0))-TIME(8,30,0))
+ (NETWORKDAYS(AS291,AU291)-2)* (TIME(17,30,0)-TIME(8,30,0))
)
)
)</f>
        <v>23.3833333333333</v>
      </c>
      <c r="AY291" s="20" t="n">
        <f aca="false">ROUND(
IF(AS291=AU291,
MAX(0,
(MIN(MOD(AV291,1),TIME(17,30,0))-
MAX(MOD(AT291,1),TIME(8,30,0)))*24
),
(
(MAX(0,TIME(17,30,0)-MAX(MOD(AT291,1),TIME(8,30,0)))*24)
+
(MAX(0,MIN(MOD(AV291,1),TIME(17,30,0))-TIME(8,30,0))*24)
+
(MAX(0,NETWORKDAYS(AS291+1,AU291-1))*9)
)
),
2)</f>
        <v>23.38</v>
      </c>
      <c r="AZ291" s="0" t="n">
        <f aca="false" t="array" ref="AZ291:AZ291">_xlfn.XLOOKUP(J291,{"Low","Medium","High"},{270,72,24})</f>
        <v>270</v>
      </c>
      <c r="BA291" s="0" t="str">
        <f aca="false">IF(AW291&gt;AZ291,"Not Met","Met")</f>
        <v>Met</v>
      </c>
      <c r="BB291" s="21" t="str">
        <f aca="false">IF(AS291="","",TEXT(AS291,"MMM")&amp;"'"&amp;TEXT(AS291,"yy"))</f>
        <v>Apr'26</v>
      </c>
      <c r="BC291" s="0" t="str">
        <f aca="false">IF(AU291="","",TEXT(AU291,"MMM")&amp;"'"&amp;TEXT(AU291,"yy"))</f>
        <v>Apr'26</v>
      </c>
    </row>
    <row r="292" customFormat="false" ht="15" hidden="false" customHeight="false" outlineLevel="0" collapsed="false">
      <c r="A292" s="1" t="s">
        <v>1014</v>
      </c>
      <c r="B292" s="11" t="n">
        <v>46133</v>
      </c>
      <c r="C292" s="12" t="n">
        <v>0.108333333333333</v>
      </c>
      <c r="D292" s="13" t="str">
        <f aca="false">IF(B292="","",TEXT(B292,"MMM")&amp;"'"&amp;TEXT(B292,"yy"))</f>
        <v>Apr'26</v>
      </c>
      <c r="E292" s="27" t="s">
        <v>55</v>
      </c>
      <c r="F292" s="26" t="s">
        <v>39</v>
      </c>
      <c r="G292" s="33" t="str">
        <f aca="false">IF(F292="Closed","Closed","Pending")</f>
        <v>Closed</v>
      </c>
      <c r="H292" s="26" t="s">
        <v>72</v>
      </c>
      <c r="I292" s="26" t="s">
        <v>1015</v>
      </c>
      <c r="J292" s="26" t="s">
        <v>74</v>
      </c>
      <c r="K292" s="26" t="s">
        <v>59</v>
      </c>
      <c r="L292" s="26" t="s">
        <v>1016</v>
      </c>
      <c r="M292" s="26" t="s">
        <v>1017</v>
      </c>
      <c r="N292" s="1" t="s">
        <v>65</v>
      </c>
      <c r="O292" s="1" t="s">
        <v>106</v>
      </c>
      <c r="Q292" s="1" t="s">
        <v>65</v>
      </c>
      <c r="R292" s="1" t="s">
        <v>87</v>
      </c>
      <c r="U292" s="12" t="n">
        <v>0.132638888888889</v>
      </c>
      <c r="V292" s="11" t="n">
        <v>46134</v>
      </c>
      <c r="W292" s="12" t="n">
        <v>0.889583333333333</v>
      </c>
      <c r="X292" s="11" t="n">
        <v>46136</v>
      </c>
      <c r="Y292" s="12" t="n">
        <v>0.0652777777777778</v>
      </c>
      <c r="Z292" s="1" t="s">
        <v>67</v>
      </c>
      <c r="AA292" s="1" t="s">
        <v>68</v>
      </c>
      <c r="AB292" s="2" t="e">
        <f aca="false">U292-F292</f>
        <v>#VALUE!</v>
      </c>
      <c r="AC292" s="14" t="n">
        <f aca="false">(V292+W292)-(B292+C292)</f>
        <v>1.78125</v>
      </c>
      <c r="AD292" s="4" t="str">
        <f aca="false">INT((V292+W292)-(B292+C292)) &amp; ":" &amp;
TEXT(HOUR((V292+W292)-(B292+C292)), "00") &amp; ":" &amp;
TEXT(MINUTE((V292+W292)-(B292+C292)), "00")</f>
        <v>1:18:45</v>
      </c>
      <c r="AE292" s="1" t="n">
        <f aca="false">IFERROR(
LEFT(AD292,FIND(":",AD292)-1)
+ MID(AD292,FIND(":",AD292)+1,2)/24
+ RIGHT(AD292,2)/1440,
"")</f>
        <v>1.78125</v>
      </c>
      <c r="AF292" s="4" t="str">
        <f aca="false">INT((X292+Y292)-(B292+C292)) &amp; ":" &amp;
TEXT(HOUR((X292+Y292)-(B292+C292)), "00") &amp; ":" &amp;
TEXT(MINUTE((X292+Y292)-(B292+C292)), "00")</f>
        <v>2:22:58</v>
      </c>
      <c r="AG292" s="4" t="str">
        <f aca="false" t="array" ref="AG292:AG292">INT(_xlfn.XLOOKUP(J292,{"Low","Medium","High","Urgent"},{48,24,12,8})/24) &amp; ":" &amp;
TEXT(MOD(_xlfn.XLOOKUP(J292,{"Low","Medium","High","Urgent"},{48,24,12,8}),24)/24,"hh:mm")</f>
        <v>2:00:00</v>
      </c>
      <c r="AH292" s="4" t="str">
        <f aca="false">IF(AD292&gt;AG292,"Not Met","Met")</f>
        <v>Met</v>
      </c>
      <c r="AI292" s="4" t="e">
        <f aca="false">IF(AB292&lt;TIME(0,30,0),"Met","Not Met")</f>
        <v>#VALUE!</v>
      </c>
      <c r="AN292" s="1" t="str">
        <f aca="false">TEXT(B292,"dd")</f>
        <v>21</v>
      </c>
      <c r="AO292" s="1" t="str">
        <f aca="false">TEXT(X292,"dd")</f>
        <v>24</v>
      </c>
      <c r="AP292" s="16" t="str">
        <f aca="false">INT(
  NETWORKDAYS(B292,V292)-1
  + IF(WEEKDAY(V292,2)&lt;6,MOD(V292+W292,1),0)
  - IF(WEEKDAY(B292,2)&lt;6,MOD(B292+C292,1),0)
)
&amp; ":" &amp;
TEXT(HOUR(
  NETWORKDAYS(B292,V292)-1
  + IF(WEEKDAY(V292,2)&lt;6,MOD(V292+W292,1),0)
  - IF(WEEKDAY(B292,2)&lt;6,MOD(B292+C292,1),0)
),"00")
&amp; ":" &amp;
TEXT(MINUTE(
  NETWORKDAYS(B292,V292)-1
  + IF(WEEKDAY(V292,2)&lt;6,MOD(V292+W292,1),0)
  - IF(WEEKDAY(B292,2)&lt;6,MOD(B292+C292,1),0)
),"00")</f>
        <v>1:18:45</v>
      </c>
      <c r="AQ292" s="0" t="n">
        <f aca="false">IFERROR(
LEFT(AP292,FIND(":",AP292)-1)
+ MID(AP292,FIND(":",AP292)+1,2)/24
+ RIGHT(AP292,2)/1440,
"")</f>
        <v>1.78125</v>
      </c>
      <c r="AR292" s="0" t="n">
        <f aca="false">WEEKNUM(B292,1)</f>
        <v>17</v>
      </c>
      <c r="AS292" s="17" t="n">
        <f aca="false">IF(B292&gt;0, (B292+C292)-TIME(13,30,0), "")</f>
        <v>46132.5458333333</v>
      </c>
      <c r="AT292" s="18" t="n">
        <f aca="false">IF(B292&gt;0, (B292+C292)-TIME(13,30,0), "")</f>
        <v>46132.5458333333</v>
      </c>
      <c r="AU292" s="17" t="n">
        <f aca="false">IF(V292&gt;0, (V292+W292)-TIME(13,30,0), "")</f>
        <v>46134.3270833333</v>
      </c>
      <c r="AV292" s="18" t="n">
        <f aca="false">IF(V292&gt;0, (V292+W292)-TIME(13,30,0), "")</f>
        <v>46134.3270833333</v>
      </c>
      <c r="AW292" s="19" t="n">
        <f aca="false">24*(
MAX(0,
IF(NETWORKDAYS(AS292,AU292)=1,
MIN(MOD(AV292,1),TIME(17,30,0)) - MAX(MOD(AT292,1),TIME(8,30,0)),
(TIME(17,30,0)-MAX(MOD(AT292,1),TIME(8,30,0)))
+ (MIN(MOD(AV292,1),TIME(17,30,0))-TIME(8,30,0))
+ (NETWORKDAYS(AS292,AU292)-2)*9/24
)
)
)</f>
        <v>12.7499999998367</v>
      </c>
      <c r="AX292" s="19" t="n">
        <f aca="false">24*(
MAX(0,
IF(NETWORKDAYS(AS292,AU292)=1,
MIN(MOD(AV292,1),TIME(17,30,0)) - MAX(MOD(AT292,1),TIME(8,30,0)),
(TIME(17,30,0)-MAX(MOD(AT292,1),TIME(8,30,0)))
+ (MIN(MOD(AV292,1),TIME(17,30,0))-TIME(8,30,0))
+ (NETWORKDAYS(AS292,AU292)-2)* (TIME(17,30,0)-TIME(8,30,0))
)
)
)</f>
        <v>12.7499999998367</v>
      </c>
      <c r="AY292" s="20" t="n">
        <f aca="false">ROUND(
IF(AS292=AU292,
MAX(0,
(MIN(MOD(AV292,1),TIME(17,30,0))-
MAX(MOD(AT292,1),TIME(8,30,0)))*24
),
(
(MAX(0,TIME(17,30,0)-MAX(MOD(AT292,1),TIME(8,30,0)))*24)
+
(MAX(0,MIN(MOD(AV292,1),TIME(17,30,0))-TIME(8,30,0))*24)
+
(MAX(0,NETWORKDAYS(AS292+1,AU292-1))*9)
)
),
2)</f>
        <v>13.4</v>
      </c>
      <c r="AZ292" s="0" t="n">
        <f aca="false" t="array" ref="AZ292:AZ292">_xlfn.XLOOKUP(J292,{"Low","Medium","High"},{270,72,24})</f>
        <v>270</v>
      </c>
      <c r="BA292" s="0" t="str">
        <f aca="false">IF(AW292&gt;AZ292,"Not Met","Met")</f>
        <v>Met</v>
      </c>
      <c r="BB292" s="21" t="str">
        <f aca="false">IF(AS292="","",TEXT(AS292,"MMM")&amp;"'"&amp;TEXT(AS292,"yy"))</f>
        <v>Apr'26</v>
      </c>
      <c r="BC292" s="0" t="str">
        <f aca="false">IF(AU292="","",TEXT(AU292,"MMM")&amp;"'"&amp;TEXT(AU292,"yy"))</f>
        <v>Apr'26</v>
      </c>
    </row>
    <row r="293" customFormat="false" ht="15" hidden="false" customHeight="false" outlineLevel="0" collapsed="false">
      <c r="A293" s="1" t="s">
        <v>1018</v>
      </c>
      <c r="B293" s="11" t="n">
        <v>46133</v>
      </c>
      <c r="C293" s="12" t="n">
        <v>0.194444444444444</v>
      </c>
      <c r="D293" s="13" t="str">
        <f aca="false">IF(B293="","",TEXT(B293,"MMM")&amp;"'"&amp;TEXT(B293,"yy"))</f>
        <v>Apr'26</v>
      </c>
      <c r="E293" s="27" t="s">
        <v>55</v>
      </c>
      <c r="F293" s="1" t="s">
        <v>39</v>
      </c>
      <c r="G293" s="1" t="str">
        <f aca="false">IF(F293="Closed","Closed","Pending")</f>
        <v>Closed</v>
      </c>
      <c r="H293" s="1" t="s">
        <v>81</v>
      </c>
      <c r="I293" s="1" t="s">
        <v>82</v>
      </c>
      <c r="J293" s="1" t="s">
        <v>58</v>
      </c>
      <c r="K293" s="1" t="s">
        <v>59</v>
      </c>
      <c r="L293" s="1" t="s">
        <v>1019</v>
      </c>
      <c r="M293" s="1" t="s">
        <v>1020</v>
      </c>
      <c r="N293" s="35" t="s">
        <v>62</v>
      </c>
      <c r="O293" s="1" t="s">
        <v>63</v>
      </c>
      <c r="Q293" s="1" t="s">
        <v>229</v>
      </c>
      <c r="R293" s="1" t="s">
        <v>87</v>
      </c>
      <c r="U293" s="12" t="n">
        <v>0.8875</v>
      </c>
      <c r="V293" s="11" t="n">
        <v>46139</v>
      </c>
      <c r="W293" s="12" t="n">
        <v>0.895138888888889</v>
      </c>
      <c r="X293" s="11" t="n">
        <v>46139</v>
      </c>
      <c r="Y293" s="12" t="n">
        <v>0.909027777777778</v>
      </c>
      <c r="Z293" s="1" t="s">
        <v>67</v>
      </c>
      <c r="AA293" s="1" t="s">
        <v>68</v>
      </c>
      <c r="AB293" s="2" t="e">
        <f aca="false">U293-F293</f>
        <v>#VALUE!</v>
      </c>
      <c r="AC293" s="14" t="n">
        <f aca="false">(V293+W293)-(B293+C293)</f>
        <v>6.70069444444444</v>
      </c>
      <c r="AD293" s="4" t="str">
        <f aca="false">INT((V293+W293)-(B293+C293)) &amp; ":" &amp;
TEXT(HOUR((V293+W293)-(B293+C293)), "00") &amp; ":" &amp;
TEXT(MINUTE((V293+W293)-(B293+C293)), "00")</f>
        <v>6:16:49</v>
      </c>
      <c r="AE293" s="1" t="n">
        <f aca="false">IFERROR(
LEFT(AD293,FIND(":",AD293)-1)
+ MID(AD293,FIND(":",AD293)+1,2)/24
+ RIGHT(AD293,2)/1440,
"")</f>
        <v>6.70069444444445</v>
      </c>
      <c r="AF293" s="4" t="str">
        <f aca="false">INT((X293+Y293)-(B293+C293)) &amp; ":" &amp;
TEXT(HOUR((X293+Y293)-(B293+C293)), "00") &amp; ":" &amp;
TEXT(MINUTE((X293+Y293)-(B293+C293)), "00")</f>
        <v>6:17:09</v>
      </c>
      <c r="AG293" s="4" t="str">
        <f aca="false" t="array" ref="AG293:AG293">INT(_xlfn.XLOOKUP(J293,{"Low","Medium","High","Urgent"},{48,24,12,8})/24) &amp; ":" &amp;
TEXT(MOD(_xlfn.XLOOKUP(J293,{"Low","Medium","High","Urgent"},{48,24,12,8}),24)/24,"hh:mm")</f>
        <v>1:00:00</v>
      </c>
      <c r="AH293" s="4" t="str">
        <f aca="false">IF(AD293&gt;AG293,"Not Met","Met")</f>
        <v>Not Met</v>
      </c>
      <c r="AI293" s="4" t="e">
        <f aca="false">IF(AB293&lt;TIME(0,30,0),"Met","Not Met")</f>
        <v>#VALUE!</v>
      </c>
      <c r="AN293" s="1" t="str">
        <f aca="false">TEXT(B293,"dd")</f>
        <v>21</v>
      </c>
      <c r="AO293" s="1" t="str">
        <f aca="false">TEXT(X293,"dd")</f>
        <v>27</v>
      </c>
      <c r="AP293" s="16" t="str">
        <f aca="false">INT(
  NETWORKDAYS(B293,V293)-1
  + IF(WEEKDAY(V293,2)&lt;6,MOD(V293+W293,1),0)
  - IF(WEEKDAY(B293,2)&lt;6,MOD(B293+C293,1),0)
)
&amp; ":" &amp;
TEXT(HOUR(
  NETWORKDAYS(B293,V293)-1
  + IF(WEEKDAY(V293,2)&lt;6,MOD(V293+W293,1),0)
  - IF(WEEKDAY(B293,2)&lt;6,MOD(B293+C293,1),0)
),"00")
&amp; ":" &amp;
TEXT(MINUTE(
  NETWORKDAYS(B293,V293)-1
  + IF(WEEKDAY(V293,2)&lt;6,MOD(V293+W293,1),0)
  - IF(WEEKDAY(B293,2)&lt;6,MOD(B293+C293,1),0)
),"00")</f>
        <v>4:16:48</v>
      </c>
      <c r="AQ293" s="0" t="n">
        <f aca="false">IFERROR(
LEFT(AP293,FIND(":",AP293)-1)
+ MID(AP293,FIND(":",AP293)+1,2)/24
+ RIGHT(AP293,2)/1440,
"")</f>
        <v>4.7</v>
      </c>
      <c r="AR293" s="0" t="n">
        <f aca="false">WEEKNUM(B293,1)</f>
        <v>17</v>
      </c>
      <c r="AS293" s="17" t="n">
        <f aca="false">IF(B293&gt;0, (B293+C293)-TIME(13,30,0), "")</f>
        <v>46132.6319444444</v>
      </c>
      <c r="AT293" s="18" t="n">
        <f aca="false">IF(B293&gt;0, (B293+C293)-TIME(13,30,0), "")</f>
        <v>46132.6319444444</v>
      </c>
      <c r="AU293" s="17" t="n">
        <f aca="false">IF(V293&gt;0, (V293+W293)-TIME(13,30,0), "")</f>
        <v>46139.3326388889</v>
      </c>
      <c r="AV293" s="18" t="n">
        <f aca="false">IF(V293&gt;0, (V293+W293)-TIME(13,30,0), "")</f>
        <v>46139.3326388889</v>
      </c>
      <c r="AW293" s="19" t="n">
        <f aca="false">24*(
MAX(0,
IF(NETWORKDAYS(AS293,AU293)=1,
MIN(MOD(AV293,1),TIME(17,30,0)) - MAX(MOD(AT293,1),TIME(8,30,0)),
(TIME(17,30,0)-MAX(MOD(AT293,1),TIME(8,30,0)))
+ (MIN(MOD(AV293,1),TIME(17,30,0))-TIME(8,30,0))
+ (NETWORKDAYS(AS293,AU293)-2)*9/24
)
)
)</f>
        <v>37.8166666666667</v>
      </c>
      <c r="AX293" s="19" t="n">
        <f aca="false">24*(
MAX(0,
IF(NETWORKDAYS(AS293,AU293)=1,
MIN(MOD(AV293,1),TIME(17,30,0)) - MAX(MOD(AT293,1),TIME(8,30,0)),
(TIME(17,30,0)-MAX(MOD(AT293,1),TIME(8,30,0)))
+ (MIN(MOD(AV293,1),TIME(17,30,0))-TIME(8,30,0))
+ (NETWORKDAYS(AS293,AU293)-2)* (TIME(17,30,0)-TIME(8,30,0))
)
)
)</f>
        <v>37.8166666666667</v>
      </c>
      <c r="AY293" s="20" t="n">
        <f aca="false">ROUND(
IF(AS293=AU293,
MAX(0,
(MIN(MOD(AV293,1),TIME(17,30,0))-
MAX(MOD(AT293,1),TIME(8,30,0)))*24
),
(
(MAX(0,TIME(17,30,0)-MAX(MOD(AT293,1),TIME(8,30,0)))*24)
+
(MAX(0,MIN(MOD(AV293,1),TIME(17,30,0))-TIME(8,30,0))*24)
+
(MAX(0,NETWORKDAYS(AS293+1,AU293-1))*9)
)
),
2)</f>
        <v>38.33</v>
      </c>
      <c r="AZ293" s="0" t="n">
        <f aca="false" t="array" ref="AZ293:AZ293">_xlfn.XLOOKUP(J293,{"Low","Medium","High"},{270,72,24})</f>
        <v>72</v>
      </c>
      <c r="BA293" s="0" t="str">
        <f aca="false">IF(AW293&gt;AZ293,"Not Met","Met")</f>
        <v>Met</v>
      </c>
      <c r="BB293" s="21" t="str">
        <f aca="false">IF(AS293="","",TEXT(AS293,"MMM")&amp;"'"&amp;TEXT(AS293,"yy"))</f>
        <v>Apr'26</v>
      </c>
      <c r="BC293" s="0" t="str">
        <f aca="false">IF(AU293="","",TEXT(AU293,"MMM")&amp;"'"&amp;TEXT(AU293,"yy"))</f>
        <v>Apr'26</v>
      </c>
    </row>
    <row r="294" customFormat="false" ht="15" hidden="false" customHeight="false" outlineLevel="0" collapsed="false">
      <c r="A294" s="1" t="s">
        <v>1021</v>
      </c>
      <c r="B294" s="11" t="n">
        <v>46133</v>
      </c>
      <c r="C294" s="12" t="n">
        <v>0.897222222222222</v>
      </c>
      <c r="D294" s="13" t="str">
        <f aca="false">IF(B294="","",TEXT(B294,"MMM")&amp;"'"&amp;TEXT(B294,"yy"))</f>
        <v>Apr'26</v>
      </c>
      <c r="E294" s="27" t="s">
        <v>55</v>
      </c>
      <c r="F294" s="1" t="s">
        <v>39</v>
      </c>
      <c r="G294" s="1" t="str">
        <f aca="false">IF(F294="Closed","Closed","Pending")</f>
        <v>Closed</v>
      </c>
      <c r="H294" s="1" t="s">
        <v>72</v>
      </c>
      <c r="I294" s="1" t="s">
        <v>327</v>
      </c>
      <c r="J294" s="1" t="s">
        <v>74</v>
      </c>
      <c r="K294" s="1" t="s">
        <v>59</v>
      </c>
      <c r="L294" s="1" t="s">
        <v>1022</v>
      </c>
      <c r="M294" s="1" t="s">
        <v>1023</v>
      </c>
      <c r="N294" s="50" t="s">
        <v>65</v>
      </c>
      <c r="O294" s="1" t="s">
        <v>106</v>
      </c>
      <c r="Q294" s="1" t="s">
        <v>65</v>
      </c>
      <c r="R294" s="1" t="s">
        <v>87</v>
      </c>
      <c r="U294" s="12" t="n">
        <v>0.90625</v>
      </c>
      <c r="V294" s="11" t="n">
        <v>46134</v>
      </c>
      <c r="W294" s="12" t="n">
        <v>0.892361111111111</v>
      </c>
      <c r="X294" s="11" t="n">
        <v>46134</v>
      </c>
      <c r="Y294" s="12" t="n">
        <v>0.911805555555556</v>
      </c>
      <c r="Z294" s="1" t="s">
        <v>67</v>
      </c>
      <c r="AA294" s="1" t="s">
        <v>68</v>
      </c>
      <c r="AB294" s="2" t="e">
        <f aca="false">U294-F294</f>
        <v>#VALUE!</v>
      </c>
      <c r="AC294" s="14" t="n">
        <f aca="false">(V294+W294)-(B294+C294)</f>
        <v>0.995138888888889</v>
      </c>
      <c r="AD294" s="4" t="str">
        <f aca="false">INT((V294+W294)-(B294+C294)) &amp; ":" &amp;
TEXT(HOUR((V294+W294)-(B294+C294)), "00") &amp; ":" &amp;
TEXT(MINUTE((V294+W294)-(B294+C294)), "00")</f>
        <v>0:23:53</v>
      </c>
      <c r="AE294" s="1" t="n">
        <f aca="false">IFERROR(
LEFT(AD294,FIND(":",AD294)-1)
+ MID(AD294,FIND(":",AD294)+1,2)/24
+ RIGHT(AD294,2)/1440,
"")</f>
        <v>0.995138888888889</v>
      </c>
      <c r="AF294" s="4" t="str">
        <f aca="false">INT((X294+Y294)-(B294+C294)) &amp; ":" &amp;
TEXT(HOUR((X294+Y294)-(B294+C294)), "00") &amp; ":" &amp;
TEXT(MINUTE((X294+Y294)-(B294+C294)), "00")</f>
        <v>1:00:21</v>
      </c>
      <c r="AG294" s="4" t="str">
        <f aca="false" t="array" ref="AG294:AG294">INT(_xlfn.XLOOKUP(J294,{"Low","Medium","High","Urgent"},{48,24,12,8})/24) &amp; ":" &amp;
TEXT(MOD(_xlfn.XLOOKUP(J294,{"Low","Medium","High","Urgent"},{48,24,12,8}),24)/24,"hh:mm")</f>
        <v>2:00:00</v>
      </c>
      <c r="AH294" s="4" t="str">
        <f aca="false">IF(AD294&gt;AG294,"Not Met","Met")</f>
        <v>Met</v>
      </c>
      <c r="AI294" s="4" t="e">
        <f aca="false">IF(AB294&lt;TIME(0,30,0),"Met","Not Met")</f>
        <v>#VALUE!</v>
      </c>
      <c r="AN294" s="1" t="str">
        <f aca="false">TEXT(B294,"dd")</f>
        <v>21</v>
      </c>
      <c r="AO294" s="1" t="str">
        <f aca="false">TEXT(X294,"dd")</f>
        <v>22</v>
      </c>
      <c r="AP294" s="16" t="str">
        <f aca="false">INT(
  NETWORKDAYS(B294,V294)-1
  + IF(WEEKDAY(V294,2)&lt;6,MOD(V294+W294,1),0)
  - IF(WEEKDAY(B294,2)&lt;6,MOD(B294+C294,1),0)
)
&amp; ":" &amp;
TEXT(HOUR(
  NETWORKDAYS(B294,V294)-1
  + IF(WEEKDAY(V294,2)&lt;6,MOD(V294+W294,1),0)
  - IF(WEEKDAY(B294,2)&lt;6,MOD(B294+C294,1),0)
),"00")
&amp; ":" &amp;
TEXT(MINUTE(
  NETWORKDAYS(B294,V294)-1
  + IF(WEEKDAY(V294,2)&lt;6,MOD(V294+W294,1),0)
  - IF(WEEKDAY(B294,2)&lt;6,MOD(B294+C294,1),0)
),"00")</f>
        <v>0:23:52</v>
      </c>
      <c r="AQ294" s="0" t="n">
        <f aca="false">IFERROR(
LEFT(AP294,FIND(":",AP294)-1)
+ MID(AP294,FIND(":",AP294)+1,2)/24
+ RIGHT(AP294,2)/1440,
"")</f>
        <v>0.994444444444445</v>
      </c>
      <c r="AR294" s="0" t="n">
        <f aca="false">WEEKNUM(B294,1)</f>
        <v>17</v>
      </c>
      <c r="AS294" s="17" t="n">
        <f aca="false">IF(B294&gt;0, (B294+C294)-TIME(13,30,0), "")</f>
        <v>46133.3347222222</v>
      </c>
      <c r="AT294" s="18" t="n">
        <f aca="false">IF(B294&gt;0, (B294+C294)-TIME(13,30,0), "")</f>
        <v>46133.3347222222</v>
      </c>
      <c r="AU294" s="17" t="n">
        <f aca="false">IF(V294&gt;0, (V294+W294)-TIME(13,30,0), "")</f>
        <v>46134.3298611111</v>
      </c>
      <c r="AV294" s="18" t="n">
        <f aca="false">IF(V294&gt;0, (V294+W294)-TIME(13,30,0), "")</f>
        <v>46134.3298611111</v>
      </c>
      <c r="AW294" s="19" t="n">
        <f aca="false">24*(
MAX(0,
IF(NETWORKDAYS(AS294,AU294)=1,
MIN(MOD(AV294,1),TIME(17,30,0)) - MAX(MOD(AT294,1),TIME(8,30,0)),
(TIME(17,30,0)-MAX(MOD(AT294,1),TIME(8,30,0)))
+ (MIN(MOD(AV294,1),TIME(17,30,0))-TIME(8,30,0))
+ (NETWORKDAYS(AS294,AU294)-2)*9/24
)
)
)</f>
        <v>8.41666666666667</v>
      </c>
      <c r="AX294" s="19" t="n">
        <f aca="false">24*(
MAX(0,
IF(NETWORKDAYS(AS294,AU294)=1,
MIN(MOD(AV294,1),TIME(17,30,0)) - MAX(MOD(AT294,1),TIME(8,30,0)),
(TIME(17,30,0)-MAX(MOD(AT294,1),TIME(8,30,0)))
+ (MIN(MOD(AV294,1),TIME(17,30,0))-TIME(8,30,0))
+ (NETWORKDAYS(AS294,AU294)-2)* (TIME(17,30,0)-TIME(8,30,0))
)
)
)</f>
        <v>8.41666666666667</v>
      </c>
      <c r="AY294" s="20" t="n">
        <f aca="false">ROUND(
IF(AS294=AU294,
MAX(0,
(MIN(MOD(AV294,1),TIME(17,30,0))-
MAX(MOD(AT294,1),TIME(8,30,0)))*24
),
(
(MAX(0,TIME(17,30,0)-MAX(MOD(AT294,1),TIME(8,30,0)))*24)
+
(MAX(0,MIN(MOD(AV294,1),TIME(17,30,0))-TIME(8,30,0))*24)
+
(MAX(0,NETWORKDAYS(AS294+1,AU294-1))*9)
)
),
2)</f>
        <v>9</v>
      </c>
      <c r="AZ294" s="0" t="n">
        <f aca="false" t="array" ref="AZ294:AZ294">_xlfn.XLOOKUP(J294,{"Low","Medium","High"},{270,72,24})</f>
        <v>270</v>
      </c>
      <c r="BA294" s="0" t="str">
        <f aca="false">IF(AW294&gt;AZ294,"Not Met","Met")</f>
        <v>Met</v>
      </c>
      <c r="BB294" s="21" t="str">
        <f aca="false">IF(AS294="","",TEXT(AS294,"MMM")&amp;"'"&amp;TEXT(AS294,"yy"))</f>
        <v>Apr'26</v>
      </c>
      <c r="BC294" s="0" t="str">
        <f aca="false">IF(AU294="","",TEXT(AU294,"MMM")&amp;"'"&amp;TEXT(AU294,"yy"))</f>
        <v>Apr'26</v>
      </c>
    </row>
    <row r="295" customFormat="false" ht="15" hidden="false" customHeight="false" outlineLevel="0" collapsed="false">
      <c r="A295" s="1" t="s">
        <v>1024</v>
      </c>
      <c r="B295" s="11" t="n">
        <v>46134</v>
      </c>
      <c r="C295" s="12" t="n">
        <v>0.869444444444445</v>
      </c>
      <c r="D295" s="13" t="str">
        <f aca="false">IF(B295="","",TEXT(B295,"MMM")&amp;"'"&amp;TEXT(B295,"yy"))</f>
        <v>Apr'26</v>
      </c>
      <c r="E295" s="27" t="s">
        <v>55</v>
      </c>
      <c r="F295" s="1" t="s">
        <v>39</v>
      </c>
      <c r="G295" s="1" t="str">
        <f aca="false">IF(F295="Closed","Closed","Pending")</f>
        <v>Closed</v>
      </c>
      <c r="H295" s="1" t="s">
        <v>263</v>
      </c>
      <c r="I295" s="1" t="s">
        <v>639</v>
      </c>
      <c r="J295" s="1" t="s">
        <v>74</v>
      </c>
      <c r="K295" s="1" t="s">
        <v>59</v>
      </c>
      <c r="L295" s="1" t="s">
        <v>981</v>
      </c>
      <c r="M295" s="1" t="s">
        <v>468</v>
      </c>
      <c r="N295" s="35" t="s">
        <v>65</v>
      </c>
      <c r="O295" s="1" t="s">
        <v>106</v>
      </c>
      <c r="Q295" s="1" t="s">
        <v>65</v>
      </c>
      <c r="R295" s="1" t="s">
        <v>87</v>
      </c>
      <c r="U295" s="12" t="n">
        <v>0.911111111111111</v>
      </c>
      <c r="V295" s="11" t="n">
        <v>46135</v>
      </c>
      <c r="W295" s="12" t="n">
        <v>0.94375</v>
      </c>
      <c r="X295" s="11" t="n">
        <v>46136</v>
      </c>
      <c r="Y295" s="12" t="n">
        <v>0.0638888888888889</v>
      </c>
      <c r="Z295" s="1" t="s">
        <v>67</v>
      </c>
      <c r="AA295" s="1" t="s">
        <v>68</v>
      </c>
      <c r="AB295" s="2" t="e">
        <f aca="false">U295-F295</f>
        <v>#VALUE!</v>
      </c>
      <c r="AC295" s="14" t="n">
        <f aca="false">(V295+W295)-(B295+C295)</f>
        <v>1.07430555555556</v>
      </c>
      <c r="AD295" s="4" t="str">
        <f aca="false">INT((V295+W295)-(B295+C295)) &amp; ":" &amp;
TEXT(HOUR((V295+W295)-(B295+C295)), "00") &amp; ":" &amp;
TEXT(MINUTE((V295+W295)-(B295+C295)), "00")</f>
        <v>1:01:47</v>
      </c>
      <c r="AE295" s="1" t="n">
        <f aca="false">IFERROR(
LEFT(AD295,FIND(":",AD295)-1)
+ MID(AD295,FIND(":",AD295)+1,2)/24
+ RIGHT(AD295,2)/1440,
"")</f>
        <v>1.07430555555556</v>
      </c>
      <c r="AF295" s="4" t="str">
        <f aca="false">INT((X295+Y295)-(B295+C295)) &amp; ":" &amp;
TEXT(HOUR((X295+Y295)-(B295+C295)), "00") &amp; ":" &amp;
TEXT(MINUTE((X295+Y295)-(B295+C295)), "00")</f>
        <v>1:04:40</v>
      </c>
      <c r="AG295" s="4" t="str">
        <f aca="false" t="array" ref="AG295:AG295">INT(_xlfn.XLOOKUP(J295,{"Low","Medium","High","Urgent"},{48,24,12,8})/24) &amp; ":" &amp;
TEXT(MOD(_xlfn.XLOOKUP(J295,{"Low","Medium","High","Urgent"},{48,24,12,8}),24)/24,"hh:mm")</f>
        <v>2:00:00</v>
      </c>
      <c r="AH295" s="4" t="str">
        <f aca="false">IF(AD295&gt;AG295,"Not Met","Met")</f>
        <v>Met</v>
      </c>
      <c r="AI295" s="4" t="e">
        <f aca="false">IF(AB295&lt;TIME(0,30,0),"Met","Not Met")</f>
        <v>#VALUE!</v>
      </c>
      <c r="AN295" s="1" t="str">
        <f aca="false">TEXT(B295,"dd")</f>
        <v>22</v>
      </c>
      <c r="AO295" s="1" t="str">
        <f aca="false">TEXT(X295,"dd")</f>
        <v>24</v>
      </c>
      <c r="AP295" s="16" t="str">
        <f aca="false">INT(
  NETWORKDAYS(B295,V295)-1
  + IF(WEEKDAY(V295,2)&lt;6,MOD(V295+W295,1),0)
  - IF(WEEKDAY(B295,2)&lt;6,MOD(B295+C295,1),0)
)
&amp; ":" &amp;
TEXT(HOUR(
  NETWORKDAYS(B295,V295)-1
  + IF(WEEKDAY(V295,2)&lt;6,MOD(V295+W295,1),0)
  - IF(WEEKDAY(B295,2)&lt;6,MOD(B295+C295,1),0)
),"00")
&amp; ":" &amp;
TEXT(MINUTE(
  NETWORKDAYS(B295,V295)-1
  + IF(WEEKDAY(V295,2)&lt;6,MOD(V295+W295,1),0)
  - IF(WEEKDAY(B295,2)&lt;6,MOD(B295+C295,1),0)
),"00")</f>
        <v>1:01:47</v>
      </c>
      <c r="AQ295" s="0" t="n">
        <f aca="false">IFERROR(
LEFT(AP295,FIND(":",AP295)-1)
+ MID(AP295,FIND(":",AP295)+1,2)/24
+ RIGHT(AP295,2)/1440,
"")</f>
        <v>1.07430555555556</v>
      </c>
      <c r="AR295" s="0" t="n">
        <f aca="false">WEEKNUM(B295,1)</f>
        <v>17</v>
      </c>
      <c r="AS295" s="17" t="n">
        <f aca="false">IF(B295&gt;0, (B295+C295)-TIME(13,30,0), "")</f>
        <v>46134.3069444444</v>
      </c>
      <c r="AT295" s="18" t="n">
        <f aca="false">IF(B295&gt;0, (B295+C295)-TIME(13,30,0), "")</f>
        <v>46134.3069444444</v>
      </c>
      <c r="AU295" s="17" t="n">
        <f aca="false">IF(V295&gt;0, (V295+W295)-TIME(13,30,0), "")</f>
        <v>46135.38125</v>
      </c>
      <c r="AV295" s="18" t="n">
        <f aca="false">IF(V295&gt;0, (V295+W295)-TIME(13,30,0), "")</f>
        <v>46135.38125</v>
      </c>
      <c r="AW295" s="19" t="n">
        <f aca="false">24*(
MAX(0,
IF(NETWORKDAYS(AS295,AU295)=1,
MIN(MOD(AV295,1),TIME(17,30,0)) - MAX(MOD(AT295,1),TIME(8,30,0)),
(TIME(17,30,0)-MAX(MOD(AT295,1),TIME(8,30,0)))
+ (MIN(MOD(AV295,1),TIME(17,30,0))-TIME(8,30,0))
+ (NETWORKDAYS(AS295,AU295)-2)*9/24
)
)
)</f>
        <v>9.65</v>
      </c>
      <c r="AX295" s="19" t="n">
        <f aca="false">24*(
MAX(0,
IF(NETWORKDAYS(AS295,AU295)=1,
MIN(MOD(AV295,1),TIME(17,30,0)) - MAX(MOD(AT295,1),TIME(8,30,0)),
(TIME(17,30,0)-MAX(MOD(AT295,1),TIME(8,30,0)))
+ (MIN(MOD(AV295,1),TIME(17,30,0))-TIME(8,30,0))
+ (NETWORKDAYS(AS295,AU295)-2)* (TIME(17,30,0)-TIME(8,30,0))
)
)
)</f>
        <v>9.65</v>
      </c>
      <c r="AY295" s="20" t="n">
        <f aca="false">ROUND(
IF(AS295=AU295,
MAX(0,
(MIN(MOD(AV295,1),TIME(17,30,0))-
MAX(MOD(AT295,1),TIME(8,30,0)))*24
),
(
(MAX(0,TIME(17,30,0)-MAX(MOD(AT295,1),TIME(8,30,0)))*24)
+
(MAX(0,MIN(MOD(AV295,1),TIME(17,30,0))-TIME(8,30,0))*24)
+
(MAX(0,NETWORKDAYS(AS295+1,AU295-1))*9)
)
),
2)</f>
        <v>9.65</v>
      </c>
      <c r="AZ295" s="0" t="n">
        <f aca="false" t="array" ref="AZ295:AZ295">_xlfn.XLOOKUP(J295,{"Low","Medium","High"},{270,72,24})</f>
        <v>270</v>
      </c>
      <c r="BA295" s="0" t="str">
        <f aca="false">IF(AW295&gt;AZ295,"Not Met","Met")</f>
        <v>Met</v>
      </c>
      <c r="BB295" s="21" t="str">
        <f aca="false">IF(AS295="","",TEXT(AS295,"MMM")&amp;"'"&amp;TEXT(AS295,"yy"))</f>
        <v>Apr'26</v>
      </c>
      <c r="BC295" s="0" t="str">
        <f aca="false">IF(AU295="","",TEXT(AU295,"MMM")&amp;"'"&amp;TEXT(AU295,"yy"))</f>
        <v>Apr'26</v>
      </c>
    </row>
    <row r="296" customFormat="false" ht="15" hidden="false" customHeight="false" outlineLevel="0" collapsed="false">
      <c r="A296" s="1" t="s">
        <v>1025</v>
      </c>
      <c r="B296" s="11" t="n">
        <v>46135</v>
      </c>
      <c r="C296" s="12" t="n">
        <v>0.123611111111111</v>
      </c>
      <c r="D296" s="13" t="str">
        <f aca="false">IF(B296="","",TEXT(B296,"MMM")&amp;"'"&amp;TEXT(B296,"yy"))</f>
        <v>Apr'26</v>
      </c>
      <c r="E296" s="27" t="s">
        <v>55</v>
      </c>
      <c r="F296" s="1" t="s">
        <v>39</v>
      </c>
      <c r="G296" s="1" t="str">
        <f aca="false">IF(F296="Closed","Closed","Pending")</f>
        <v>Closed</v>
      </c>
      <c r="H296" s="26" t="s">
        <v>56</v>
      </c>
      <c r="I296" s="26" t="s">
        <v>386</v>
      </c>
      <c r="J296" s="26" t="s">
        <v>74</v>
      </c>
      <c r="K296" s="1" t="s">
        <v>59</v>
      </c>
      <c r="L296" s="1" t="s">
        <v>1026</v>
      </c>
      <c r="M296" s="1" t="s">
        <v>1027</v>
      </c>
      <c r="N296" s="35" t="s">
        <v>65</v>
      </c>
      <c r="O296" s="1" t="s">
        <v>106</v>
      </c>
      <c r="Q296" s="1" t="s">
        <v>65</v>
      </c>
      <c r="R296" s="1" t="s">
        <v>87</v>
      </c>
      <c r="U296" s="12" t="n">
        <v>0.15</v>
      </c>
      <c r="V296" s="11" t="n">
        <v>46139</v>
      </c>
      <c r="W296" s="12" t="n">
        <v>0.897222222222222</v>
      </c>
      <c r="X296" s="11" t="n">
        <v>46143</v>
      </c>
      <c r="Y296" s="12" t="n">
        <v>0.0930555555555556</v>
      </c>
      <c r="Z296" s="1" t="s">
        <v>67</v>
      </c>
      <c r="AA296" s="1" t="s">
        <v>68</v>
      </c>
      <c r="AB296" s="2" t="e">
        <f aca="false">U296-F296</f>
        <v>#VALUE!</v>
      </c>
      <c r="AC296" s="14" t="n">
        <f aca="false">(V296+W296)-(B296+C296)</f>
        <v>4.77361111111111</v>
      </c>
      <c r="AD296" s="4" t="str">
        <f aca="false">INT((V296+W296)-(B296+C296)) &amp; ":" &amp;
TEXT(HOUR((V296+W296)-(B296+C296)), "00") &amp; ":" &amp;
TEXT(MINUTE((V296+W296)-(B296+C296)), "00")</f>
        <v>4:18:34</v>
      </c>
      <c r="AE296" s="1" t="n">
        <f aca="false">IFERROR(
LEFT(AD296,FIND(":",AD296)-1)
+ MID(AD296,FIND(":",AD296)+1,2)/24
+ RIGHT(AD296,2)/1440,
"")</f>
        <v>4.77361111111111</v>
      </c>
      <c r="AF296" s="4" t="str">
        <f aca="false">INT((X296+Y296)-(B296+C296)) &amp; ":" &amp;
TEXT(HOUR((X296+Y296)-(B296+C296)), "00") &amp; ":" &amp;
TEXT(MINUTE((X296+Y296)-(B296+C296)), "00")</f>
        <v>7:23:16</v>
      </c>
      <c r="AG296" s="4" t="str">
        <f aca="false" t="array" ref="AG296:AG296">INT(_xlfn.XLOOKUP(J296,{"Low","Medium","High","Urgent"},{48,24,12,8})/24) &amp; ":" &amp;
TEXT(MOD(_xlfn.XLOOKUP(J296,{"Low","Medium","High","Urgent"},{48,24,12,8}),24)/24,"hh:mm")</f>
        <v>2:00:00</v>
      </c>
      <c r="AH296" s="4" t="str">
        <f aca="false">IF(AD296&gt;AG296,"Not Met","Met")</f>
        <v>Not Met</v>
      </c>
      <c r="AI296" s="4" t="e">
        <f aca="false">IF(AB296&lt;TIME(0,30,0),"Met","Not Met")</f>
        <v>#VALUE!</v>
      </c>
      <c r="AN296" s="1" t="str">
        <f aca="false">TEXT(B296,"dd")</f>
        <v>23</v>
      </c>
      <c r="AO296" s="1" t="str">
        <f aca="false">TEXT(X296,"dd")</f>
        <v>01</v>
      </c>
      <c r="AP296" s="16" t="str">
        <f aca="false">INT(
  NETWORKDAYS(B296,V296)-1
  + IF(WEEKDAY(V296,2)&lt;6,MOD(V296+W296,1),0)
  - IF(WEEKDAY(B296,2)&lt;6,MOD(B296+C296,1),0)
)
&amp; ":" &amp;
TEXT(HOUR(
  NETWORKDAYS(B296,V296)-1
  + IF(WEEKDAY(V296,2)&lt;6,MOD(V296+W296,1),0)
  - IF(WEEKDAY(B296,2)&lt;6,MOD(B296+C296,1),0)
),"00")
&amp; ":" &amp;
TEXT(MINUTE(
  NETWORKDAYS(B296,V296)-1
  + IF(WEEKDAY(V296,2)&lt;6,MOD(V296+W296,1),0)
  - IF(WEEKDAY(B296,2)&lt;6,MOD(B296+C296,1),0)
),"00")</f>
        <v>2:18:33</v>
      </c>
      <c r="AQ296" s="0" t="n">
        <f aca="false">IFERROR(
LEFT(AP296,FIND(":",AP296)-1)
+ MID(AP296,FIND(":",AP296)+1,2)/24
+ RIGHT(AP296,2)/1440,
"")</f>
        <v>2.77291666666667</v>
      </c>
      <c r="AR296" s="0" t="n">
        <f aca="false">WEEKNUM(B296,1)</f>
        <v>17</v>
      </c>
      <c r="AS296" s="17" t="n">
        <f aca="false">IF(B296&gt;0, (B296+C296)-TIME(13,30,0), "")</f>
        <v>46134.5611111111</v>
      </c>
      <c r="AT296" s="18" t="n">
        <f aca="false">IF(B296&gt;0, (B296+C296)-TIME(13,30,0), "")</f>
        <v>46134.5611111111</v>
      </c>
      <c r="AU296" s="17" t="n">
        <f aca="false">IF(V296&gt;0, (V296+W296)-TIME(13,30,0), "")</f>
        <v>46139.3347222222</v>
      </c>
      <c r="AV296" s="18" t="n">
        <f aca="false">IF(V296&gt;0, (V296+W296)-TIME(13,30,0), "")</f>
        <v>46139.3347222222</v>
      </c>
      <c r="AW296" s="19" t="n">
        <f aca="false">24*(
MAX(0,
IF(NETWORKDAYS(AS296,AU296)=1,
MIN(MOD(AV296,1),TIME(17,30,0)) - MAX(MOD(AT296,1),TIME(8,30,0)),
(TIME(17,30,0)-MAX(MOD(AT296,1),TIME(8,30,0)))
+ (MIN(MOD(AV296,1),TIME(17,30,0))-TIME(8,30,0))
+ (NETWORKDAYS(AS296,AU296)-2)*9/24
)
)
)</f>
        <v>21.5666666666667</v>
      </c>
      <c r="AX296" s="19" t="n">
        <f aca="false">24*(
MAX(0,
IF(NETWORKDAYS(AS296,AU296)=1,
MIN(MOD(AV296,1),TIME(17,30,0)) - MAX(MOD(AT296,1),TIME(8,30,0)),
(TIME(17,30,0)-MAX(MOD(AT296,1),TIME(8,30,0)))
+ (MIN(MOD(AV296,1),TIME(17,30,0))-TIME(8,30,0))
+ (NETWORKDAYS(AS296,AU296)-2)* (TIME(17,30,0)-TIME(8,30,0))
)
)
)</f>
        <v>21.5666666666667</v>
      </c>
      <c r="AY296" s="20" t="n">
        <f aca="false">ROUND(
IF(AS296=AU296,
MAX(0,
(MIN(MOD(AV296,1),TIME(17,30,0))-
MAX(MOD(AT296,1),TIME(8,30,0)))*24
),
(
(MAX(0,TIME(17,30,0)-MAX(MOD(AT296,1),TIME(8,30,0)))*24)
+
(MAX(0,MIN(MOD(AV296,1),TIME(17,30,0))-TIME(8,30,0))*24)
+
(MAX(0,NETWORKDAYS(AS296+1,AU296-1))*9)
)
),
2)</f>
        <v>22.03</v>
      </c>
      <c r="AZ296" s="0" t="n">
        <f aca="false" t="array" ref="AZ296:AZ296">_xlfn.XLOOKUP(J296,{"Low","Medium","High"},{270,72,24})</f>
        <v>270</v>
      </c>
      <c r="BA296" s="0" t="str">
        <f aca="false">IF(AW296&gt;AZ296,"Not Met","Met")</f>
        <v>Met</v>
      </c>
      <c r="BB296" s="21" t="str">
        <f aca="false">IF(AS296="","",TEXT(AS296,"MMM")&amp;"'"&amp;TEXT(AS296,"yy"))</f>
        <v>Apr'26</v>
      </c>
      <c r="BC296" s="0" t="str">
        <f aca="false">IF(AU296="","",TEXT(AU296,"MMM")&amp;"'"&amp;TEXT(AU296,"yy"))</f>
        <v>Apr'26</v>
      </c>
    </row>
    <row r="297" customFormat="false" ht="15" hidden="false" customHeight="false" outlineLevel="0" collapsed="false">
      <c r="A297" s="1" t="s">
        <v>1028</v>
      </c>
      <c r="B297" s="11" t="n">
        <v>46135</v>
      </c>
      <c r="C297" s="12" t="n">
        <v>0.186805555555556</v>
      </c>
      <c r="D297" s="13" t="str">
        <f aca="false">IF(B297="","",TEXT(B297,"MMM")&amp;"'"&amp;TEXT(B297,"yy"))</f>
        <v>Apr'26</v>
      </c>
      <c r="E297" s="27" t="s">
        <v>55</v>
      </c>
      <c r="F297" s="1" t="s">
        <v>39</v>
      </c>
      <c r="G297" s="1" t="str">
        <f aca="false">IF(F297="Closed","Closed","Pending")</f>
        <v>Closed</v>
      </c>
      <c r="H297" s="1" t="s">
        <v>56</v>
      </c>
      <c r="I297" s="1" t="s">
        <v>639</v>
      </c>
      <c r="J297" s="1" t="s">
        <v>74</v>
      </c>
      <c r="K297" s="35" t="s">
        <v>59</v>
      </c>
      <c r="L297" s="1" t="s">
        <v>981</v>
      </c>
      <c r="M297" s="1" t="s">
        <v>788</v>
      </c>
      <c r="N297" s="35" t="s">
        <v>65</v>
      </c>
      <c r="O297" s="1" t="s">
        <v>106</v>
      </c>
      <c r="Q297" s="1" t="s">
        <v>65</v>
      </c>
      <c r="R297" s="1" t="s">
        <v>87</v>
      </c>
      <c r="U297" s="12" t="n">
        <v>0.20625</v>
      </c>
      <c r="V297" s="11" t="n">
        <v>46135</v>
      </c>
      <c r="W297" s="12" t="n">
        <v>0.936805555555556</v>
      </c>
      <c r="X297" s="11" t="n">
        <v>46136</v>
      </c>
      <c r="Y297" s="12" t="n">
        <v>0.0652777777777778</v>
      </c>
      <c r="Z297" s="1" t="s">
        <v>67</v>
      </c>
      <c r="AA297" s="1" t="s">
        <v>68</v>
      </c>
      <c r="AB297" s="2" t="e">
        <f aca="false">U297-F297</f>
        <v>#VALUE!</v>
      </c>
      <c r="AC297" s="14" t="n">
        <f aca="false">(V297+W297)-(B297+C297)</f>
        <v>0.75</v>
      </c>
      <c r="AD297" s="4" t="str">
        <f aca="false">INT((V297+W297)-(B297+C297)) &amp; ":" &amp;
TEXT(HOUR((V297+W297)-(B297+C297)), "00") &amp; ":" &amp;
TEXT(MINUTE((V297+W297)-(B297+C297)), "00")</f>
        <v>0:18:00</v>
      </c>
      <c r="AE297" s="1" t="n">
        <f aca="false">IFERROR(
LEFT(AD297,FIND(":",AD297)-1)
+ MID(AD297,FIND(":",AD297)+1,2)/24
+ RIGHT(AD297,2)/1440,
"")</f>
        <v>0.75</v>
      </c>
      <c r="AF297" s="4" t="str">
        <f aca="false">INT((X297+Y297)-(B297+C297)) &amp; ":" &amp;
TEXT(HOUR((X297+Y297)-(B297+C297)), "00") &amp; ":" &amp;
TEXT(MINUTE((X297+Y297)-(B297+C297)), "00")</f>
        <v>0:21:05</v>
      </c>
      <c r="AG297" s="4" t="str">
        <f aca="false" t="array" ref="AG297:AG297">INT(_xlfn.XLOOKUP(J297,{"Low","Medium","High","Urgent"},{48,24,12,8})/24) &amp; ":" &amp;
TEXT(MOD(_xlfn.XLOOKUP(J297,{"Low","Medium","High","Urgent"},{48,24,12,8}),24)/24,"hh:mm")</f>
        <v>2:00:00</v>
      </c>
      <c r="AH297" s="4" t="str">
        <f aca="false">IF(AD297&gt;AG297,"Not Met","Met")</f>
        <v>Met</v>
      </c>
      <c r="AI297" s="4" t="e">
        <f aca="false">IF(AB297&lt;TIME(0,30,0),"Met","Not Met")</f>
        <v>#VALUE!</v>
      </c>
      <c r="AN297" s="1" t="str">
        <f aca="false">TEXT(B297,"dd")</f>
        <v>23</v>
      </c>
      <c r="AO297" s="1" t="str">
        <f aca="false">TEXT(X297,"dd")</f>
        <v>24</v>
      </c>
      <c r="AP297" s="16" t="str">
        <f aca="false">INT(
  NETWORKDAYS(B297,V297)-1
  + IF(WEEKDAY(V297,2)&lt;6,MOD(V297+W297,1),0)
  - IF(WEEKDAY(B297,2)&lt;6,MOD(B297+C297,1),0)
)
&amp; ":" &amp;
TEXT(HOUR(
  NETWORKDAYS(B297,V297)-1
  + IF(WEEKDAY(V297,2)&lt;6,MOD(V297+W297,1),0)
  - IF(WEEKDAY(B297,2)&lt;6,MOD(B297+C297,1),0)
),"00")
&amp; ":" &amp;
TEXT(MINUTE(
  NETWORKDAYS(B297,V297)-1
  + IF(WEEKDAY(V297,2)&lt;6,MOD(V297+W297,1),0)
  - IF(WEEKDAY(B297,2)&lt;6,MOD(B297+C297,1),0)
),"00")</f>
        <v>0:18:00</v>
      </c>
      <c r="AQ297" s="0" t="n">
        <f aca="false">IFERROR(
LEFT(AP297,FIND(":",AP297)-1)
+ MID(AP297,FIND(":",AP297)+1,2)/24
+ RIGHT(AP297,2)/1440,
"")</f>
        <v>0.75</v>
      </c>
      <c r="AR297" s="0" t="n">
        <f aca="false">WEEKNUM(B297,1)</f>
        <v>17</v>
      </c>
      <c r="AS297" s="17" t="n">
        <f aca="false">IF(B297&gt;0, (B297+C297)-TIME(13,30,0), "")</f>
        <v>46134.6243055556</v>
      </c>
      <c r="AT297" s="18" t="n">
        <f aca="false">IF(B297&gt;0, (B297+C297)-TIME(13,30,0), "")</f>
        <v>46134.6243055556</v>
      </c>
      <c r="AU297" s="17" t="n">
        <f aca="false">IF(V297&gt;0, (V297+W297)-TIME(13,30,0), "")</f>
        <v>46135.3743055556</v>
      </c>
      <c r="AV297" s="18" t="n">
        <f aca="false">IF(V297&gt;0, (V297+W297)-TIME(13,30,0), "")</f>
        <v>46135.3743055556</v>
      </c>
      <c r="AW297" s="19" t="n">
        <f aca="false">24*(
MAX(0,
IF(NETWORKDAYS(AS297,AU297)=1,
MIN(MOD(AV297,1),TIME(17,30,0)) - MAX(MOD(AT297,1),TIME(8,30,0)),
(TIME(17,30,0)-MAX(MOD(AT297,1),TIME(8,30,0)))
+ (MIN(MOD(AV297,1),TIME(17,30,0))-TIME(8,30,0))
+ (NETWORKDAYS(AS297,AU297)-2)*9/24
)
)
)</f>
        <v>3</v>
      </c>
      <c r="AX297" s="19" t="n">
        <f aca="false">24*(
MAX(0,
IF(NETWORKDAYS(AS297,AU297)=1,
MIN(MOD(AV297,1),TIME(17,30,0)) - MAX(MOD(AT297,1),TIME(8,30,0)),
(TIME(17,30,0)-MAX(MOD(AT297,1),TIME(8,30,0)))
+ (MIN(MOD(AV297,1),TIME(17,30,0))-TIME(8,30,0))
+ (NETWORKDAYS(AS297,AU297)-2)* (TIME(17,30,0)-TIME(8,30,0))
)
)
)</f>
        <v>3</v>
      </c>
      <c r="AY297" s="20" t="n">
        <f aca="false">ROUND(
IF(AS297=AU297,
MAX(0,
(MIN(MOD(AV297,1),TIME(17,30,0))-
MAX(MOD(AT297,1),TIME(8,30,0)))*24
),
(
(MAX(0,TIME(17,30,0)-MAX(MOD(AT297,1),TIME(8,30,0)))*24)
+
(MAX(0,MIN(MOD(AV297,1),TIME(17,30,0))-TIME(8,30,0))*24)
+
(MAX(0,NETWORKDAYS(AS297+1,AU297-1))*9)
)
),
2)</f>
        <v>3</v>
      </c>
      <c r="AZ297" s="0" t="n">
        <f aca="false" t="array" ref="AZ297:AZ297">_xlfn.XLOOKUP(J297,{"Low","Medium","High"},{270,72,24})</f>
        <v>270</v>
      </c>
      <c r="BA297" s="0" t="str">
        <f aca="false">IF(AW297&gt;AZ297,"Not Met","Met")</f>
        <v>Met</v>
      </c>
      <c r="BB297" s="21" t="str">
        <f aca="false">IF(AS297="","",TEXT(AS297,"MMM")&amp;"'"&amp;TEXT(AS297,"yy"))</f>
        <v>Apr'26</v>
      </c>
      <c r="BC297" s="0" t="str">
        <f aca="false">IF(AU297="","",TEXT(AU297,"MMM")&amp;"'"&amp;TEXT(AU297,"yy"))</f>
        <v>Apr'26</v>
      </c>
    </row>
    <row r="298" customFormat="false" ht="15" hidden="false" customHeight="false" outlineLevel="0" collapsed="false">
      <c r="A298" s="1" t="s">
        <v>1029</v>
      </c>
      <c r="B298" s="11" t="n">
        <v>46135</v>
      </c>
      <c r="C298" s="12" t="n">
        <v>0.186805555555556</v>
      </c>
      <c r="D298" s="13" t="str">
        <f aca="false">IF(B298="","",TEXT(B298,"MMM")&amp;"'"&amp;TEXT(B298,"yy"))</f>
        <v>Apr'26</v>
      </c>
      <c r="E298" s="27" t="s">
        <v>55</v>
      </c>
      <c r="F298" s="1" t="s">
        <v>39</v>
      </c>
      <c r="G298" s="1" t="str">
        <f aca="false">IF(F298="Closed","Closed","Pending")</f>
        <v>Closed</v>
      </c>
      <c r="H298" s="1" t="s">
        <v>263</v>
      </c>
      <c r="I298" s="1" t="s">
        <v>82</v>
      </c>
      <c r="J298" s="1" t="s">
        <v>74</v>
      </c>
      <c r="K298" s="35" t="s">
        <v>59</v>
      </c>
      <c r="L298" s="1" t="s">
        <v>1030</v>
      </c>
      <c r="M298" s="1" t="s">
        <v>534</v>
      </c>
      <c r="N298" s="35" t="s">
        <v>65</v>
      </c>
      <c r="O298" s="1" t="s">
        <v>106</v>
      </c>
      <c r="Q298" s="1" t="s">
        <v>65</v>
      </c>
      <c r="R298" s="1" t="s">
        <v>87</v>
      </c>
      <c r="U298" s="12" t="n">
        <v>0.207638888888889</v>
      </c>
      <c r="V298" s="11" t="n">
        <v>46141</v>
      </c>
      <c r="W298" s="12" t="n">
        <v>0.980555555555556</v>
      </c>
      <c r="X298" s="11" t="n">
        <v>46141</v>
      </c>
      <c r="Y298" s="12" t="n">
        <v>0.985416666666667</v>
      </c>
      <c r="Z298" s="1" t="s">
        <v>108</v>
      </c>
      <c r="AA298" s="1" t="s">
        <v>68</v>
      </c>
      <c r="AB298" s="2" t="e">
        <f aca="false">U298-F298</f>
        <v>#VALUE!</v>
      </c>
      <c r="AC298" s="14" t="n">
        <f aca="false">(V298+W298)-(B298+C298)</f>
        <v>6.79375</v>
      </c>
      <c r="AD298" s="4" t="str">
        <f aca="false">INT((V298+W298)-(B298+C298)) &amp; ":" &amp;
TEXT(HOUR((V298+W298)-(B298+C298)), "00") &amp; ":" &amp;
TEXT(MINUTE((V298+W298)-(B298+C298)), "00")</f>
        <v>6:19:03</v>
      </c>
      <c r="AE298" s="1" t="n">
        <f aca="false">IFERROR(
LEFT(AD298,FIND(":",AD298)-1)
+ MID(AD298,FIND(":",AD298)+1,2)/24
+ RIGHT(AD298,2)/1440,
"")</f>
        <v>6.79375</v>
      </c>
      <c r="AF298" s="4" t="str">
        <f aca="false">INT((X298+Y298)-(B298+C298)) &amp; ":" &amp;
TEXT(HOUR((X298+Y298)-(B298+C298)), "00") &amp; ":" &amp;
TEXT(MINUTE((X298+Y298)-(B298+C298)), "00")</f>
        <v>6:19:10</v>
      </c>
      <c r="AG298" s="4" t="str">
        <f aca="false" t="array" ref="AG298:AG298">INT(_xlfn.XLOOKUP(J298,{"Low","Medium","High","Urgent"},{48,24,12,8})/24) &amp; ":" &amp;
TEXT(MOD(_xlfn.XLOOKUP(J298,{"Low","Medium","High","Urgent"},{48,24,12,8}),24)/24,"hh:mm")</f>
        <v>2:00:00</v>
      </c>
      <c r="AH298" s="4" t="str">
        <f aca="false">IF(AD298&gt;AG298,"Not Met","Met")</f>
        <v>Not Met</v>
      </c>
      <c r="AI298" s="4" t="e">
        <f aca="false">IF(AB298&lt;TIME(0,30,0),"Met","Not Met")</f>
        <v>#VALUE!</v>
      </c>
      <c r="AN298" s="1" t="str">
        <f aca="false">TEXT(B298,"dd")</f>
        <v>23</v>
      </c>
      <c r="AO298" s="1" t="str">
        <f aca="false">TEXT(X298,"dd")</f>
        <v>29</v>
      </c>
      <c r="AP298" s="16" t="str">
        <f aca="false">INT(
  NETWORKDAYS(B298,V298)-1
  + IF(WEEKDAY(V298,2)&lt;6,MOD(V298+W298,1),0)
  - IF(WEEKDAY(B298,2)&lt;6,MOD(B298+C298,1),0)
)
&amp; ":" &amp;
TEXT(HOUR(
  NETWORKDAYS(B298,V298)-1
  + IF(WEEKDAY(V298,2)&lt;6,MOD(V298+W298,1),0)
  - IF(WEEKDAY(B298,2)&lt;6,MOD(B298+C298,1),0)
),"00")
&amp; ":" &amp;
TEXT(MINUTE(
  NETWORKDAYS(B298,V298)-1
  + IF(WEEKDAY(V298,2)&lt;6,MOD(V298+W298,1),0)
  - IF(WEEKDAY(B298,2)&lt;6,MOD(B298+C298,1),0)
),"00")</f>
        <v>4:19:03</v>
      </c>
      <c r="AQ298" s="0" t="n">
        <f aca="false">IFERROR(
LEFT(AP298,FIND(":",AP298)-1)
+ MID(AP298,FIND(":",AP298)+1,2)/24
+ RIGHT(AP298,2)/1440,
"")</f>
        <v>4.79375</v>
      </c>
      <c r="AR298" s="0" t="n">
        <f aca="false">WEEKNUM(B298,1)</f>
        <v>17</v>
      </c>
      <c r="AS298" s="17" t="n">
        <f aca="false">IF(B298&gt;0, (B298+C298)-TIME(13,30,0), "")</f>
        <v>46134.6243055556</v>
      </c>
      <c r="AT298" s="18" t="n">
        <f aca="false">IF(B298&gt;0, (B298+C298)-TIME(13,30,0), "")</f>
        <v>46134.6243055556</v>
      </c>
      <c r="AU298" s="17" t="n">
        <f aca="false">IF(V298&gt;0, (V298+W298)-TIME(13,30,0), "")</f>
        <v>46141.4180555556</v>
      </c>
      <c r="AV298" s="18" t="n">
        <f aca="false">IF(V298&gt;0, (V298+W298)-TIME(13,30,0), "")</f>
        <v>46141.4180555556</v>
      </c>
      <c r="AW298" s="19" t="n">
        <f aca="false">24*(
MAX(0,
IF(NETWORKDAYS(AS298,AU298)=1,
MIN(MOD(AV298,1),TIME(17,30,0)) - MAX(MOD(AT298,1),TIME(8,30,0)),
(TIME(17,30,0)-MAX(MOD(AT298,1),TIME(8,30,0)))
+ (MIN(MOD(AV298,1),TIME(17,30,0))-TIME(8,30,0))
+ (NETWORKDAYS(AS298,AU298)-2)*9/24
)
)
)</f>
        <v>40.05</v>
      </c>
      <c r="AX298" s="19" t="n">
        <f aca="false">24*(
MAX(0,
IF(NETWORKDAYS(AS298,AU298)=1,
MIN(MOD(AV298,1),TIME(17,30,0)) - MAX(MOD(AT298,1),TIME(8,30,0)),
(TIME(17,30,0)-MAX(MOD(AT298,1),TIME(8,30,0)))
+ (MIN(MOD(AV298,1),TIME(17,30,0))-TIME(8,30,0))
+ (NETWORKDAYS(AS298,AU298)-2)* (TIME(17,30,0)-TIME(8,30,0))
)
)
)</f>
        <v>40.05</v>
      </c>
      <c r="AY298" s="20" t="n">
        <f aca="false">ROUND(
IF(AS298=AU298,
MAX(0,
(MIN(MOD(AV298,1),TIME(17,30,0))-
MAX(MOD(AT298,1),TIME(8,30,0)))*24
),
(
(MAX(0,TIME(17,30,0)-MAX(MOD(AT298,1),TIME(8,30,0)))*24)
+
(MAX(0,MIN(MOD(AV298,1),TIME(17,30,0))-TIME(8,30,0))*24)
+
(MAX(0,NETWORKDAYS(AS298+1,AU298-1))*9)
)
),
2)</f>
        <v>40.05</v>
      </c>
      <c r="AZ298" s="0" t="n">
        <f aca="false" t="array" ref="AZ298:AZ298">_xlfn.XLOOKUP(J298,{"Low","Medium","High"},{270,72,24})</f>
        <v>270</v>
      </c>
      <c r="BA298" s="0" t="str">
        <f aca="false">IF(AW298&gt;AZ298,"Not Met","Met")</f>
        <v>Met</v>
      </c>
      <c r="BB298" s="21" t="str">
        <f aca="false">IF(AS298="","",TEXT(AS298,"MMM")&amp;"'"&amp;TEXT(AS298,"yy"))</f>
        <v>Apr'26</v>
      </c>
      <c r="BC298" s="0" t="str">
        <f aca="false">IF(AU298="","",TEXT(AU298,"MMM")&amp;"'"&amp;TEXT(AU298,"yy"))</f>
        <v>Apr'26</v>
      </c>
    </row>
    <row r="299" customFormat="false" ht="15" hidden="false" customHeight="false" outlineLevel="0" collapsed="false">
      <c r="A299" s="1" t="s">
        <v>1031</v>
      </c>
      <c r="B299" s="11" t="n">
        <v>46135</v>
      </c>
      <c r="C299" s="12" t="n">
        <v>0.758333333333333</v>
      </c>
      <c r="D299" s="13" t="str">
        <f aca="false">IF(B299="","",TEXT(B299,"MMM")&amp;"'"&amp;TEXT(B299,"yy"))</f>
        <v>Apr'26</v>
      </c>
      <c r="E299" s="27" t="s">
        <v>55</v>
      </c>
      <c r="F299" s="1" t="s">
        <v>39</v>
      </c>
      <c r="G299" s="1" t="str">
        <f aca="false">IF(F299="Closed","Closed","Pending")</f>
        <v>Closed</v>
      </c>
      <c r="H299" s="1" t="s">
        <v>185</v>
      </c>
      <c r="I299" s="1" t="s">
        <v>302</v>
      </c>
      <c r="J299" s="1" t="s">
        <v>74</v>
      </c>
      <c r="K299" s="35" t="s">
        <v>59</v>
      </c>
      <c r="L299" s="1" t="s">
        <v>1032</v>
      </c>
      <c r="M299" s="29" t="s">
        <v>1033</v>
      </c>
      <c r="N299" s="1" t="s">
        <v>62</v>
      </c>
      <c r="O299" s="1" t="s">
        <v>77</v>
      </c>
      <c r="Q299" s="1" t="s">
        <v>86</v>
      </c>
      <c r="R299" s="1" t="s">
        <v>230</v>
      </c>
      <c r="U299" s="12" t="n">
        <v>0.9</v>
      </c>
      <c r="V299" s="11" t="n">
        <v>46136</v>
      </c>
      <c r="W299" s="12" t="n">
        <v>0.889583333333333</v>
      </c>
      <c r="X299" s="11" t="n">
        <v>46137</v>
      </c>
      <c r="Y299" s="12" t="n">
        <v>0.0326388888888889</v>
      </c>
      <c r="Z299" s="1" t="s">
        <v>67</v>
      </c>
      <c r="AA299" s="1" t="s">
        <v>68</v>
      </c>
      <c r="AB299" s="2" t="e">
        <f aca="false">U299-F299</f>
        <v>#VALUE!</v>
      </c>
      <c r="AC299" s="14" t="n">
        <f aca="false">(V299+W299)-(B299+C299)</f>
        <v>1.13125</v>
      </c>
      <c r="AD299" s="4" t="str">
        <f aca="false">INT((V299+W299)-(B299+C299)) &amp; ":" &amp;
TEXT(HOUR((V299+W299)-(B299+C299)), "00") &amp; ":" &amp;
TEXT(MINUTE((V299+W299)-(B299+C299)), "00")</f>
        <v>1:03:09</v>
      </c>
      <c r="AE299" s="1" t="n">
        <f aca="false">IFERROR(
LEFT(AD299,FIND(":",AD299)-1)
+ MID(AD299,FIND(":",AD299)+1,2)/24
+ RIGHT(AD299,2)/1440,
"")</f>
        <v>1.13125</v>
      </c>
      <c r="AF299" s="4" t="str">
        <f aca="false">INT((X299+Y299)-(B299+C299)) &amp; ":" &amp;
TEXT(HOUR((X299+Y299)-(B299+C299)), "00") &amp; ":" &amp;
TEXT(MINUTE((X299+Y299)-(B299+C299)), "00")</f>
        <v>1:06:35</v>
      </c>
      <c r="AG299" s="4" t="str">
        <f aca="false" t="array" ref="AG299:AG299">INT(_xlfn.XLOOKUP(J299,{"Low","Medium","High","Urgent"},{48,24,12,8})/24) &amp; ":" &amp;
TEXT(MOD(_xlfn.XLOOKUP(J299,{"Low","Medium","High","Urgent"},{48,24,12,8}),24)/24,"hh:mm")</f>
        <v>2:00:00</v>
      </c>
      <c r="AH299" s="4" t="str">
        <f aca="false">IF(AD299&gt;AG299,"Not Met","Met")</f>
        <v>Met</v>
      </c>
      <c r="AI299" s="4" t="e">
        <f aca="false">IF(AB299&lt;TIME(0,30,0),"Met","Not Met")</f>
        <v>#VALUE!</v>
      </c>
      <c r="AN299" s="1" t="str">
        <f aca="false">TEXT(B299,"dd")</f>
        <v>23</v>
      </c>
      <c r="AO299" s="1" t="str">
        <f aca="false">TEXT(X299,"dd")</f>
        <v>25</v>
      </c>
      <c r="AP299" s="16" t="str">
        <f aca="false">INT(
  NETWORKDAYS(B299,V299)-1
  + IF(WEEKDAY(V299,2)&lt;6,MOD(V299+W299,1),0)
  - IF(WEEKDAY(B299,2)&lt;6,MOD(B299+C299,1),0)
)
&amp; ":" &amp;
TEXT(HOUR(
  NETWORKDAYS(B299,V299)-1
  + IF(WEEKDAY(V299,2)&lt;6,MOD(V299+W299,1),0)
  - IF(WEEKDAY(B299,2)&lt;6,MOD(B299+C299,1),0)
),"00")
&amp; ":" &amp;
TEXT(MINUTE(
  NETWORKDAYS(B299,V299)-1
  + IF(WEEKDAY(V299,2)&lt;6,MOD(V299+W299,1),0)
  - IF(WEEKDAY(B299,2)&lt;6,MOD(B299+C299,1),0)
),"00")</f>
        <v>1:03:08</v>
      </c>
      <c r="AQ299" s="0" t="n">
        <f aca="false">IFERROR(
LEFT(AP299,FIND(":",AP299)-1)
+ MID(AP299,FIND(":",AP299)+1,2)/24
+ RIGHT(AP299,2)/1440,
"")</f>
        <v>1.13055555555556</v>
      </c>
      <c r="AR299" s="0" t="n">
        <f aca="false">WEEKNUM(B299,1)</f>
        <v>17</v>
      </c>
      <c r="AS299" s="17" t="n">
        <f aca="false">IF(B299&gt;0, (B299+C299)-TIME(13,30,0), "")</f>
        <v>46135.1958333333</v>
      </c>
      <c r="AT299" s="18" t="n">
        <f aca="false">IF(B299&gt;0, (B299+C299)-TIME(13,30,0), "")</f>
        <v>46135.1958333333</v>
      </c>
      <c r="AU299" s="17" t="n">
        <f aca="false">IF(V299&gt;0, (V299+W299)-TIME(13,30,0), "")</f>
        <v>46136.3270833333</v>
      </c>
      <c r="AV299" s="18" t="n">
        <f aca="false">IF(V299&gt;0, (V299+W299)-TIME(13,30,0), "")</f>
        <v>46136.3270833333</v>
      </c>
      <c r="AW299" s="19" t="n">
        <f aca="false">24*(
MAX(0,
IF(NETWORKDAYS(AS299,AU299)=1,
MIN(MOD(AV299,1),TIME(17,30,0)) - MAX(MOD(AT299,1),TIME(8,30,0)),
(TIME(17,30,0)-MAX(MOD(AT299,1),TIME(8,30,0)))
+ (MIN(MOD(AV299,1),TIME(17,30,0))-TIME(8,30,0))
+ (NETWORKDAYS(AS299,AU299)-2)*9/24
)
)
)</f>
        <v>8.34999999983667</v>
      </c>
      <c r="AX299" s="19" t="n">
        <f aca="false">24*(
MAX(0,
IF(NETWORKDAYS(AS299,AU299)=1,
MIN(MOD(AV299,1),TIME(17,30,0)) - MAX(MOD(AT299,1),TIME(8,30,0)),
(TIME(17,30,0)-MAX(MOD(AT299,1),TIME(8,30,0)))
+ (MIN(MOD(AV299,1),TIME(17,30,0))-TIME(8,30,0))
+ (NETWORKDAYS(AS299,AU299)-2)* (TIME(17,30,0)-TIME(8,30,0))
)
)
)</f>
        <v>8.34999999983667</v>
      </c>
      <c r="AY299" s="20" t="n">
        <f aca="false">ROUND(
IF(AS299=AU299,
MAX(0,
(MIN(MOD(AV299,1),TIME(17,30,0))-
MAX(MOD(AT299,1),TIME(8,30,0)))*24
),
(
(MAX(0,TIME(17,30,0)-MAX(MOD(AT299,1),TIME(8,30,0)))*24)
+
(MAX(0,MIN(MOD(AV299,1),TIME(17,30,0))-TIME(8,30,0))*24)
+
(MAX(0,NETWORKDAYS(AS299+1,AU299-1))*9)
)
),
2)</f>
        <v>9</v>
      </c>
      <c r="AZ299" s="0" t="n">
        <f aca="false" t="array" ref="AZ299:AZ299">_xlfn.XLOOKUP(J299,{"Low","Medium","High"},{270,72,24})</f>
        <v>270</v>
      </c>
      <c r="BA299" s="0" t="str">
        <f aca="false">IF(AW299&gt;AZ299,"Not Met","Met")</f>
        <v>Met</v>
      </c>
      <c r="BB299" s="21" t="str">
        <f aca="false">IF(AS299="","",TEXT(AS299,"MMM")&amp;"'"&amp;TEXT(AS299,"yy"))</f>
        <v>Apr'26</v>
      </c>
      <c r="BC299" s="0" t="str">
        <f aca="false">IF(AU299="","",TEXT(AU299,"MMM")&amp;"'"&amp;TEXT(AU299,"yy"))</f>
        <v>Apr'26</v>
      </c>
    </row>
    <row r="300" customFormat="false" ht="15" hidden="false" customHeight="false" outlineLevel="0" collapsed="false">
      <c r="A300" s="1" t="s">
        <v>1034</v>
      </c>
      <c r="B300" s="11" t="n">
        <v>46135</v>
      </c>
      <c r="C300" s="12" t="n">
        <v>0.914583333333333</v>
      </c>
      <c r="D300" s="13" t="str">
        <f aca="false">IF(B300="","",TEXT(B300,"MMM")&amp;"'"&amp;TEXT(B300,"yy"))</f>
        <v>Apr'26</v>
      </c>
      <c r="E300" s="27" t="s">
        <v>55</v>
      </c>
      <c r="F300" s="1" t="s">
        <v>39</v>
      </c>
      <c r="G300" s="1" t="str">
        <f aca="false">IF(F300="Closed","Closed","Pending")</f>
        <v>Closed</v>
      </c>
      <c r="H300" s="1" t="s">
        <v>691</v>
      </c>
      <c r="I300" s="1" t="s">
        <v>158</v>
      </c>
      <c r="J300" s="1" t="s">
        <v>74</v>
      </c>
      <c r="K300" s="35" t="s">
        <v>59</v>
      </c>
      <c r="L300" s="1" t="s">
        <v>1035</v>
      </c>
      <c r="M300" s="1" t="s">
        <v>1036</v>
      </c>
      <c r="N300" s="1" t="s">
        <v>65</v>
      </c>
      <c r="O300" s="1" t="s">
        <v>106</v>
      </c>
      <c r="Q300" s="1" t="s">
        <v>65</v>
      </c>
      <c r="R300" s="1" t="s">
        <v>230</v>
      </c>
      <c r="U300" s="12" t="n">
        <v>0.945833333333333</v>
      </c>
      <c r="V300" s="11" t="n">
        <v>46136</v>
      </c>
      <c r="W300" s="12" t="n">
        <v>0.890277777777778</v>
      </c>
      <c r="X300" s="11" t="n">
        <v>46139</v>
      </c>
      <c r="Y300" s="12" t="n">
        <v>0.871527777777778</v>
      </c>
      <c r="Z300" s="1" t="s">
        <v>67</v>
      </c>
      <c r="AA300" s="1" t="s">
        <v>68</v>
      </c>
      <c r="AB300" s="2" t="e">
        <f aca="false">U300-F300</f>
        <v>#VALUE!</v>
      </c>
      <c r="AC300" s="14" t="n">
        <f aca="false">(V300+W300)-(B300+C300)</f>
        <v>0.975694444444444</v>
      </c>
      <c r="AD300" s="4" t="str">
        <f aca="false">INT((V300+W300)-(B300+C300)) &amp; ":" &amp;
TEXT(HOUR((V300+W300)-(B300+C300)), "00") &amp; ":" &amp;
TEXT(MINUTE((V300+W300)-(B300+C300)), "00")</f>
        <v>0:23:25</v>
      </c>
      <c r="AE300" s="1" t="n">
        <f aca="false">IFERROR(
LEFT(AD300,FIND(":",AD300)-1)
+ MID(AD300,FIND(":",AD300)+1,2)/24
+ RIGHT(AD300,2)/1440,
"")</f>
        <v>0.975694444444445</v>
      </c>
      <c r="AF300" s="4" t="str">
        <f aca="false">INT((X300+Y300)-(B300+C300)) &amp; ":" &amp;
TEXT(HOUR((X300+Y300)-(B300+C300)), "00") &amp; ":" &amp;
TEXT(MINUTE((X300+Y300)-(B300+C300)), "00")</f>
        <v>3:22:58</v>
      </c>
      <c r="AG300" s="4" t="str">
        <f aca="false" t="array" ref="AG300:AG300">INT(_xlfn.XLOOKUP(J300,{"Low","Medium","High","Urgent"},{48,24,12,8})/24) &amp; ":" &amp;
TEXT(MOD(_xlfn.XLOOKUP(J300,{"Low","Medium","High","Urgent"},{48,24,12,8}),24)/24,"hh:mm")</f>
        <v>2:00:00</v>
      </c>
      <c r="AH300" s="4" t="str">
        <f aca="false">IF(AD300&gt;AG300,"Not Met","Met")</f>
        <v>Met</v>
      </c>
      <c r="AI300" s="4" t="e">
        <f aca="false">IF(AB300&lt;TIME(0,30,0),"Met","Not Met")</f>
        <v>#VALUE!</v>
      </c>
      <c r="AN300" s="1" t="str">
        <f aca="false">TEXT(B300,"dd")</f>
        <v>23</v>
      </c>
      <c r="AO300" s="1" t="str">
        <f aca="false">TEXT(X300,"dd")</f>
        <v>27</v>
      </c>
      <c r="AP300" s="16" t="str">
        <f aca="false">INT(
  NETWORKDAYS(B300,V300)-1
  + IF(WEEKDAY(V300,2)&lt;6,MOD(V300+W300,1),0)
  - IF(WEEKDAY(B300,2)&lt;6,MOD(B300+C300,1),0)
)
&amp; ":" &amp;
TEXT(HOUR(
  NETWORKDAYS(B300,V300)-1
  + IF(WEEKDAY(V300,2)&lt;6,MOD(V300+W300,1),0)
  - IF(WEEKDAY(B300,2)&lt;6,MOD(B300+C300,1),0)
),"00")
&amp; ":" &amp;
TEXT(MINUTE(
  NETWORKDAYS(B300,V300)-1
  + IF(WEEKDAY(V300,2)&lt;6,MOD(V300+W300,1),0)
  - IF(WEEKDAY(B300,2)&lt;6,MOD(B300+C300,1),0)
),"00")</f>
        <v>0:23:25</v>
      </c>
      <c r="AQ300" s="0" t="n">
        <f aca="false">IFERROR(
LEFT(AP300,FIND(":",AP300)-1)
+ MID(AP300,FIND(":",AP300)+1,2)/24
+ RIGHT(AP300,2)/1440,
"")</f>
        <v>0.975694444444445</v>
      </c>
      <c r="AR300" s="0" t="n">
        <f aca="false">WEEKNUM(B300,1)</f>
        <v>17</v>
      </c>
      <c r="AS300" s="17" t="n">
        <f aca="false">IF(B300&gt;0, (B300+C300)-TIME(13,30,0), "")</f>
        <v>46135.3520833333</v>
      </c>
      <c r="AT300" s="18" t="n">
        <f aca="false">IF(B300&gt;0, (B300+C300)-TIME(13,30,0), "")</f>
        <v>46135.3520833333</v>
      </c>
      <c r="AU300" s="17" t="n">
        <f aca="false">IF(V300&gt;0, (V300+W300)-TIME(13,30,0), "")</f>
        <v>46136.3277777778</v>
      </c>
      <c r="AV300" s="18" t="n">
        <f aca="false">IF(V300&gt;0, (V300+W300)-TIME(13,30,0), "")</f>
        <v>46136.3277777778</v>
      </c>
      <c r="AW300" s="19" t="n">
        <f aca="false">24*(
MAX(0,
IF(NETWORKDAYS(AS300,AU300)=1,
MIN(MOD(AV300,1),TIME(17,30,0)) - MAX(MOD(AT300,1),TIME(8,30,0)),
(TIME(17,30,0)-MAX(MOD(AT300,1),TIME(8,30,0)))
+ (MIN(MOD(AV300,1),TIME(17,30,0))-TIME(8,30,0))
+ (NETWORKDAYS(AS300,AU300)-2)*9/24
)
)
)</f>
        <v>8.36666666666667</v>
      </c>
      <c r="AX300" s="19" t="n">
        <f aca="false">24*(
MAX(0,
IF(NETWORKDAYS(AS300,AU300)=1,
MIN(MOD(AV300,1),TIME(17,30,0)) - MAX(MOD(AT300,1),TIME(8,30,0)),
(TIME(17,30,0)-MAX(MOD(AT300,1),TIME(8,30,0)))
+ (MIN(MOD(AV300,1),TIME(17,30,0))-TIME(8,30,0))
+ (NETWORKDAYS(AS300,AU300)-2)* (TIME(17,30,0)-TIME(8,30,0))
)
)
)</f>
        <v>8.36666666666667</v>
      </c>
      <c r="AY300" s="20" t="n">
        <f aca="false">ROUND(
IF(AS300=AU300,
MAX(0,
(MIN(MOD(AV300,1),TIME(17,30,0))-
MAX(MOD(AT300,1),TIME(8,30,0)))*24
),
(
(MAX(0,TIME(17,30,0)-MAX(MOD(AT300,1),TIME(8,30,0)))*24)
+
(MAX(0,MIN(MOD(AV300,1),TIME(17,30,0))-TIME(8,30,0))*24)
+
(MAX(0,NETWORKDAYS(AS300+1,AU300-1))*9)
)
),
2)</f>
        <v>9</v>
      </c>
      <c r="AZ300" s="0" t="n">
        <f aca="false" t="array" ref="AZ300:AZ300">_xlfn.XLOOKUP(J300,{"Low","Medium","High"},{270,72,24})</f>
        <v>270</v>
      </c>
      <c r="BA300" s="0" t="str">
        <f aca="false">IF(AW300&gt;AZ300,"Not Met","Met")</f>
        <v>Met</v>
      </c>
      <c r="BB300" s="21" t="str">
        <f aca="false">IF(AS300="","",TEXT(AS300,"MMM")&amp;"'"&amp;TEXT(AS300,"yy"))</f>
        <v>Apr'26</v>
      </c>
      <c r="BC300" s="0" t="str">
        <f aca="false">IF(AU300="","",TEXT(AU300,"MMM")&amp;"'"&amp;TEXT(AU300,"yy"))</f>
        <v>Apr'26</v>
      </c>
    </row>
    <row r="301" customFormat="false" ht="15" hidden="false" customHeight="false" outlineLevel="0" collapsed="false">
      <c r="A301" s="1" t="s">
        <v>1037</v>
      </c>
      <c r="B301" s="11" t="n">
        <v>46137</v>
      </c>
      <c r="C301" s="12" t="n">
        <v>0.00486111111111111</v>
      </c>
      <c r="D301" s="13" t="str">
        <f aca="false">IF(B301="","",TEXT(B301,"MMM")&amp;"'"&amp;TEXT(B301,"yy"))</f>
        <v>Apr'26</v>
      </c>
      <c r="E301" s="27" t="s">
        <v>55</v>
      </c>
      <c r="F301" s="1" t="s">
        <v>39</v>
      </c>
      <c r="G301" s="1" t="str">
        <f aca="false">IF(F301="Closed","Closed","Pending")</f>
        <v>Closed</v>
      </c>
      <c r="H301" s="29" t="s">
        <v>81</v>
      </c>
      <c r="I301" s="26" t="s">
        <v>82</v>
      </c>
      <c r="J301" s="29" t="s">
        <v>74</v>
      </c>
      <c r="K301" s="1" t="s">
        <v>59</v>
      </c>
      <c r="L301" s="1" t="s">
        <v>1038</v>
      </c>
      <c r="M301" s="1" t="s">
        <v>534</v>
      </c>
      <c r="N301" s="1" t="s">
        <v>65</v>
      </c>
      <c r="O301" s="1" t="s">
        <v>106</v>
      </c>
      <c r="Q301" s="1" t="s">
        <v>65</v>
      </c>
      <c r="R301" s="1" t="s">
        <v>87</v>
      </c>
      <c r="U301" s="12" t="n">
        <v>0.0263888888888889</v>
      </c>
      <c r="V301" s="11" t="n">
        <v>46139</v>
      </c>
      <c r="W301" s="12" t="n">
        <v>0.904166666666667</v>
      </c>
      <c r="X301" s="11" t="n">
        <v>46139</v>
      </c>
      <c r="Y301" s="12" t="n">
        <v>0.93125</v>
      </c>
      <c r="Z301" s="1" t="s">
        <v>67</v>
      </c>
      <c r="AA301" s="1" t="s">
        <v>68</v>
      </c>
      <c r="AB301" s="2" t="e">
        <f aca="false">U301-F301</f>
        <v>#VALUE!</v>
      </c>
      <c r="AC301" s="14" t="n">
        <f aca="false">(V301+W301)-(B301+C301)</f>
        <v>2.89930555555556</v>
      </c>
      <c r="AD301" s="4" t="str">
        <f aca="false">INT((V301+W301)-(B301+C301)) &amp; ":" &amp;
TEXT(HOUR((V301+W301)-(B301+C301)), "00") &amp; ":" &amp;
TEXT(MINUTE((V301+W301)-(B301+C301)), "00")</f>
        <v>2:21:35</v>
      </c>
      <c r="AE301" s="1" t="n">
        <f aca="false">IFERROR(
LEFT(AD301,FIND(":",AD301)-1)
+ MID(AD301,FIND(":",AD301)+1,2)/24
+ RIGHT(AD301,2)/1440,
"")</f>
        <v>2.89930555555556</v>
      </c>
      <c r="AF301" s="4" t="str">
        <f aca="false">INT((X301+Y301)-(B301+C301)) &amp; ":" &amp;
TEXT(HOUR((X301+Y301)-(B301+C301)), "00") &amp; ":" &amp;
TEXT(MINUTE((X301+Y301)-(B301+C301)), "00")</f>
        <v>2:22:14</v>
      </c>
      <c r="AG301" s="4" t="str">
        <f aca="false" t="array" ref="AG301:AG301">INT(_xlfn.XLOOKUP(J301,{"Low","Medium","High","Urgent"},{48,24,12,8})/24) &amp; ":" &amp;
TEXT(MOD(_xlfn.XLOOKUP(J301,{"Low","Medium","High","Urgent"},{48,24,12,8}),24)/24,"hh:mm")</f>
        <v>2:00:00</v>
      </c>
      <c r="AH301" s="4" t="str">
        <f aca="false">IF(AD301&gt;AG301,"Not Met","Met")</f>
        <v>Not Met</v>
      </c>
      <c r="AI301" s="4" t="e">
        <f aca="false">IF(AB301&lt;TIME(0,30,0),"Met","Not Met")</f>
        <v>#VALUE!</v>
      </c>
      <c r="AN301" s="1" t="str">
        <f aca="false">TEXT(B301,"dd")</f>
        <v>25</v>
      </c>
      <c r="AO301" s="1" t="str">
        <f aca="false">TEXT(X301,"dd")</f>
        <v>27</v>
      </c>
      <c r="AP301" s="16" t="str">
        <f aca="false">INT(
  NETWORKDAYS(B301,V301)-1
  + IF(WEEKDAY(V301,2)&lt;6,MOD(V301+W301,1),0)
  - IF(WEEKDAY(B301,2)&lt;6,MOD(B301+C301,1),0)
)
&amp; ":" &amp;
TEXT(HOUR(
  NETWORKDAYS(B301,V301)-1
  + IF(WEEKDAY(V301,2)&lt;6,MOD(V301+W301,1),0)
  - IF(WEEKDAY(B301,2)&lt;6,MOD(B301+C301,1),0)
),"00")
&amp; ":" &amp;
TEXT(MINUTE(
  NETWORKDAYS(B301,V301)-1
  + IF(WEEKDAY(V301,2)&lt;6,MOD(V301+W301,1),0)
  - IF(WEEKDAY(B301,2)&lt;6,MOD(B301+C301,1),0)
),"00")</f>
        <v>0:21:42</v>
      </c>
      <c r="AQ301" s="0" t="n">
        <f aca="false">IFERROR(
LEFT(AP301,FIND(":",AP301)-1)
+ MID(AP301,FIND(":",AP301)+1,2)/24
+ RIGHT(AP301,2)/1440,
"")</f>
        <v>0.904166666666667</v>
      </c>
      <c r="AR301" s="0" t="n">
        <f aca="false">WEEKNUM(B301,1)</f>
        <v>17</v>
      </c>
      <c r="AS301" s="17" t="n">
        <f aca="false">IF(B301&gt;0, (B301+C301)-TIME(13,30,0), "")</f>
        <v>46136.4423611111</v>
      </c>
      <c r="AT301" s="18" t="n">
        <f aca="false">IF(B301&gt;0, (B301+C301)-TIME(13,30,0), "")</f>
        <v>46136.4423611111</v>
      </c>
      <c r="AU301" s="17" t="n">
        <f aca="false">IF(V301&gt;0, (V301+W301)-TIME(13,30,0), "")</f>
        <v>46139.3416666667</v>
      </c>
      <c r="AV301" s="18" t="n">
        <f aca="false">IF(V301&gt;0, (V301+W301)-TIME(13,30,0), "")</f>
        <v>46139.3416666667</v>
      </c>
      <c r="AW301" s="19" t="n">
        <f aca="false">24*(
MAX(0,
IF(NETWORKDAYS(AS301,AU301)=1,
MIN(MOD(AV301,1),TIME(17,30,0)) - MAX(MOD(AT301,1),TIME(8,30,0)),
(TIME(17,30,0)-MAX(MOD(AT301,1),TIME(8,30,0)))
+ (MIN(MOD(AV301,1),TIME(17,30,0))-TIME(8,30,0))
+ (NETWORKDAYS(AS301,AU301)-2)*9/24
)
)
)</f>
        <v>6.58333333333333</v>
      </c>
      <c r="AX301" s="19" t="n">
        <f aca="false">24*(
MAX(0,
IF(NETWORKDAYS(AS301,AU301)=1,
MIN(MOD(AV301,1),TIME(17,30,0)) - MAX(MOD(AT301,1),TIME(8,30,0)),
(TIME(17,30,0)-MAX(MOD(AT301,1),TIME(8,30,0)))
+ (MIN(MOD(AV301,1),TIME(17,30,0))-TIME(8,30,0))
+ (NETWORKDAYS(AS301,AU301)-2)* (TIME(17,30,0)-TIME(8,30,0))
)
)
)</f>
        <v>6.58333333333333</v>
      </c>
      <c r="AY301" s="20" t="n">
        <f aca="false">ROUND(
IF(AS301=AU301,
MAX(0,
(MIN(MOD(AV301,1),TIME(17,30,0))-
MAX(MOD(AT301,1),TIME(8,30,0)))*24
),
(
(MAX(0,TIME(17,30,0)-MAX(MOD(AT301,1),TIME(8,30,0)))*24)
+
(MAX(0,MIN(MOD(AV301,1),TIME(17,30,0))-TIME(8,30,0))*24)
+
(MAX(0,NETWORKDAYS(AS301+1,AU301-1))*9)
)
),
2)</f>
        <v>6.88</v>
      </c>
      <c r="AZ301" s="0" t="n">
        <f aca="false" t="array" ref="AZ301:AZ301">_xlfn.XLOOKUP(J301,{"Low","Medium","High"},{270,72,24})</f>
        <v>270</v>
      </c>
      <c r="BA301" s="0" t="str">
        <f aca="false">IF(AW301&gt;AZ301,"Not Met","Met")</f>
        <v>Met</v>
      </c>
      <c r="BB301" s="21" t="str">
        <f aca="false">IF(AS301="","",TEXT(AS301,"MMM")&amp;"'"&amp;TEXT(AS301,"yy"))</f>
        <v>Apr'26</v>
      </c>
      <c r="BC301" s="0" t="str">
        <f aca="false">IF(AU301="","",TEXT(AU301,"MMM")&amp;"'"&amp;TEXT(AU301,"yy"))</f>
        <v>Apr'26</v>
      </c>
    </row>
    <row r="302" customFormat="false" ht="15" hidden="false" customHeight="false" outlineLevel="0" collapsed="false">
      <c r="A302" s="1" t="s">
        <v>1039</v>
      </c>
      <c r="B302" s="11" t="n">
        <v>46137</v>
      </c>
      <c r="C302" s="12" t="n">
        <v>0.0638888888888889</v>
      </c>
      <c r="D302" s="13" t="str">
        <f aca="false">IF(B302="","",TEXT(B302,"MMM")&amp;"'"&amp;TEXT(B302,"yy"))</f>
        <v>Apr'26</v>
      </c>
      <c r="E302" s="27" t="s">
        <v>55</v>
      </c>
      <c r="F302" s="1" t="s">
        <v>39</v>
      </c>
      <c r="G302" s="1" t="str">
        <f aca="false">IF(F302="Closed","Closed","Pending")</f>
        <v>Closed</v>
      </c>
      <c r="H302" s="58" t="s">
        <v>185</v>
      </c>
      <c r="I302" s="26" t="s">
        <v>540</v>
      </c>
      <c r="J302" s="35" t="s">
        <v>74</v>
      </c>
      <c r="K302" s="1" t="s">
        <v>59</v>
      </c>
      <c r="L302" s="1" t="s">
        <v>1040</v>
      </c>
      <c r="M302" s="1" t="s">
        <v>1041</v>
      </c>
      <c r="N302" s="1" t="s">
        <v>62</v>
      </c>
      <c r="O302" s="1" t="s">
        <v>63</v>
      </c>
      <c r="Q302" s="1" t="s">
        <v>229</v>
      </c>
      <c r="R302" s="1" t="s">
        <v>66</v>
      </c>
      <c r="U302" s="12" t="n">
        <v>0.0756944444444444</v>
      </c>
      <c r="V302" s="11" t="n">
        <v>46139</v>
      </c>
      <c r="W302" s="12" t="n">
        <v>0.909027777777778</v>
      </c>
      <c r="X302" s="11" t="n">
        <v>46139</v>
      </c>
      <c r="Y302" s="12" t="n">
        <v>0.9125</v>
      </c>
      <c r="Z302" s="1" t="s">
        <v>108</v>
      </c>
      <c r="AA302" s="1" t="s">
        <v>68</v>
      </c>
      <c r="AB302" s="2" t="e">
        <f aca="false">U302-F302</f>
        <v>#VALUE!</v>
      </c>
      <c r="AC302" s="14" t="n">
        <f aca="false">(V302+W302)-(B302+C302)</f>
        <v>2.84513888888889</v>
      </c>
      <c r="AD302" s="4" t="str">
        <f aca="false">INT((V302+W302)-(B302+C302)) &amp; ":" &amp;
TEXT(HOUR((V302+W302)-(B302+C302)), "00") &amp; ":" &amp;
TEXT(MINUTE((V302+W302)-(B302+C302)), "00")</f>
        <v>2:20:17</v>
      </c>
      <c r="AE302" s="1" t="n">
        <f aca="false">IFERROR(
LEFT(AD302,FIND(":",AD302)-1)
+ MID(AD302,FIND(":",AD302)+1,2)/24
+ RIGHT(AD302,2)/1440,
"")</f>
        <v>2.84513888888889</v>
      </c>
      <c r="AF302" s="4" t="str">
        <f aca="false">INT((X302+Y302)-(B302+C302)) &amp; ":" &amp;
TEXT(HOUR((X302+Y302)-(B302+C302)), "00") &amp; ":" &amp;
TEXT(MINUTE((X302+Y302)-(B302+C302)), "00")</f>
        <v>2:20:22</v>
      </c>
      <c r="AG302" s="4" t="str">
        <f aca="false" t="array" ref="AG302:AG302">INT(_xlfn.XLOOKUP(J302,{"Low","Medium","High","Urgent"},{48,24,12,8})/24) &amp; ":" &amp;
TEXT(MOD(_xlfn.XLOOKUP(J302,{"Low","Medium","High","Urgent"},{48,24,12,8}),24)/24,"hh:mm")</f>
        <v>2:00:00</v>
      </c>
      <c r="AH302" s="4" t="str">
        <f aca="false">IF(AD302&gt;AG302,"Not Met","Met")</f>
        <v>Not Met</v>
      </c>
      <c r="AI302" s="4" t="e">
        <f aca="false">IF(AB302&lt;TIME(0,30,0),"Met","Not Met")</f>
        <v>#VALUE!</v>
      </c>
      <c r="AN302" s="1" t="str">
        <f aca="false">TEXT(B302,"dd")</f>
        <v>25</v>
      </c>
      <c r="AO302" s="1" t="str">
        <f aca="false">TEXT(X302,"dd")</f>
        <v>27</v>
      </c>
      <c r="AP302" s="16" t="str">
        <f aca="false">INT(
  NETWORKDAYS(B302,V302)-1
  + IF(WEEKDAY(V302,2)&lt;6,MOD(V302+W302,1),0)
  - IF(WEEKDAY(B302,2)&lt;6,MOD(B302+C302,1),0)
)
&amp; ":" &amp;
TEXT(HOUR(
  NETWORKDAYS(B302,V302)-1
  + IF(WEEKDAY(V302,2)&lt;6,MOD(V302+W302,1),0)
  - IF(WEEKDAY(B302,2)&lt;6,MOD(B302+C302,1),0)
),"00")
&amp; ":" &amp;
TEXT(MINUTE(
  NETWORKDAYS(B302,V302)-1
  + IF(WEEKDAY(V302,2)&lt;6,MOD(V302+W302,1),0)
  - IF(WEEKDAY(B302,2)&lt;6,MOD(B302+C302,1),0)
),"00")</f>
        <v>0:21:49</v>
      </c>
      <c r="AQ302" s="0" t="n">
        <f aca="false">IFERROR(
LEFT(AP302,FIND(":",AP302)-1)
+ MID(AP302,FIND(":",AP302)+1,2)/24
+ RIGHT(AP302,2)/1440,
"")</f>
        <v>0.909027777777778</v>
      </c>
      <c r="AR302" s="0" t="n">
        <f aca="false">WEEKNUM(B302,1)</f>
        <v>17</v>
      </c>
      <c r="AS302" s="17" t="n">
        <f aca="false">IF(B302&gt;0, (B302+C302)-TIME(13,30,0), "")</f>
        <v>46136.5013888889</v>
      </c>
      <c r="AT302" s="18" t="n">
        <f aca="false">IF(B302&gt;0, (B302+C302)-TIME(13,30,0), "")</f>
        <v>46136.5013888889</v>
      </c>
      <c r="AU302" s="17" t="n">
        <f aca="false">IF(V302&gt;0, (V302+W302)-TIME(13,30,0), "")</f>
        <v>46139.3465277778</v>
      </c>
      <c r="AV302" s="18" t="n">
        <f aca="false">IF(V302&gt;0, (V302+W302)-TIME(13,30,0), "")</f>
        <v>46139.3465277778</v>
      </c>
      <c r="AW302" s="19" t="n">
        <f aca="false">24*(
MAX(0,
IF(NETWORKDAYS(AS302,AU302)=1,
MIN(MOD(AV302,1),TIME(17,30,0)) - MAX(MOD(AT302,1),TIME(8,30,0)),
(TIME(17,30,0)-MAX(MOD(AT302,1),TIME(8,30,0)))
+ (MIN(MOD(AV302,1),TIME(17,30,0))-TIME(8,30,0))
+ (NETWORKDAYS(AS302,AU302)-2)*9/24
)
)
)</f>
        <v>5.28333333333333</v>
      </c>
      <c r="AX302" s="19" t="n">
        <f aca="false">24*(
MAX(0,
IF(NETWORKDAYS(AS302,AU302)=1,
MIN(MOD(AV302,1),TIME(17,30,0)) - MAX(MOD(AT302,1),TIME(8,30,0)),
(TIME(17,30,0)-MAX(MOD(AT302,1),TIME(8,30,0)))
+ (MIN(MOD(AV302,1),TIME(17,30,0))-TIME(8,30,0))
+ (NETWORKDAYS(AS302,AU302)-2)* (TIME(17,30,0)-TIME(8,30,0))
)
)
)</f>
        <v>5.28333333333333</v>
      </c>
      <c r="AY302" s="20" t="n">
        <f aca="false">ROUND(
IF(AS302=AU302,
MAX(0,
(MIN(MOD(AV302,1),TIME(17,30,0))-
MAX(MOD(AT302,1),TIME(8,30,0)))*24
),
(
(MAX(0,TIME(17,30,0)-MAX(MOD(AT302,1),TIME(8,30,0)))*24)
+
(MAX(0,MIN(MOD(AV302,1),TIME(17,30,0))-TIME(8,30,0))*24)
+
(MAX(0,NETWORKDAYS(AS302+1,AU302-1))*9)
)
),
2)</f>
        <v>5.47</v>
      </c>
      <c r="AZ302" s="0" t="n">
        <f aca="false" t="array" ref="AZ302:AZ302">_xlfn.XLOOKUP(J302,{"Low","Medium","High"},{270,72,24})</f>
        <v>270</v>
      </c>
      <c r="BA302" s="0" t="str">
        <f aca="false">IF(AW302&gt;AZ302,"Not Met","Met")</f>
        <v>Met</v>
      </c>
      <c r="BB302" s="21" t="str">
        <f aca="false">IF(AS302="","",TEXT(AS302,"MMM")&amp;"'"&amp;TEXT(AS302,"yy"))</f>
        <v>Apr'26</v>
      </c>
      <c r="BC302" s="0" t="str">
        <f aca="false">IF(AU302="","",TEXT(AU302,"MMM")&amp;"'"&amp;TEXT(AU302,"yy"))</f>
        <v>Apr'26</v>
      </c>
    </row>
    <row r="303" customFormat="false" ht="15" hidden="false" customHeight="false" outlineLevel="0" collapsed="false">
      <c r="A303" s="1" t="s">
        <v>1042</v>
      </c>
      <c r="B303" s="11" t="n">
        <v>46139</v>
      </c>
      <c r="C303" s="12" t="n">
        <v>0.838888888888889</v>
      </c>
      <c r="D303" s="13" t="str">
        <f aca="false">IF(B303="","",TEXT(B303,"MMM")&amp;"'"&amp;TEXT(B303,"yy"))</f>
        <v>Apr'26</v>
      </c>
      <c r="E303" s="27" t="s">
        <v>55</v>
      </c>
      <c r="F303" s="1" t="s">
        <v>39</v>
      </c>
      <c r="G303" s="46" t="str">
        <f aca="false">IF(F303="Closed","Closed","Pending")</f>
        <v>Closed</v>
      </c>
      <c r="H303" s="1" t="s">
        <v>185</v>
      </c>
      <c r="I303" s="1" t="s">
        <v>302</v>
      </c>
      <c r="J303" s="35" t="s">
        <v>74</v>
      </c>
      <c r="K303" s="1" t="s">
        <v>59</v>
      </c>
      <c r="L303" s="1" t="s">
        <v>1043</v>
      </c>
      <c r="M303" s="1" t="s">
        <v>1044</v>
      </c>
      <c r="N303" s="1" t="s">
        <v>62</v>
      </c>
      <c r="O303" s="1" t="s">
        <v>77</v>
      </c>
      <c r="Q303" s="1" t="s">
        <v>86</v>
      </c>
      <c r="R303" s="1" t="s">
        <v>66</v>
      </c>
      <c r="U303" s="12" t="n">
        <v>0.873611111111111</v>
      </c>
      <c r="V303" s="11" t="n">
        <v>46147</v>
      </c>
      <c r="W303" s="12" t="n">
        <v>0.888888888888889</v>
      </c>
      <c r="X303" s="11" t="n">
        <v>46200</v>
      </c>
      <c r="Y303" s="12" t="n">
        <v>0.0180555555555556</v>
      </c>
      <c r="Z303" s="1" t="s">
        <v>108</v>
      </c>
      <c r="AA303" s="1" t="s">
        <v>89</v>
      </c>
      <c r="AB303" s="2" t="e">
        <f aca="false">U303-F303</f>
        <v>#VALUE!</v>
      </c>
      <c r="AC303" s="14" t="n">
        <f aca="false">(V303+W303)-(B303+C303)</f>
        <v>8.05</v>
      </c>
      <c r="AD303" s="4" t="str">
        <f aca="false">INT((V303+W303)-(B303+C303)) &amp; ":" &amp;
TEXT(HOUR((V303+W303)-(B303+C303)), "00") &amp; ":" &amp;
TEXT(MINUTE((V303+W303)-(B303+C303)), "00")</f>
        <v>8:01:12</v>
      </c>
      <c r="AE303" s="1" t="n">
        <f aca="false">IFERROR(
LEFT(AD303,FIND(":",AD303)-1)
+ MID(AD303,FIND(":",AD303)+1,2)/24
+ RIGHT(AD303,2)/1440,
"")</f>
        <v>8.05</v>
      </c>
      <c r="AF303" s="4" t="str">
        <f aca="false">INT((X303+Y303)-(B303+C303)) &amp; ":" &amp;
TEXT(HOUR((X303+Y303)-(B303+C303)), "00") &amp; ":" &amp;
TEXT(MINUTE((X303+Y303)-(B303+C303)), "00")</f>
        <v>60:04:18</v>
      </c>
      <c r="AG303" s="4" t="str">
        <f aca="false" t="array" ref="AG303:AG303">INT(_xlfn.XLOOKUP(J303,{"Low","Medium","High","Urgent"},{48,24,12,8})/24) &amp; ":" &amp;
TEXT(MOD(_xlfn.XLOOKUP(J303,{"Low","Medium","High","Urgent"},{48,24,12,8}),24)/24,"hh:mm")</f>
        <v>2:00:00</v>
      </c>
      <c r="AH303" s="4" t="str">
        <f aca="false">IF(AD303&gt;AG303,"Not Met","Met")</f>
        <v>Not Met</v>
      </c>
      <c r="AI303" s="4" t="e">
        <f aca="false">IF(AB303&lt;TIME(0,30,0),"Met","Not Met")</f>
        <v>#VALUE!</v>
      </c>
      <c r="AN303" s="1" t="str">
        <f aca="false">TEXT(B303,"dd")</f>
        <v>27</v>
      </c>
      <c r="AO303" s="1" t="str">
        <f aca="false">TEXT(X303,"dd")</f>
        <v>27</v>
      </c>
      <c r="AP303" s="16" t="str">
        <f aca="false">INT(
  NETWORKDAYS(B303,V303)-1
  + IF(WEEKDAY(V303,2)&lt;6,MOD(V303+W303,1),0)
  - IF(WEEKDAY(B303,2)&lt;6,MOD(B303+C303,1),0)
)
&amp; ":" &amp;
TEXT(HOUR(
  NETWORKDAYS(B303,V303)-1
  + IF(WEEKDAY(V303,2)&lt;6,MOD(V303+W303,1),0)
  - IF(WEEKDAY(B303,2)&lt;6,MOD(B303+C303,1),0)
),"00")
&amp; ":" &amp;
TEXT(MINUTE(
  NETWORKDAYS(B303,V303)-1
  + IF(WEEKDAY(V303,2)&lt;6,MOD(V303+W303,1),0)
  - IF(WEEKDAY(B303,2)&lt;6,MOD(B303+C303,1),0)
),"00")</f>
        <v>6:01:12</v>
      </c>
      <c r="AQ303" s="0" t="n">
        <f aca="false">IFERROR(
LEFT(AP303,FIND(":",AP303)-1)
+ MID(AP303,FIND(":",AP303)+1,2)/24
+ RIGHT(AP303,2)/1440,
"")</f>
        <v>6.05</v>
      </c>
      <c r="AR303" s="0" t="n">
        <f aca="false">WEEKNUM(B303,1)</f>
        <v>18</v>
      </c>
      <c r="AS303" s="17" t="n">
        <f aca="false">IF(B303&gt;0, (B303+C303)-TIME(13,30,0), "")</f>
        <v>46139.2763888889</v>
      </c>
      <c r="AT303" s="18" t="n">
        <f aca="false">IF(B303&gt;0, (B303+C303)-TIME(13,30,0), "")</f>
        <v>46139.2763888889</v>
      </c>
      <c r="AU303" s="17" t="n">
        <f aca="false">IF(V303&gt;0, (V303+W303)-TIME(13,30,0), "")</f>
        <v>46147.3263888889</v>
      </c>
      <c r="AV303" s="18" t="n">
        <f aca="false">IF(V303&gt;0, (V303+W303)-TIME(13,30,0), "")</f>
        <v>46147.3263888889</v>
      </c>
      <c r="AW303" s="19" t="n">
        <f aca="false">24*(
MAX(0,
IF(NETWORKDAYS(AS303,AU303)=1,
MIN(MOD(AV303,1),TIME(17,30,0)) - MAX(MOD(AT303,1),TIME(8,30,0)),
(TIME(17,30,0)-MAX(MOD(AT303,1),TIME(8,30,0)))
+ (MIN(MOD(AV303,1),TIME(17,30,0))-TIME(8,30,0))
+ (NETWORKDAYS(AS303,AU303)-2)*9/24
)
)
)</f>
        <v>53.3333333333333</v>
      </c>
      <c r="AX303" s="19" t="n">
        <f aca="false">24*(
MAX(0,
IF(NETWORKDAYS(AS303,AU303)=1,
MIN(MOD(AV303,1),TIME(17,30,0)) - MAX(MOD(AT303,1),TIME(8,30,0)),
(TIME(17,30,0)-MAX(MOD(AT303,1),TIME(8,30,0)))
+ (MIN(MOD(AV303,1),TIME(17,30,0))-TIME(8,30,0))
+ (NETWORKDAYS(AS303,AU303)-2)* (TIME(17,30,0)-TIME(8,30,0))
)
)
)</f>
        <v>53.3333333333333</v>
      </c>
      <c r="AY303" s="20" t="n">
        <f aca="false">ROUND(
IF(AS303=AU303,
MAX(0,
(MIN(MOD(AV303,1),TIME(17,30,0))-
MAX(MOD(AT303,1),TIME(8,30,0)))*24
),
(
(MAX(0,TIME(17,30,0)-MAX(MOD(AT303,1),TIME(8,30,0)))*24)
+
(MAX(0,MIN(MOD(AV303,1),TIME(17,30,0))-TIME(8,30,0))*24)
+
(MAX(0,NETWORKDAYS(AS303+1,AU303-1))*9)
)
),
2)</f>
        <v>54</v>
      </c>
      <c r="AZ303" s="0" t="n">
        <f aca="false" t="array" ref="AZ303:AZ303">_xlfn.XLOOKUP(J303,{"Low","Medium","High"},{270,72,24})</f>
        <v>270</v>
      </c>
      <c r="BA303" s="0" t="str">
        <f aca="false">IF(AW303&gt;AZ303,"Not Met","Met")</f>
        <v>Met</v>
      </c>
      <c r="BB303" s="21" t="str">
        <f aca="false">IF(AS303="","",TEXT(AS303,"MMM")&amp;"'"&amp;TEXT(AS303,"yy"))</f>
        <v>Apr'26</v>
      </c>
      <c r="BC303" s="0" t="str">
        <f aca="false">IF(AU303="","",TEXT(AU303,"MMM")&amp;"'"&amp;TEXT(AU303,"yy"))</f>
        <v>May'26</v>
      </c>
    </row>
    <row r="304" customFormat="false" ht="15" hidden="false" customHeight="false" outlineLevel="0" collapsed="false">
      <c r="A304" s="1" t="s">
        <v>1045</v>
      </c>
      <c r="B304" s="11" t="n">
        <v>46140</v>
      </c>
      <c r="C304" s="12" t="n">
        <v>0.120138888888889</v>
      </c>
      <c r="D304" s="13" t="str">
        <f aca="false">IF(B304="","",TEXT(B304,"MMM")&amp;"'"&amp;TEXT(B304,"yy"))</f>
        <v>Apr'26</v>
      </c>
      <c r="E304" s="27" t="s">
        <v>55</v>
      </c>
      <c r="F304" s="34" t="s">
        <v>539</v>
      </c>
      <c r="G304" s="46" t="str">
        <f aca="false">IF(F304="Closed","Closed","Pending")</f>
        <v>Pending</v>
      </c>
      <c r="H304" s="1" t="s">
        <v>263</v>
      </c>
      <c r="I304" s="1" t="s">
        <v>103</v>
      </c>
      <c r="J304" s="35" t="s">
        <v>74</v>
      </c>
      <c r="K304" s="1" t="s">
        <v>59</v>
      </c>
      <c r="L304" s="1" t="s">
        <v>1046</v>
      </c>
      <c r="M304" s="1" t="s">
        <v>1047</v>
      </c>
      <c r="N304" s="1" t="s">
        <v>143</v>
      </c>
      <c r="O304" s="1" t="s">
        <v>143</v>
      </c>
      <c r="Q304" s="1" t="s">
        <v>143</v>
      </c>
      <c r="R304" s="1" t="s">
        <v>87</v>
      </c>
      <c r="U304" s="12" t="n">
        <v>0.120833333333333</v>
      </c>
      <c r="Z304" s="1" t="s">
        <v>67</v>
      </c>
      <c r="AB304" s="2" t="e">
        <f aca="false">U304-F304</f>
        <v>#VALUE!</v>
      </c>
      <c r="AC304" s="14" t="n">
        <f aca="false">(V304+W304)-(B304+C304)</f>
        <v>-46140.1201388889</v>
      </c>
      <c r="AD304" s="4" t="str">
        <f aca="false">INT((V304+W304)-(B304+C304)) &amp; ":" &amp;
TEXT(HOUR((V304+W304)-(B304+C304)), "00") &amp; ":" &amp;
TEXT(MINUTE((V304+W304)-(B304+C304)), "00")</f>
        <v>-46141:21:07</v>
      </c>
      <c r="AE304" s="1" t="n">
        <f aca="false">IFERROR(
LEFT(AD304,FIND(":",AD304)-1)
+ MID(AD304,FIND(":",AD304)+1,2)/24
+ RIGHT(AD304,2)/1440,
"")</f>
        <v>-46140.1201388889</v>
      </c>
      <c r="AF304" s="4" t="str">
        <f aca="false">INT((X304+Y304)-(B304+C304)) &amp; ":" &amp;
TEXT(HOUR((X304+Y304)-(B304+C304)), "00") &amp; ":" &amp;
TEXT(MINUTE((X304+Y304)-(B304+C304)), "00")</f>
        <v>-46141:21:07</v>
      </c>
      <c r="AG304" s="4" t="str">
        <f aca="false" t="array" ref="AG304:AG304">INT(_xlfn.XLOOKUP(J304,{"Low","Medium","High","Urgent"},{48,24,12,8})/24) &amp; ":" &amp;
TEXT(MOD(_xlfn.XLOOKUP(J304,{"Low","Medium","High","Urgent"},{48,24,12,8}),24)/24,"hh:mm")</f>
        <v>2:00:00</v>
      </c>
      <c r="AH304" s="4" t="str">
        <f aca="false">IF(AD304&gt;AG304,"Not Met","Met")</f>
        <v>Met</v>
      </c>
      <c r="AI304" s="4" t="e">
        <f aca="false">IF(AB304&lt;TIME(0,30,0),"Met","Not Met")</f>
        <v>#VALUE!</v>
      </c>
      <c r="AN304" s="1" t="str">
        <f aca="false">TEXT(B304,"dd")</f>
        <v>28</v>
      </c>
      <c r="AO304" s="1" t="str">
        <f aca="false">TEXT(X304,"dd")</f>
        <v>30</v>
      </c>
      <c r="AP304" s="16" t="str">
        <f aca="false">INT(
  NETWORKDAYS(B304,V304)-1
  + IF(WEEKDAY(V304,2)&lt;6,MOD(V304+W304,1),0)
  - IF(WEEKDAY(B304,2)&lt;6,MOD(B304+C304,1),0)
)
&amp; ":" &amp;
TEXT(HOUR(
  NETWORKDAYS(B304,V304)-1
  + IF(WEEKDAY(V304,2)&lt;6,MOD(V304+W304,1),0)
  - IF(WEEKDAY(B304,2)&lt;6,MOD(B304+C304,1),0)
),"00")
&amp; ":" &amp;
TEXT(MINUTE(
  NETWORKDAYS(B304,V304)-1
  + IF(WEEKDAY(V304,2)&lt;6,MOD(V304+W304,1),0)
  - IF(WEEKDAY(B304,2)&lt;6,MOD(B304+C304,1),0)
),"00")</f>
        <v>-32959:21:07</v>
      </c>
      <c r="AQ304" s="0" t="n">
        <f aca="false">IFERROR(
LEFT(AP304,FIND(":",AP304)-1)
+ MID(AP304,FIND(":",AP304)+1,2)/24
+ RIGHT(AP304,2)/1440,
"")</f>
        <v>-32958.1201388889</v>
      </c>
      <c r="AR304" s="0" t="n">
        <f aca="false">WEEKNUM(B304,1)</f>
        <v>18</v>
      </c>
      <c r="AS304" s="17" t="n">
        <f aca="false">IF(B304&gt;0, (B304+C304)-TIME(13,30,0), "")</f>
        <v>46139.5576388889</v>
      </c>
      <c r="AT304" s="18" t="n">
        <f aca="false">IF(B304&gt;0, (B304+C304)-TIME(13,30,0), "")</f>
        <v>46139.5576388889</v>
      </c>
      <c r="AU304" s="17" t="str">
        <f aca="false">IF(V304&gt;0, (V304+W304)-TIME(13,30,0), "")</f>
        <v/>
      </c>
      <c r="AV304" s="18" t="str">
        <f aca="false">IF(V304&gt;0, (V304+W304)-TIME(13,30,0), "")</f>
        <v/>
      </c>
      <c r="AW304" s="19" t="e">
        <f aca="false">24*(
MAX(0,
IF(NETWORKDAYS(AS304,AU304)=1,
MIN(MOD(AV304,1),TIME(17,30,0)) - MAX(MOD(AT304,1),TIME(8,30,0)),
(TIME(17,30,0)-MAX(MOD(AT304,1),TIME(8,30,0)))
+ (MIN(MOD(AV304,1),TIME(17,30,0))-TIME(8,30,0))
+ (NETWORKDAYS(AS304,AU304)-2)*9/24
)
)
)</f>
        <v>#VALUE!</v>
      </c>
      <c r="AX304" s="19" t="e">
        <f aca="false">24*(
MAX(0,
IF(NETWORKDAYS(AS304,AU304)=1,
MIN(MOD(AV304,1),TIME(17,30,0)) - MAX(MOD(AT304,1),TIME(8,30,0)),
(TIME(17,30,0)-MAX(MOD(AT304,1),TIME(8,30,0)))
+ (MIN(MOD(AV304,1),TIME(17,30,0))-TIME(8,30,0))
+ (NETWORKDAYS(AS304,AU304)-2)* (TIME(17,30,0)-TIME(8,30,0))
)
)
)</f>
        <v>#VALUE!</v>
      </c>
      <c r="AY304" s="20" t="e">
        <f aca="false">ROUND(
IF(AS304=AU304,
MAX(0,
(MIN(MOD(AV304,1),TIME(17,30,0))-
MAX(MOD(AT304,1),TIME(8,30,0)))*24
),
(
(MAX(0,TIME(17,30,0)-MAX(MOD(AT304,1),TIME(8,30,0)))*24)
+
(MAX(0,MIN(MOD(AV304,1),TIME(17,30,0))-TIME(8,30,0))*24)
+
(MAX(0,NETWORKDAYS(AS304+1,AU304-1))*9)
)
),
2)</f>
        <v>#VALUE!</v>
      </c>
      <c r="AZ304" s="0" t="n">
        <f aca="false" t="array" ref="AZ304:AZ304">_xlfn.XLOOKUP(J304,{"Low","Medium","High"},{270,72,24})</f>
        <v>270</v>
      </c>
      <c r="BA304" s="0" t="e">
        <f aca="false">IF(AW304&gt;AZ304,"Not Met","Met")</f>
        <v>#VALUE!</v>
      </c>
      <c r="BB304" s="21" t="str">
        <f aca="false">IF(AS304="","",TEXT(AS304,"MMM")&amp;"'"&amp;TEXT(AS304,"yy"))</f>
        <v>Apr'26</v>
      </c>
      <c r="BC304" s="0" t="str">
        <f aca="false">IF(AU304="","",TEXT(AU304,"MMM")&amp;"'"&amp;TEXT(AU304,"yy"))</f>
        <v/>
      </c>
    </row>
    <row r="305" customFormat="false" ht="15" hidden="false" customHeight="false" outlineLevel="0" collapsed="false">
      <c r="A305" s="1" t="s">
        <v>1048</v>
      </c>
      <c r="B305" s="11" t="n">
        <v>46140</v>
      </c>
      <c r="C305" s="12" t="n">
        <v>0.202777777777778</v>
      </c>
      <c r="D305" s="13" t="str">
        <f aca="false">IF(B305="","",TEXT(B305,"MMM")&amp;"'"&amp;TEXT(B305,"yy"))</f>
        <v>Apr'26</v>
      </c>
      <c r="E305" s="27" t="s">
        <v>55</v>
      </c>
      <c r="F305" s="1" t="s">
        <v>39</v>
      </c>
      <c r="G305" s="46" t="str">
        <f aca="false">IF(F305="Closed","Closed","Pending")</f>
        <v>Closed</v>
      </c>
      <c r="H305" s="1" t="s">
        <v>691</v>
      </c>
      <c r="I305" s="1" t="s">
        <v>436</v>
      </c>
      <c r="J305" s="35" t="s">
        <v>74</v>
      </c>
      <c r="K305" s="1" t="s">
        <v>59</v>
      </c>
      <c r="L305" s="1" t="s">
        <v>1049</v>
      </c>
      <c r="M305" s="1" t="s">
        <v>282</v>
      </c>
      <c r="N305" s="1" t="s">
        <v>65</v>
      </c>
      <c r="O305" s="1" t="s">
        <v>106</v>
      </c>
      <c r="Q305" s="1" t="s">
        <v>65</v>
      </c>
      <c r="R305" s="1" t="s">
        <v>87</v>
      </c>
      <c r="U305" s="12" t="n">
        <v>0.205555555555556</v>
      </c>
      <c r="V305" s="11" t="n">
        <v>46140</v>
      </c>
      <c r="W305" s="12" t="n">
        <v>0.909027777777778</v>
      </c>
      <c r="X305" s="11" t="n">
        <v>46146</v>
      </c>
      <c r="Y305" s="12" t="n">
        <v>0.917361111111111</v>
      </c>
      <c r="Z305" s="1" t="s">
        <v>67</v>
      </c>
      <c r="AA305" s="1" t="s">
        <v>68</v>
      </c>
      <c r="AB305" s="2" t="e">
        <f aca="false">U305-F305</f>
        <v>#VALUE!</v>
      </c>
      <c r="AC305" s="14" t="n">
        <f aca="false">(V305+W305)-(B305+C305)</f>
        <v>0.70625</v>
      </c>
      <c r="AD305" s="4" t="str">
        <f aca="false">INT((V305+W305)-(B305+C305)) &amp; ":" &amp;
TEXT(HOUR((V305+W305)-(B305+C305)), "00") &amp; ":" &amp;
TEXT(MINUTE((V305+W305)-(B305+C305)), "00")</f>
        <v>0:16:57</v>
      </c>
      <c r="AE305" s="1" t="n">
        <f aca="false">IFERROR(
LEFT(AD305,FIND(":",AD305)-1)
+ MID(AD305,FIND(":",AD305)+1,2)/24
+ RIGHT(AD305,2)/1440,
"")</f>
        <v>0.70625</v>
      </c>
      <c r="AF305" s="4" t="str">
        <f aca="false">INT((X305+Y305)-(B305+C305)) &amp; ":" &amp;
TEXT(HOUR((X305+Y305)-(B305+C305)), "00") &amp; ":" &amp;
TEXT(MINUTE((X305+Y305)-(B305+C305)), "00")</f>
        <v>6:17:09</v>
      </c>
      <c r="AG305" s="4" t="str">
        <f aca="false" t="array" ref="AG305:AG305">INT(_xlfn.XLOOKUP(J305,{"Low","Medium","High","Urgent"},{48,24,12,8})/24) &amp; ":" &amp;
TEXT(MOD(_xlfn.XLOOKUP(J305,{"Low","Medium","High","Urgent"},{48,24,12,8}),24)/24,"hh:mm")</f>
        <v>2:00:00</v>
      </c>
      <c r="AH305" s="4" t="str">
        <f aca="false">IF(AD305&gt;AG305,"Not Met","Met")</f>
        <v>Met</v>
      </c>
      <c r="AI305" s="4" t="e">
        <f aca="false">IF(AB305&lt;TIME(0,30,0),"Met","Not Met")</f>
        <v>#VALUE!</v>
      </c>
      <c r="AN305" s="1" t="str">
        <f aca="false">TEXT(B305,"dd")</f>
        <v>28</v>
      </c>
      <c r="AO305" s="1" t="str">
        <f aca="false">TEXT(X305,"dd")</f>
        <v>04</v>
      </c>
      <c r="AP305" s="16" t="str">
        <f aca="false">INT(
  NETWORKDAYS(B305,V305)-1
  + IF(WEEKDAY(V305,2)&lt;6,MOD(V305+W305,1),0)
  - IF(WEEKDAY(B305,2)&lt;6,MOD(B305+C305,1),0)
)
&amp; ":" &amp;
TEXT(HOUR(
  NETWORKDAYS(B305,V305)-1
  + IF(WEEKDAY(V305,2)&lt;6,MOD(V305+W305,1),0)
  - IF(WEEKDAY(B305,2)&lt;6,MOD(B305+C305,1),0)
),"00")
&amp; ":" &amp;
TEXT(MINUTE(
  NETWORKDAYS(B305,V305)-1
  + IF(WEEKDAY(V305,2)&lt;6,MOD(V305+W305,1),0)
  - IF(WEEKDAY(B305,2)&lt;6,MOD(B305+C305,1),0)
),"00")</f>
        <v>0:16:57</v>
      </c>
      <c r="AQ305" s="0" t="n">
        <f aca="false">IFERROR(
LEFT(AP305,FIND(":",AP305)-1)
+ MID(AP305,FIND(":",AP305)+1,2)/24
+ RIGHT(AP305,2)/1440,
"")</f>
        <v>0.70625</v>
      </c>
      <c r="AR305" s="0" t="n">
        <f aca="false">WEEKNUM(B305,1)</f>
        <v>18</v>
      </c>
      <c r="AS305" s="17" t="n">
        <f aca="false">IF(B305&gt;0, (B305+C305)-TIME(13,30,0), "")</f>
        <v>46139.6402777778</v>
      </c>
      <c r="AT305" s="18" t="n">
        <f aca="false">IF(B305&gt;0, (B305+C305)-TIME(13,30,0), "")</f>
        <v>46139.6402777778</v>
      </c>
      <c r="AU305" s="17" t="n">
        <f aca="false">IF(V305&gt;0, (V305+W305)-TIME(13,30,0), "")</f>
        <v>46140.3465277778</v>
      </c>
      <c r="AV305" s="18" t="n">
        <f aca="false">IF(V305&gt;0, (V305+W305)-TIME(13,30,0), "")</f>
        <v>46140.3465277778</v>
      </c>
      <c r="AW305" s="19" t="n">
        <f aca="false">24*(
MAX(0,
IF(NETWORKDAYS(AS305,AU305)=1,
MIN(MOD(AV305,1),TIME(17,30,0)) - MAX(MOD(AT305,1),TIME(8,30,0)),
(TIME(17,30,0)-MAX(MOD(AT305,1),TIME(8,30,0)))
+ (MIN(MOD(AV305,1),TIME(17,30,0))-TIME(8,30,0))
+ (NETWORKDAYS(AS305,AU305)-2)*9/24
)
)
)</f>
        <v>1.95</v>
      </c>
      <c r="AX305" s="19" t="n">
        <f aca="false">24*(
MAX(0,
IF(NETWORKDAYS(AS305,AU305)=1,
MIN(MOD(AV305,1),TIME(17,30,0)) - MAX(MOD(AT305,1),TIME(8,30,0)),
(TIME(17,30,0)-MAX(MOD(AT305,1),TIME(8,30,0)))
+ (MIN(MOD(AV305,1),TIME(17,30,0))-TIME(8,30,0))
+ (NETWORKDAYS(AS305,AU305)-2)* (TIME(17,30,0)-TIME(8,30,0))
)
)
)</f>
        <v>1.95</v>
      </c>
      <c r="AY305" s="20" t="n">
        <f aca="false">ROUND(
IF(AS305=AU305,
MAX(0,
(MIN(MOD(AV305,1),TIME(17,30,0))-
MAX(MOD(AT305,1),TIME(8,30,0)))*24
),
(
(MAX(0,TIME(17,30,0)-MAX(MOD(AT305,1),TIME(8,30,0)))*24)
+
(MAX(0,MIN(MOD(AV305,1),TIME(17,30,0))-TIME(8,30,0))*24)
+
(MAX(0,NETWORKDAYS(AS305+1,AU305-1))*9)
)
),
2)</f>
        <v>2.13</v>
      </c>
      <c r="AZ305" s="0" t="n">
        <f aca="false" t="array" ref="AZ305:AZ305">_xlfn.XLOOKUP(J305,{"Low","Medium","High"},{270,72,24})</f>
        <v>270</v>
      </c>
      <c r="BA305" s="0" t="str">
        <f aca="false">IF(AW305&gt;AZ305,"Not Met","Met")</f>
        <v>Met</v>
      </c>
      <c r="BB305" s="21" t="str">
        <f aca="false">IF(AS305="","",TEXT(AS305,"MMM")&amp;"'"&amp;TEXT(AS305,"yy"))</f>
        <v>Apr'26</v>
      </c>
      <c r="BC305" s="0" t="str">
        <f aca="false">IF(AU305="","",TEXT(AU305,"MMM")&amp;"'"&amp;TEXT(AU305,"yy"))</f>
        <v>Apr'26</v>
      </c>
    </row>
    <row r="306" customFormat="false" ht="15" hidden="false" customHeight="false" outlineLevel="0" collapsed="false">
      <c r="A306" s="1" t="s">
        <v>1050</v>
      </c>
      <c r="B306" s="11" t="n">
        <v>46140</v>
      </c>
      <c r="C306" s="12" t="n">
        <v>0.809027777777778</v>
      </c>
      <c r="D306" s="13" t="str">
        <f aca="false">IF(B306="","",TEXT(B306,"MMM")&amp;"'"&amp;TEXT(B306,"yy"))</f>
        <v>Apr'26</v>
      </c>
      <c r="E306" s="27" t="s">
        <v>55</v>
      </c>
      <c r="F306" s="1" t="s">
        <v>39</v>
      </c>
      <c r="G306" s="46" t="str">
        <f aca="false">IF(F306="Closed","Closed","Pending")</f>
        <v>Closed</v>
      </c>
      <c r="H306" s="29" t="s">
        <v>185</v>
      </c>
      <c r="I306" s="1" t="s">
        <v>302</v>
      </c>
      <c r="J306" s="1" t="s">
        <v>74</v>
      </c>
      <c r="K306" s="1" t="s">
        <v>59</v>
      </c>
      <c r="L306" s="1" t="s">
        <v>1051</v>
      </c>
      <c r="M306" s="1" t="s">
        <v>1052</v>
      </c>
      <c r="N306" s="1" t="s">
        <v>62</v>
      </c>
      <c r="O306" s="1" t="s">
        <v>63</v>
      </c>
      <c r="Q306" s="1" t="s">
        <v>229</v>
      </c>
      <c r="R306" s="1" t="s">
        <v>66</v>
      </c>
      <c r="U306" s="12" t="n">
        <v>0.914583333333333</v>
      </c>
      <c r="V306" s="11" t="n">
        <v>46155</v>
      </c>
      <c r="W306" s="12" t="n">
        <v>0.86875</v>
      </c>
      <c r="X306" s="11" t="n">
        <v>46155</v>
      </c>
      <c r="Y306" s="12" t="n">
        <v>0.945138888888889</v>
      </c>
      <c r="Z306" s="1" t="s">
        <v>67</v>
      </c>
      <c r="AA306" s="1" t="s">
        <v>68</v>
      </c>
      <c r="AB306" s="2" t="e">
        <f aca="false">U306-F306</f>
        <v>#VALUE!</v>
      </c>
      <c r="AC306" s="14" t="n">
        <f aca="false">(V306+W306)-(B306+C306)</f>
        <v>15.0597222222222</v>
      </c>
      <c r="AD306" s="4" t="str">
        <f aca="false">INT((V306+W306)-(B306+C306)) &amp; ":" &amp;
TEXT(HOUR((V306+W306)-(B306+C306)), "00") &amp; ":" &amp;
TEXT(MINUTE((V306+W306)-(B306+C306)), "00")</f>
        <v>15:01:26</v>
      </c>
      <c r="AE306" s="1" t="n">
        <f aca="false">IFERROR(
LEFT(AD306,FIND(":",AD306)-1)
+ MID(AD306,FIND(":",AD306)+1,2)/24
+ RIGHT(AD306,2)/1440,
"")</f>
        <v>15.0597222222222</v>
      </c>
      <c r="AF306" s="4" t="str">
        <f aca="false">INT((X306+Y306)-(B306+C306)) &amp; ":" &amp;
TEXT(HOUR((X306+Y306)-(B306+C306)), "00") &amp; ":" &amp;
TEXT(MINUTE((X306+Y306)-(B306+C306)), "00")</f>
        <v>15:03:16</v>
      </c>
      <c r="AG306" s="4" t="str">
        <f aca="false" t="array" ref="AG306:AG306">INT(_xlfn.XLOOKUP(J306,{"Low","Medium","High","Urgent"},{48,24,12,8})/24) &amp; ":" &amp;
TEXT(MOD(_xlfn.XLOOKUP(J306,{"Low","Medium","High","Urgent"},{48,24,12,8}),24)/24,"hh:mm")</f>
        <v>2:00:00</v>
      </c>
      <c r="AH306" s="4" t="str">
        <f aca="false">IF(AD306&gt;AG306,"Not Met","Met")</f>
        <v>Met</v>
      </c>
      <c r="AI306" s="4" t="e">
        <f aca="false">IF(AB306&lt;TIME(0,30,0),"Met","Not Met")</f>
        <v>#VALUE!</v>
      </c>
      <c r="AN306" s="1" t="str">
        <f aca="false">TEXT(B306,"dd")</f>
        <v>28</v>
      </c>
      <c r="AO306" s="1" t="str">
        <f aca="false">TEXT(X306,"dd")</f>
        <v>13</v>
      </c>
      <c r="AP306" s="16" t="str">
        <f aca="false">INT(
  NETWORKDAYS(B306,V306)-1
  + IF(WEEKDAY(V306,2)&lt;6,MOD(V306+W306,1),0)
  - IF(WEEKDAY(B306,2)&lt;6,MOD(B306+C306,1),0)
)
&amp; ":" &amp;
TEXT(HOUR(
  NETWORKDAYS(B306,V306)-1
  + IF(WEEKDAY(V306,2)&lt;6,MOD(V306+W306,1),0)
  - IF(WEEKDAY(B306,2)&lt;6,MOD(B306+C306,1),0)
),"00")
&amp; ":" &amp;
TEXT(MINUTE(
  NETWORKDAYS(B306,V306)-1
  + IF(WEEKDAY(V306,2)&lt;6,MOD(V306+W306,1),0)
  - IF(WEEKDAY(B306,2)&lt;6,MOD(B306+C306,1),0)
),"00")</f>
        <v>11:01:25</v>
      </c>
      <c r="AQ306" s="0" t="n">
        <f aca="false">IFERROR(
LEFT(AP306,FIND(":",AP306)-1)
+ MID(AP306,FIND(":",AP306)+1,2)/24
+ RIGHT(AP306,2)/1440,
"")</f>
        <v>11.0590277777778</v>
      </c>
      <c r="AR306" s="0" t="n">
        <f aca="false">WEEKNUM(B306,1)</f>
        <v>18</v>
      </c>
      <c r="AS306" s="17" t="n">
        <f aca="false">IF(B306&gt;0, (B306+C306)-TIME(13,30,0), "")</f>
        <v>46140.2465277778</v>
      </c>
      <c r="AT306" s="18" t="n">
        <f aca="false">IF(B306&gt;0, (B306+C306)-TIME(13,30,0), "")</f>
        <v>46140.2465277778</v>
      </c>
      <c r="AU306" s="17" t="n">
        <f aca="false">IF(V306&gt;0, (V306+W306)-TIME(13,30,0), "")</f>
        <v>46155.30625</v>
      </c>
      <c r="AV306" s="18" t="n">
        <f aca="false">IF(V306&gt;0, (V306+W306)-TIME(13,30,0), "")</f>
        <v>46155.30625</v>
      </c>
      <c r="AW306" s="19" t="n">
        <f aca="false">24*(
MAX(0,
IF(NETWORKDAYS(AS306,AU306)=1,
MIN(MOD(AV306,1),TIME(17,30,0)) - MAX(MOD(AT306,1),TIME(8,30,0)),
(TIME(17,30,0)-MAX(MOD(AT306,1),TIME(8,30,0)))
+ (MIN(MOD(AV306,1),TIME(17,30,0))-TIME(8,30,0))
+ (NETWORKDAYS(AS306,AU306)-2)*9/24
)
)
)</f>
        <v>97.85</v>
      </c>
      <c r="AX306" s="19" t="n">
        <f aca="false">24*(
MAX(0,
IF(NETWORKDAYS(AS306,AU306)=1,
MIN(MOD(AV306,1),TIME(17,30,0)) - MAX(MOD(AT306,1),TIME(8,30,0)),
(TIME(17,30,0)-MAX(MOD(AT306,1),TIME(8,30,0)))
+ (MIN(MOD(AV306,1),TIME(17,30,0))-TIME(8,30,0))
+ (NETWORKDAYS(AS306,AU306)-2)* (TIME(17,30,0)-TIME(8,30,0))
)
)
)</f>
        <v>97.85</v>
      </c>
      <c r="AY306" s="20" t="n">
        <f aca="false">ROUND(
IF(AS306=AU306,
MAX(0,
(MIN(MOD(AV306,1),TIME(17,30,0))-
MAX(MOD(AT306,1),TIME(8,30,0)))*24
),
(
(MAX(0,TIME(17,30,0)-MAX(MOD(AT306,1),TIME(8,30,0)))*24)
+
(MAX(0,MIN(MOD(AV306,1),TIME(17,30,0))-TIME(8,30,0))*24)
+
(MAX(0,NETWORKDAYS(AS306+1,AU306-1))*9)
)
),
2)</f>
        <v>99</v>
      </c>
      <c r="AZ306" s="0" t="n">
        <f aca="false" t="array" ref="AZ306:AZ306">_xlfn.XLOOKUP(J306,{"Low","Medium","High"},{270,72,24})</f>
        <v>270</v>
      </c>
      <c r="BA306" s="0" t="str">
        <f aca="false">IF(AW306&gt;AZ306,"Not Met","Met")</f>
        <v>Met</v>
      </c>
      <c r="BB306" s="21" t="str">
        <f aca="false">IF(AS306="","",TEXT(AS306,"MMM")&amp;"'"&amp;TEXT(AS306,"yy"))</f>
        <v>Apr'26</v>
      </c>
      <c r="BC306" s="0" t="str">
        <f aca="false">IF(AU306="","",TEXT(AU306,"MMM")&amp;"'"&amp;TEXT(AU306,"yy"))</f>
        <v>May'26</v>
      </c>
    </row>
    <row r="307" customFormat="false" ht="15" hidden="false" customHeight="false" outlineLevel="0" collapsed="false">
      <c r="A307" s="1" t="s">
        <v>1053</v>
      </c>
      <c r="B307" s="11" t="n">
        <v>46142</v>
      </c>
      <c r="C307" s="12" t="n">
        <v>0.871527777777778</v>
      </c>
      <c r="D307" s="13" t="str">
        <f aca="false">IF(B307="","",TEXT(B307,"MMM")&amp;"'"&amp;TEXT(B307,"yy"))</f>
        <v>Apr'26</v>
      </c>
      <c r="E307" s="27" t="s">
        <v>55</v>
      </c>
      <c r="F307" s="1" t="s">
        <v>39</v>
      </c>
      <c r="G307" s="46" t="str">
        <f aca="false">IF(F307="Closed","Closed","Pending")</f>
        <v>Closed</v>
      </c>
      <c r="H307" s="1" t="s">
        <v>81</v>
      </c>
      <c r="I307" s="26" t="s">
        <v>82</v>
      </c>
      <c r="J307" s="1" t="s">
        <v>74</v>
      </c>
      <c r="K307" s="1" t="s">
        <v>59</v>
      </c>
      <c r="L307" s="1" t="s">
        <v>1054</v>
      </c>
      <c r="M307" s="1" t="s">
        <v>534</v>
      </c>
      <c r="N307" s="1" t="s">
        <v>65</v>
      </c>
      <c r="O307" s="1" t="s">
        <v>106</v>
      </c>
      <c r="Q307" s="1" t="s">
        <v>65</v>
      </c>
      <c r="R307" s="1" t="s">
        <v>87</v>
      </c>
      <c r="U307" s="12" t="n">
        <v>0.883333333333333</v>
      </c>
      <c r="V307" s="11" t="n">
        <v>46149</v>
      </c>
      <c r="W307" s="12" t="n">
        <v>0.8875</v>
      </c>
      <c r="X307" s="11" t="n">
        <v>46149</v>
      </c>
      <c r="Y307" s="12" t="n">
        <v>0.970138888888889</v>
      </c>
      <c r="Z307" s="1" t="s">
        <v>67</v>
      </c>
      <c r="AA307" s="1" t="s">
        <v>68</v>
      </c>
      <c r="AB307" s="2" t="e">
        <f aca="false">U307-F307</f>
        <v>#VALUE!</v>
      </c>
      <c r="AC307" s="14" t="n">
        <f aca="false">(V307+W307)-(B307+C307)</f>
        <v>7.01597222222222</v>
      </c>
      <c r="AD307" s="4" t="str">
        <f aca="false">INT((V307+W307)-(B307+C307)) &amp; ":" &amp;
TEXT(HOUR((V307+W307)-(B307+C307)), "00") &amp; ":" &amp;
TEXT(MINUTE((V307+W307)-(B307+C307)), "00")</f>
        <v>7:00:23</v>
      </c>
      <c r="AE307" s="1" t="n">
        <f aca="false">IFERROR(
LEFT(AD307,FIND(":",AD307)-1)
+ MID(AD307,FIND(":",AD307)+1,2)/24
+ RIGHT(AD307,2)/1440,
"")</f>
        <v>7.01597222222222</v>
      </c>
      <c r="AF307" s="4" t="str">
        <f aca="false">INT((X307+Y307)-(B307+C307)) &amp; ":" &amp;
TEXT(HOUR((X307+Y307)-(B307+C307)), "00") &amp; ":" &amp;
TEXT(MINUTE((X307+Y307)-(B307+C307)), "00")</f>
        <v>7:02:22</v>
      </c>
      <c r="AG307" s="4" t="str">
        <f aca="false" t="array" ref="AG307:AG307">INT(_xlfn.XLOOKUP(J307,{"Low","Medium","High","Urgent"},{48,24,12,8})/24) &amp; ":" &amp;
TEXT(MOD(_xlfn.XLOOKUP(J307,{"Low","Medium","High","Urgent"},{48,24,12,8}),24)/24,"hh:mm")</f>
        <v>2:00:00</v>
      </c>
      <c r="AH307" s="4" t="str">
        <f aca="false">IF(AD307&gt;AG307,"Not Met","Met")</f>
        <v>Not Met</v>
      </c>
      <c r="AI307" s="4" t="e">
        <f aca="false">IF(AB307&lt;TIME(0,30,0),"Met","Not Met")</f>
        <v>#VALUE!</v>
      </c>
      <c r="AN307" s="1" t="str">
        <f aca="false">TEXT(B307,"dd")</f>
        <v>30</v>
      </c>
      <c r="AO307" s="1" t="str">
        <f aca="false">TEXT(X307,"dd")</f>
        <v>07</v>
      </c>
      <c r="AP307" s="16" t="str">
        <f aca="false">INT(
  NETWORKDAYS(B307,V307)-1
  + IF(WEEKDAY(V307,2)&lt;6,MOD(V307+W307,1),0)
  - IF(WEEKDAY(B307,2)&lt;6,MOD(B307+C307,1),0)
)
&amp; ":" &amp;
TEXT(HOUR(
  NETWORKDAYS(B307,V307)-1
  + IF(WEEKDAY(V307,2)&lt;6,MOD(V307+W307,1),0)
  - IF(WEEKDAY(B307,2)&lt;6,MOD(B307+C307,1),0)
),"00")
&amp; ":" &amp;
TEXT(MINUTE(
  NETWORKDAYS(B307,V307)-1
  + IF(WEEKDAY(V307,2)&lt;6,MOD(V307+W307,1),0)
  - IF(WEEKDAY(B307,2)&lt;6,MOD(B307+C307,1),0)
),"00")</f>
        <v>5:00:22</v>
      </c>
      <c r="AQ307" s="0" t="n">
        <f aca="false">IFERROR(
LEFT(AP307,FIND(":",AP307)-1)
+ MID(AP307,FIND(":",AP307)+1,2)/24
+ RIGHT(AP307,2)/1440,
"")</f>
        <v>5.01527777777778</v>
      </c>
      <c r="AR307" s="0" t="n">
        <f aca="false">WEEKNUM(B307,1)</f>
        <v>18</v>
      </c>
      <c r="AS307" s="17" t="n">
        <f aca="false">IF(B307&gt;0, (B307+C307)-TIME(13,30,0), "")</f>
        <v>46142.3090277778</v>
      </c>
      <c r="AT307" s="18" t="n">
        <f aca="false">IF(B307&gt;0, (B307+C307)-TIME(13,30,0), "")</f>
        <v>46142.3090277778</v>
      </c>
      <c r="AU307" s="17" t="n">
        <f aca="false">IF(V307&gt;0, (V307+W307)-TIME(13,30,0), "")</f>
        <v>46149.325</v>
      </c>
      <c r="AV307" s="18" t="n">
        <f aca="false">IF(V307&gt;0, (V307+W307)-TIME(13,30,0), "")</f>
        <v>46149.325</v>
      </c>
      <c r="AW307" s="19" t="n">
        <f aca="false">24*(
MAX(0,
IF(NETWORKDAYS(AS307,AU307)=1,
MIN(MOD(AV307,1),TIME(17,30,0)) - MAX(MOD(AT307,1),TIME(8,30,0)),
(TIME(17,30,0)-MAX(MOD(AT307,1),TIME(8,30,0)))
+ (MIN(MOD(AV307,1),TIME(17,30,0))-TIME(8,30,0))
+ (NETWORKDAYS(AS307,AU307)-2)*9/24
)
)
)</f>
        <v>44.3</v>
      </c>
      <c r="AX307" s="19" t="n">
        <f aca="false">24*(
MAX(0,
IF(NETWORKDAYS(AS307,AU307)=1,
MIN(MOD(AV307,1),TIME(17,30,0)) - MAX(MOD(AT307,1),TIME(8,30,0)),
(TIME(17,30,0)-MAX(MOD(AT307,1),TIME(8,30,0)))
+ (MIN(MOD(AV307,1),TIME(17,30,0))-TIME(8,30,0))
+ (NETWORKDAYS(AS307,AU307)-2)* (TIME(17,30,0)-TIME(8,30,0))
)
)
)</f>
        <v>44.3</v>
      </c>
      <c r="AY307" s="20" t="n">
        <f aca="false">ROUND(
IF(AS307=AU307,
MAX(0,
(MIN(MOD(AV307,1),TIME(17,30,0))-
MAX(MOD(AT307,1),TIME(8,30,0)))*24
),
(
(MAX(0,TIME(17,30,0)-MAX(MOD(AT307,1),TIME(8,30,0)))*24)
+
(MAX(0,MIN(MOD(AV307,1),TIME(17,30,0))-TIME(8,30,0))*24)
+
(MAX(0,NETWORKDAYS(AS307+1,AU307-1))*9)
)
),
2)</f>
        <v>45</v>
      </c>
      <c r="AZ307" s="0" t="n">
        <f aca="false" t="array" ref="AZ307:AZ307">_xlfn.XLOOKUP(J307,{"Low","Medium","High"},{270,72,24})</f>
        <v>270</v>
      </c>
      <c r="BA307" s="0" t="str">
        <f aca="false">IF(AW307&gt;AZ307,"Not Met","Met")</f>
        <v>Met</v>
      </c>
      <c r="BB307" s="21" t="str">
        <f aca="false">IF(AS307="","",TEXT(AS307,"MMM")&amp;"'"&amp;TEXT(AS307,"yy"))</f>
        <v>Apr'26</v>
      </c>
      <c r="BC307" s="0" t="str">
        <f aca="false">IF(AU307="","",TEXT(AU307,"MMM")&amp;"'"&amp;TEXT(AU307,"yy"))</f>
        <v>May'26</v>
      </c>
    </row>
    <row r="308" customFormat="false" ht="15" hidden="false" customHeight="false" outlineLevel="0" collapsed="false">
      <c r="A308" s="1" t="s">
        <v>1055</v>
      </c>
      <c r="B308" s="11" t="n">
        <v>46142</v>
      </c>
      <c r="C308" s="12" t="n">
        <v>0.895138888888889</v>
      </c>
      <c r="D308" s="13" t="str">
        <f aca="false">IF(B308="","",TEXT(B308,"MMM")&amp;"'"&amp;TEXT(B308,"yy"))</f>
        <v>Apr'26</v>
      </c>
      <c r="E308" s="27" t="s">
        <v>55</v>
      </c>
      <c r="F308" s="1" t="s">
        <v>39</v>
      </c>
      <c r="G308" s="46" t="str">
        <f aca="false">IF(F308="Closed","Closed","Pending")</f>
        <v>Closed</v>
      </c>
      <c r="H308" s="27" t="s">
        <v>81</v>
      </c>
      <c r="I308" s="1" t="s">
        <v>82</v>
      </c>
      <c r="J308" s="35" t="s">
        <v>74</v>
      </c>
      <c r="K308" s="1" t="s">
        <v>59</v>
      </c>
      <c r="L308" s="1" t="s">
        <v>1056</v>
      </c>
      <c r="M308" s="1" t="s">
        <v>752</v>
      </c>
      <c r="N308" s="1" t="s">
        <v>65</v>
      </c>
      <c r="O308" s="1" t="s">
        <v>106</v>
      </c>
      <c r="Q308" s="1" t="s">
        <v>65</v>
      </c>
      <c r="R308" s="1" t="s">
        <v>79</v>
      </c>
      <c r="U308" s="12" t="n">
        <v>0.90625</v>
      </c>
      <c r="V308" s="11" t="n">
        <v>46143</v>
      </c>
      <c r="W308" s="12" t="n">
        <v>0.907638888888889</v>
      </c>
      <c r="X308" s="11" t="n">
        <v>46153</v>
      </c>
      <c r="Y308" s="12" t="n">
        <v>0.904861111111111</v>
      </c>
      <c r="Z308" s="1" t="s">
        <v>67</v>
      </c>
      <c r="AA308" s="1" t="s">
        <v>68</v>
      </c>
      <c r="AB308" s="2" t="e">
        <f aca="false">U308-F308</f>
        <v>#VALUE!</v>
      </c>
      <c r="AC308" s="14" t="n">
        <f aca="false">(V308+W308)-(B308+C308)</f>
        <v>1.0125</v>
      </c>
      <c r="AD308" s="4" t="str">
        <f aca="false">INT((V308+W308)-(B308+C308)) &amp; ":" &amp;
TEXT(HOUR((V308+W308)-(B308+C308)), "00") &amp; ":" &amp;
TEXT(MINUTE((V308+W308)-(B308+C308)), "00")</f>
        <v>1:00:18</v>
      </c>
      <c r="AE308" s="1" t="n">
        <f aca="false">IFERROR(
LEFT(AD308,FIND(":",AD308)-1)
+ MID(AD308,FIND(":",AD308)+1,2)/24
+ RIGHT(AD308,2)/1440,
"")</f>
        <v>1.0125</v>
      </c>
      <c r="AF308" s="4" t="str">
        <f aca="false">INT((X308+Y308)-(B308+C308)) &amp; ":" &amp;
TEXT(HOUR((X308+Y308)-(B308+C308)), "00") &amp; ":" &amp;
TEXT(MINUTE((X308+Y308)-(B308+C308)), "00")</f>
        <v>11:00:14</v>
      </c>
      <c r="AG308" s="4" t="str">
        <f aca="false" t="array" ref="AG308:AG308">INT(_xlfn.XLOOKUP(J308,{"Low","Medium","High","Urgent"},{48,24,12,8})/24) &amp; ":" &amp;
TEXT(MOD(_xlfn.XLOOKUP(J308,{"Low","Medium","High","Urgent"},{48,24,12,8}),24)/24,"hh:mm")</f>
        <v>2:00:00</v>
      </c>
      <c r="AH308" s="4" t="str">
        <f aca="false">IF(AD308&gt;AG308,"Not Met","Met")</f>
        <v>Met</v>
      </c>
      <c r="AI308" s="4" t="e">
        <f aca="false">IF(AB308&lt;TIME(0,30,0),"Met","Not Met")</f>
        <v>#VALUE!</v>
      </c>
      <c r="AN308" s="1" t="str">
        <f aca="false">TEXT(B308,"dd")</f>
        <v>30</v>
      </c>
      <c r="AO308" s="1" t="str">
        <f aca="false">TEXT(X308,"dd")</f>
        <v>11</v>
      </c>
      <c r="AP308" s="16" t="str">
        <f aca="false">INT(
  NETWORKDAYS(B308,V308)-1
  + IF(WEEKDAY(V308,2)&lt;6,MOD(V308+W308,1),0)
  - IF(WEEKDAY(B308,2)&lt;6,MOD(B308+C308,1),0)
)
&amp; ":" &amp;
TEXT(HOUR(
  NETWORKDAYS(B308,V308)-1
  + IF(WEEKDAY(V308,2)&lt;6,MOD(V308+W308,1),0)
  - IF(WEEKDAY(B308,2)&lt;6,MOD(B308+C308,1),0)
),"00")
&amp; ":" &amp;
TEXT(MINUTE(
  NETWORKDAYS(B308,V308)-1
  + IF(WEEKDAY(V308,2)&lt;6,MOD(V308+W308,1),0)
  - IF(WEEKDAY(B308,2)&lt;6,MOD(B308+C308,1),0)
),"00")</f>
        <v>1:00:17</v>
      </c>
      <c r="AQ308" s="0" t="n">
        <f aca="false">IFERROR(
LEFT(AP308,FIND(":",AP308)-1)
+ MID(AP308,FIND(":",AP308)+1,2)/24
+ RIGHT(AP308,2)/1440,
"")</f>
        <v>1.01180555555556</v>
      </c>
      <c r="AR308" s="0" t="n">
        <f aca="false">WEEKNUM(B308,1)</f>
        <v>18</v>
      </c>
      <c r="AS308" s="17" t="n">
        <f aca="false">IF(B308&gt;0, (B308+C308)-TIME(13,30,0), "")</f>
        <v>46142.3326388889</v>
      </c>
      <c r="AT308" s="18" t="n">
        <f aca="false">IF(B308&gt;0, (B308+C308)-TIME(13,30,0), "")</f>
        <v>46142.3326388889</v>
      </c>
      <c r="AU308" s="17" t="n">
        <f aca="false">IF(V308&gt;0, (V308+W308)-TIME(13,30,0), "")</f>
        <v>46143.3451388889</v>
      </c>
      <c r="AV308" s="18" t="n">
        <f aca="false">IF(V308&gt;0, (V308+W308)-TIME(13,30,0), "")</f>
        <v>46143.3451388889</v>
      </c>
      <c r="AW308" s="19" t="n">
        <f aca="false">24*(
MAX(0,
IF(NETWORKDAYS(AS308,AU308)=1,
MIN(MOD(AV308,1),TIME(17,30,0)) - MAX(MOD(AT308,1),TIME(8,30,0)),
(TIME(17,30,0)-MAX(MOD(AT308,1),TIME(8,30,0)))
+ (MIN(MOD(AV308,1),TIME(17,30,0))-TIME(8,30,0))
+ (NETWORKDAYS(AS308,AU308)-2)*9/24
)
)
)</f>
        <v>8.78333333320083</v>
      </c>
      <c r="AX308" s="19" t="n">
        <f aca="false">24*(
MAX(0,
IF(NETWORKDAYS(AS308,AU308)=1,
MIN(MOD(AV308,1),TIME(17,30,0)) - MAX(MOD(AT308,1),TIME(8,30,0)),
(TIME(17,30,0)-MAX(MOD(AT308,1),TIME(8,30,0)))
+ (MIN(MOD(AV308,1),TIME(17,30,0))-TIME(8,30,0))
+ (NETWORKDAYS(AS308,AU308)-2)* (TIME(17,30,0)-TIME(8,30,0))
)
)
)</f>
        <v>8.78333333320083</v>
      </c>
      <c r="AY308" s="20" t="n">
        <f aca="false">ROUND(
IF(AS308=AU308,
MAX(0,
(MIN(MOD(AV308,1),TIME(17,30,0))-
MAX(MOD(AT308,1),TIME(8,30,0)))*24
),
(
(MAX(0,TIME(17,30,0)-MAX(MOD(AT308,1),TIME(8,30,0)))*24)
+
(MAX(0,MIN(MOD(AV308,1),TIME(17,30,0))-TIME(8,30,0))*24)
+
(MAX(0,NETWORKDAYS(AS308+1,AU308-1))*9)
)
),
2)</f>
        <v>9</v>
      </c>
      <c r="AZ308" s="0" t="n">
        <f aca="false" t="array" ref="AZ308:AZ308">_xlfn.XLOOKUP(J308,{"Low","Medium","High"},{270,72,24})</f>
        <v>270</v>
      </c>
      <c r="BA308" s="0" t="str">
        <f aca="false">IF(AW308&gt;AZ308,"Not Met","Met")</f>
        <v>Met</v>
      </c>
      <c r="BB308" s="21" t="str">
        <f aca="false">IF(AS308="","",TEXT(AS308,"MMM")&amp;"'"&amp;TEXT(AS308,"yy"))</f>
        <v>Apr'26</v>
      </c>
      <c r="BC308" s="0" t="str">
        <f aca="false">IF(AU308="","",TEXT(AU308,"MMM")&amp;"'"&amp;TEXT(AU308,"yy"))</f>
        <v>May'26</v>
      </c>
    </row>
    <row r="309" customFormat="false" ht="15" hidden="false" customHeight="false" outlineLevel="0" collapsed="false">
      <c r="A309" s="1" t="s">
        <v>1057</v>
      </c>
      <c r="B309" s="11" t="n">
        <v>46143</v>
      </c>
      <c r="C309" s="12" t="n">
        <v>0.130555555555556</v>
      </c>
      <c r="D309" s="13" t="str">
        <f aca="false">IF(B309="","",TEXT(B309,"MMM")&amp;"'"&amp;TEXT(B309,"yy"))</f>
        <v>May'26</v>
      </c>
      <c r="E309" s="27" t="s">
        <v>55</v>
      </c>
      <c r="F309" s="1" t="s">
        <v>39</v>
      </c>
      <c r="G309" s="46" t="str">
        <f aca="false">IF(F309="Closed","Closed","Pending")</f>
        <v>Closed</v>
      </c>
      <c r="H309" s="58" t="s">
        <v>120</v>
      </c>
      <c r="I309" s="26" t="s">
        <v>401</v>
      </c>
      <c r="J309" s="35" t="s">
        <v>74</v>
      </c>
      <c r="K309" s="1" t="s">
        <v>59</v>
      </c>
      <c r="L309" s="1" t="s">
        <v>1058</v>
      </c>
      <c r="N309" s="1" t="s">
        <v>143</v>
      </c>
      <c r="O309" s="1" t="s">
        <v>143</v>
      </c>
      <c r="Q309" s="1" t="s">
        <v>143</v>
      </c>
      <c r="R309" s="1" t="s">
        <v>66</v>
      </c>
      <c r="U309" s="12" t="n">
        <v>0.159027777777778</v>
      </c>
      <c r="V309" s="11" t="n">
        <v>46155</v>
      </c>
      <c r="W309" s="12" t="n">
        <v>0.597222222222222</v>
      </c>
      <c r="X309" s="11" t="n">
        <v>46155</v>
      </c>
      <c r="Y309" s="12" t="n">
        <v>0.597222222222222</v>
      </c>
      <c r="Z309" s="1" t="s">
        <v>67</v>
      </c>
      <c r="AA309" s="1" t="s">
        <v>68</v>
      </c>
      <c r="AB309" s="2" t="e">
        <f aca="false">U309-F309</f>
        <v>#VALUE!</v>
      </c>
      <c r="AC309" s="14" t="n">
        <f aca="false">(V309+W309)-(B309+C309)</f>
        <v>12.4666666666667</v>
      </c>
      <c r="AD309" s="4" t="str">
        <f aca="false">INT((V309+W309)-(B309+C309)) &amp; ":" &amp;
TEXT(HOUR((V309+W309)-(B309+C309)), "00") &amp; ":" &amp;
TEXT(MINUTE((V309+W309)-(B309+C309)), "00")</f>
        <v>12:11:12</v>
      </c>
      <c r="AE309" s="1" t="n">
        <f aca="false">IFERROR(
LEFT(AD309,FIND(":",AD309)-1)
+ MID(AD309,FIND(":",AD309)+1,2)/24
+ RIGHT(AD309,2)/1440,
"")</f>
        <v>12.4666666666667</v>
      </c>
      <c r="AF309" s="4" t="str">
        <f aca="false">INT((X309+Y309)-(B309+C309)) &amp; ":" &amp;
TEXT(HOUR((X309+Y309)-(B309+C309)), "00") &amp; ":" &amp;
TEXT(MINUTE((X309+Y309)-(B309+C309)), "00")</f>
        <v>12:11:12</v>
      </c>
      <c r="AG309" s="4" t="str">
        <f aca="false" t="array" ref="AG309:AG309">INT(_xlfn.XLOOKUP(J309,{"Low","Medium","High","Urgent"},{48,24,12,8})/24) &amp; ":" &amp;
TEXT(MOD(_xlfn.XLOOKUP(J309,{"Low","Medium","High","Urgent"},{48,24,12,8}),24)/24,"hh:mm")</f>
        <v>2:00:00</v>
      </c>
      <c r="AH309" s="4" t="str">
        <f aca="false">IF(AD309&gt;AG309,"Not Met","Met")</f>
        <v>Met</v>
      </c>
      <c r="AI309" s="4" t="e">
        <f aca="false">IF(AB309&lt;TIME(0,30,0),"Met","Not Met")</f>
        <v>#VALUE!</v>
      </c>
      <c r="AN309" s="1" t="str">
        <f aca="false">TEXT(B309,"dd")</f>
        <v>01</v>
      </c>
      <c r="AO309" s="1" t="str">
        <f aca="false">TEXT(X309,"dd")</f>
        <v>13</v>
      </c>
      <c r="AP309" s="16" t="str">
        <f aca="false">INT(
  NETWORKDAYS(B309,V309)-1
  + IF(WEEKDAY(V309,2)&lt;6,MOD(V309+W309,1),0)
  - IF(WEEKDAY(B309,2)&lt;6,MOD(B309+C309,1),0)
)
&amp; ":" &amp;
TEXT(HOUR(
  NETWORKDAYS(B309,V309)-1
  + IF(WEEKDAY(V309,2)&lt;6,MOD(V309+W309,1),0)
  - IF(WEEKDAY(B309,2)&lt;6,MOD(B309+C309,1),0)
),"00")
&amp; ":" &amp;
TEXT(MINUTE(
  NETWORKDAYS(B309,V309)-1
  + IF(WEEKDAY(V309,2)&lt;6,MOD(V309+W309,1),0)
  - IF(WEEKDAY(B309,2)&lt;6,MOD(B309+C309,1),0)
),"00")</f>
        <v>8:11:11</v>
      </c>
      <c r="AQ309" s="0" t="n">
        <f aca="false">IFERROR(
LEFT(AP309,FIND(":",AP309)-1)
+ MID(AP309,FIND(":",AP309)+1,2)/24
+ RIGHT(AP309,2)/1440,
"")</f>
        <v>8.46597222222222</v>
      </c>
      <c r="AR309" s="0" t="n">
        <f aca="false">WEEKNUM(B309,1)</f>
        <v>18</v>
      </c>
      <c r="AS309" s="17" t="n">
        <f aca="false">IF(B309&gt;0, (B309+C309)-TIME(13,30,0), "")</f>
        <v>46142.5680555556</v>
      </c>
      <c r="AT309" s="18" t="n">
        <f aca="false">IF(B309&gt;0, (B309+C309)-TIME(13,30,0), "")</f>
        <v>46142.5680555556</v>
      </c>
      <c r="AU309" s="17" t="n">
        <f aca="false">IF(V309&gt;0, (V309+W309)-TIME(13,30,0), "")</f>
        <v>46155.0347222222</v>
      </c>
      <c r="AV309" s="18" t="n">
        <f aca="false">IF(V309&gt;0, (V309+W309)-TIME(13,30,0), "")</f>
        <v>46155.0347222222</v>
      </c>
      <c r="AW309" s="19" t="n">
        <f aca="false">24*(
MAX(0,
IF(NETWORKDAYS(AS309,AU309)=1,
MIN(MOD(AV309,1),TIME(17,30,0)) - MAX(MOD(AT309,1),TIME(8,30,0)),
(TIME(17,30,0)-MAX(MOD(AT309,1),TIME(8,30,0)))
+ (MIN(MOD(AV309,1),TIME(17,30,0))-TIME(8,30,0))
+ (NETWORKDAYS(AS309,AU309)-2)*9/24
)
)
)</f>
        <v>68.2</v>
      </c>
      <c r="AX309" s="19" t="n">
        <f aca="false">24*(
MAX(0,
IF(NETWORKDAYS(AS309,AU309)=1,
MIN(MOD(AV309,1),TIME(17,30,0)) - MAX(MOD(AT309,1),TIME(8,30,0)),
(TIME(17,30,0)-MAX(MOD(AT309,1),TIME(8,30,0)))
+ (MIN(MOD(AV309,1),TIME(17,30,0))-TIME(8,30,0))
+ (NETWORKDAYS(AS309,AU309)-2)* (TIME(17,30,0)-TIME(8,30,0))
)
)
)</f>
        <v>68.2</v>
      </c>
      <c r="AY309" s="20" t="n">
        <f aca="false">ROUND(
IF(AS309=AU309,
MAX(0,
(MIN(MOD(AV309,1),TIME(17,30,0))-
MAX(MOD(AT309,1),TIME(8,30,0)))*24
),
(
(MAX(0,TIME(17,30,0)-MAX(MOD(AT309,1),TIME(8,30,0)))*24)
+
(MAX(0,MIN(MOD(AV309,1),TIME(17,30,0))-TIME(8,30,0))*24)
+
(MAX(0,NETWORKDAYS(AS309+1,AU309-1))*9)
)
),
2)</f>
        <v>75.87</v>
      </c>
      <c r="AZ309" s="0" t="n">
        <f aca="false" t="array" ref="AZ309:AZ309">_xlfn.XLOOKUP(J309,{"Low","Medium","High"},{270,72,24})</f>
        <v>270</v>
      </c>
      <c r="BA309" s="0" t="str">
        <f aca="false">IF(AW309&gt;AZ309,"Not Met","Met")</f>
        <v>Met</v>
      </c>
      <c r="BB309" s="21" t="str">
        <f aca="false">IF(AS309="","",TEXT(AS309,"MMM")&amp;"'"&amp;TEXT(AS309,"yy"))</f>
        <v>Apr'26</v>
      </c>
      <c r="BC309" s="0" t="str">
        <f aca="false">IF(AU309="","",TEXT(AU309,"MMM")&amp;"'"&amp;TEXT(AU309,"yy"))</f>
        <v>May'26</v>
      </c>
    </row>
    <row r="310" customFormat="false" ht="15" hidden="false" customHeight="false" outlineLevel="0" collapsed="false">
      <c r="A310" s="1" t="s">
        <v>1059</v>
      </c>
      <c r="B310" s="11" t="n">
        <v>46146</v>
      </c>
      <c r="C310" s="12" t="n">
        <v>0.938194444444444</v>
      </c>
      <c r="D310" s="13" t="str">
        <f aca="false">IF(B310="","",TEXT(B310,"MMM")&amp;"'"&amp;TEXT(B310,"yy"))</f>
        <v>May'26</v>
      </c>
      <c r="E310" s="27" t="s">
        <v>55</v>
      </c>
      <c r="F310" s="1" t="s">
        <v>39</v>
      </c>
      <c r="G310" s="46" t="str">
        <f aca="false">IF(F310="Closed","Closed","Pending")</f>
        <v>Closed</v>
      </c>
      <c r="H310" s="1" t="s">
        <v>81</v>
      </c>
      <c r="I310" s="1" t="s">
        <v>82</v>
      </c>
      <c r="J310" s="35" t="s">
        <v>74</v>
      </c>
      <c r="K310" s="1" t="s">
        <v>59</v>
      </c>
      <c r="L310" s="1" t="s">
        <v>752</v>
      </c>
      <c r="M310" s="1" t="s">
        <v>752</v>
      </c>
      <c r="N310" s="1" t="s">
        <v>65</v>
      </c>
      <c r="O310" s="1" t="s">
        <v>106</v>
      </c>
      <c r="Q310" s="1" t="s">
        <v>65</v>
      </c>
      <c r="R310" s="1" t="s">
        <v>490</v>
      </c>
      <c r="U310" s="12" t="n">
        <v>0.942361111111111</v>
      </c>
      <c r="V310" s="11" t="n">
        <v>46147</v>
      </c>
      <c r="W310" s="12" t="n">
        <v>0.891666666666667</v>
      </c>
      <c r="X310" s="11" t="n">
        <v>46147</v>
      </c>
      <c r="Y310" s="12" t="n">
        <v>0.985416666666667</v>
      </c>
      <c r="Z310" s="1" t="s">
        <v>108</v>
      </c>
      <c r="AA310" s="1" t="s">
        <v>68</v>
      </c>
      <c r="AB310" s="2" t="e">
        <f aca="false">U310-F310</f>
        <v>#VALUE!</v>
      </c>
      <c r="AC310" s="14" t="n">
        <f aca="false">(V310+W310)-(B310+C310)</f>
        <v>0.953472222222222</v>
      </c>
      <c r="AD310" s="4" t="str">
        <f aca="false">INT((V310+W310)-(B310+C310)) &amp; ":" &amp;
TEXT(HOUR((V310+W310)-(B310+C310)), "00") &amp; ":" &amp;
TEXT(MINUTE((V310+W310)-(B310+C310)), "00")</f>
        <v>0:22:53</v>
      </c>
      <c r="AE310" s="1" t="n">
        <f aca="false">IFERROR(
LEFT(AD310,FIND(":",AD310)-1)
+ MID(AD310,FIND(":",AD310)+1,2)/24
+ RIGHT(AD310,2)/1440,
"")</f>
        <v>0.953472222222222</v>
      </c>
      <c r="AF310" s="4" t="str">
        <f aca="false">INT((X310+Y310)-(B310+C310)) &amp; ":" &amp;
TEXT(HOUR((X310+Y310)-(B310+C310)), "00") &amp; ":" &amp;
TEXT(MINUTE((X310+Y310)-(B310+C310)), "00")</f>
        <v>1:01:08</v>
      </c>
      <c r="AG310" s="4" t="str">
        <f aca="false" t="array" ref="AG310:AG310">INT(_xlfn.XLOOKUP(J310,{"Low","Medium","High","Urgent"},{48,24,12,8})/24) &amp; ":" &amp;
TEXT(MOD(_xlfn.XLOOKUP(J310,{"Low","Medium","High","Urgent"},{48,24,12,8}),24)/24,"hh:mm")</f>
        <v>2:00:00</v>
      </c>
      <c r="AH310" s="4" t="str">
        <f aca="false">IF(AD310&gt;AG310,"Not Met","Met")</f>
        <v>Met</v>
      </c>
      <c r="AI310" s="4" t="e">
        <f aca="false">IF(AB310&lt;TIME(0,30,0),"Met","Not Met")</f>
        <v>#VALUE!</v>
      </c>
      <c r="AN310" s="1" t="str">
        <f aca="false">TEXT(B310,"dd")</f>
        <v>04</v>
      </c>
      <c r="AO310" s="1" t="str">
        <f aca="false">TEXT(X310,"dd")</f>
        <v>05</v>
      </c>
      <c r="AP310" s="16" t="str">
        <f aca="false">INT(
  NETWORKDAYS(B310,V310)-1
  + IF(WEEKDAY(V310,2)&lt;6,MOD(V310+W310,1),0)
  - IF(WEEKDAY(B310,2)&lt;6,MOD(B310+C310,1),0)
)
&amp; ":" &amp;
TEXT(HOUR(
  NETWORKDAYS(B310,V310)-1
  + IF(WEEKDAY(V310,2)&lt;6,MOD(V310+W310,1),0)
  - IF(WEEKDAY(B310,2)&lt;6,MOD(B310+C310,1),0)
),"00")
&amp; ":" &amp;
TEXT(MINUTE(
  NETWORKDAYS(B310,V310)-1
  + IF(WEEKDAY(V310,2)&lt;6,MOD(V310+W310,1),0)
  - IF(WEEKDAY(B310,2)&lt;6,MOD(B310+C310,1),0)
),"00")</f>
        <v>0:22:53</v>
      </c>
      <c r="AQ310" s="0" t="n">
        <f aca="false">IFERROR(
LEFT(AP310,FIND(":",AP310)-1)
+ MID(AP310,FIND(":",AP310)+1,2)/24
+ RIGHT(AP310,2)/1440,
"")</f>
        <v>0.953472222222222</v>
      </c>
      <c r="AR310" s="0" t="n">
        <f aca="false">WEEKNUM(B310,1)</f>
        <v>19</v>
      </c>
      <c r="AS310" s="17" t="n">
        <f aca="false">IF(B310&gt;0, (B310+C310)-TIME(13,30,0), "")</f>
        <v>46146.3756944445</v>
      </c>
      <c r="AT310" s="18" t="n">
        <f aca="false">IF(B310&gt;0, (B310+C310)-TIME(13,30,0), "")</f>
        <v>46146.3756944445</v>
      </c>
      <c r="AU310" s="17" t="n">
        <f aca="false">IF(V310&gt;0, (V310+W310)-TIME(13,30,0), "")</f>
        <v>46147.3291666667</v>
      </c>
      <c r="AV310" s="18" t="n">
        <f aca="false">IF(V310&gt;0, (V310+W310)-TIME(13,30,0), "")</f>
        <v>46147.3291666667</v>
      </c>
      <c r="AW310" s="19" t="n">
        <f aca="false">24*(
MAX(0,
IF(NETWORKDAYS(AS310,AU310)=1,
MIN(MOD(AV310,1),TIME(17,30,0)) - MAX(MOD(AT310,1),TIME(8,30,0)),
(TIME(17,30,0)-MAX(MOD(AT310,1),TIME(8,30,0)))
+ (MIN(MOD(AV310,1),TIME(17,30,0))-TIME(8,30,0))
+ (NETWORKDAYS(AS310,AU310)-2)*9/24
)
)
)</f>
        <v>7.88333333333333</v>
      </c>
      <c r="AX310" s="19" t="n">
        <f aca="false">24*(
MAX(0,
IF(NETWORKDAYS(AS310,AU310)=1,
MIN(MOD(AV310,1),TIME(17,30,0)) - MAX(MOD(AT310,1),TIME(8,30,0)),
(TIME(17,30,0)-MAX(MOD(AT310,1),TIME(8,30,0)))
+ (MIN(MOD(AV310,1),TIME(17,30,0))-TIME(8,30,0))
+ (NETWORKDAYS(AS310,AU310)-2)* (TIME(17,30,0)-TIME(8,30,0))
)
)
)</f>
        <v>7.88333333333333</v>
      </c>
      <c r="AY310" s="20" t="n">
        <f aca="false">ROUND(
IF(AS310=AU310,
MAX(0,
(MIN(MOD(AV310,1),TIME(17,30,0))-
MAX(MOD(AT310,1),TIME(8,30,0)))*24
),
(
(MAX(0,TIME(17,30,0)-MAX(MOD(AT310,1),TIME(8,30,0)))*24)
+
(MAX(0,MIN(MOD(AV310,1),TIME(17,30,0))-TIME(8,30,0))*24)
+
(MAX(0,NETWORKDAYS(AS310+1,AU310-1))*9)
)
),
2)</f>
        <v>8.48</v>
      </c>
      <c r="AZ310" s="0" t="n">
        <f aca="false" t="array" ref="AZ310:AZ310">_xlfn.XLOOKUP(J310,{"Low","Medium","High"},{270,72,24})</f>
        <v>270</v>
      </c>
      <c r="BA310" s="0" t="str">
        <f aca="false">IF(AW310&gt;AZ310,"Not Met","Met")</f>
        <v>Met</v>
      </c>
      <c r="BB310" s="21" t="str">
        <f aca="false">IF(AS310="","",TEXT(AS310,"MMM")&amp;"'"&amp;TEXT(AS310,"yy"))</f>
        <v>May'26</v>
      </c>
      <c r="BC310" s="0" t="str">
        <f aca="false">IF(AU310="","",TEXT(AU310,"MMM")&amp;"'"&amp;TEXT(AU310,"yy"))</f>
        <v>May'26</v>
      </c>
    </row>
    <row r="311" customFormat="false" ht="15" hidden="false" customHeight="false" outlineLevel="0" collapsed="false">
      <c r="A311" s="1" t="s">
        <v>1060</v>
      </c>
      <c r="B311" s="11" t="n">
        <v>46147</v>
      </c>
      <c r="C311" s="12" t="n">
        <v>0.0243055555555556</v>
      </c>
      <c r="D311" s="13" t="str">
        <f aca="false">IF(B311="","",TEXT(B311,"MMM")&amp;"'"&amp;TEXT(B311,"yy"))</f>
        <v>May'26</v>
      </c>
      <c r="E311" s="27" t="s">
        <v>55</v>
      </c>
      <c r="F311" s="1" t="s">
        <v>39</v>
      </c>
      <c r="G311" s="46" t="str">
        <f aca="false">IF(F311="Closed","Closed","Pending")</f>
        <v>Closed</v>
      </c>
      <c r="H311" s="1" t="s">
        <v>691</v>
      </c>
      <c r="I311" s="1" t="s">
        <v>436</v>
      </c>
      <c r="J311" s="35" t="s">
        <v>74</v>
      </c>
      <c r="K311" s="1" t="s">
        <v>59</v>
      </c>
      <c r="L311" s="1" t="s">
        <v>1061</v>
      </c>
      <c r="M311" s="1" t="s">
        <v>939</v>
      </c>
      <c r="N311" s="1" t="s">
        <v>65</v>
      </c>
      <c r="O311" s="1" t="s">
        <v>106</v>
      </c>
      <c r="Q311" s="1" t="s">
        <v>65</v>
      </c>
      <c r="R311" s="1" t="s">
        <v>87</v>
      </c>
      <c r="U311" s="12" t="n">
        <v>0.0326388888888889</v>
      </c>
      <c r="V311" s="11" t="n">
        <v>46147</v>
      </c>
      <c r="W311" s="12" t="n">
        <v>0.892361111111111</v>
      </c>
      <c r="X311" s="11" t="n">
        <v>46147</v>
      </c>
      <c r="Y311" s="12" t="n">
        <v>0.914583333333333</v>
      </c>
      <c r="Z311" s="1" t="s">
        <v>108</v>
      </c>
      <c r="AA311" s="1" t="s">
        <v>68</v>
      </c>
      <c r="AB311" s="2" t="e">
        <f aca="false">U311-F311</f>
        <v>#VALUE!</v>
      </c>
      <c r="AC311" s="14" t="n">
        <f aca="false">(V311+W311)-(B311+C311)</f>
        <v>0.868055555555556</v>
      </c>
      <c r="AD311" s="4" t="str">
        <f aca="false">INT((V311+W311)-(B311+C311)) &amp; ":" &amp;
TEXT(HOUR((V311+W311)-(B311+C311)), "00") &amp; ":" &amp;
TEXT(MINUTE((V311+W311)-(B311+C311)), "00")</f>
        <v>0:20:50</v>
      </c>
      <c r="AE311" s="1" t="n">
        <f aca="false">IFERROR(
LEFT(AD311,FIND(":",AD311)-1)
+ MID(AD311,FIND(":",AD311)+1,2)/24
+ RIGHT(AD311,2)/1440,
"")</f>
        <v>0.868055555555556</v>
      </c>
      <c r="AF311" s="4" t="str">
        <f aca="false">INT((X311+Y311)-(B311+C311)) &amp; ":" &amp;
TEXT(HOUR((X311+Y311)-(B311+C311)), "00") &amp; ":" &amp;
TEXT(MINUTE((X311+Y311)-(B311+C311)), "00")</f>
        <v>0:21:22</v>
      </c>
      <c r="AG311" s="4" t="str">
        <f aca="false" t="array" ref="AG311:AG311">INT(_xlfn.XLOOKUP(J311,{"Low","Medium","High","Urgent"},{48,24,12,8})/24) &amp; ":" &amp;
TEXT(MOD(_xlfn.XLOOKUP(J311,{"Low","Medium","High","Urgent"},{48,24,12,8}),24)/24,"hh:mm")</f>
        <v>2:00:00</v>
      </c>
      <c r="AH311" s="4" t="str">
        <f aca="false">IF(AD311&gt;AG311,"Not Met","Met")</f>
        <v>Met</v>
      </c>
      <c r="AI311" s="4" t="e">
        <f aca="false">IF(AB311&lt;TIME(0,30,0),"Met","Not Met")</f>
        <v>#VALUE!</v>
      </c>
      <c r="AN311" s="1" t="str">
        <f aca="false">TEXT(B311,"dd")</f>
        <v>05</v>
      </c>
      <c r="AO311" s="1" t="str">
        <f aca="false">TEXT(X311,"dd")</f>
        <v>05</v>
      </c>
      <c r="AP311" s="16" t="str">
        <f aca="false">INT(
  NETWORKDAYS(B311,V311)-1
  + IF(WEEKDAY(V311,2)&lt;6,MOD(V311+W311,1),0)
  - IF(WEEKDAY(B311,2)&lt;6,MOD(B311+C311,1),0)
)
&amp; ":" &amp;
TEXT(HOUR(
  NETWORKDAYS(B311,V311)-1
  + IF(WEEKDAY(V311,2)&lt;6,MOD(V311+W311,1),0)
  - IF(WEEKDAY(B311,2)&lt;6,MOD(B311+C311,1),0)
),"00")
&amp; ":" &amp;
TEXT(MINUTE(
  NETWORKDAYS(B311,V311)-1
  + IF(WEEKDAY(V311,2)&lt;6,MOD(V311+W311,1),0)
  - IF(WEEKDAY(B311,2)&lt;6,MOD(B311+C311,1),0)
),"00")</f>
        <v>0:20:49</v>
      </c>
      <c r="AQ311" s="0" t="n">
        <f aca="false">IFERROR(
LEFT(AP311,FIND(":",AP311)-1)
+ MID(AP311,FIND(":",AP311)+1,2)/24
+ RIGHT(AP311,2)/1440,
"")</f>
        <v>0.867361111111111</v>
      </c>
      <c r="AR311" s="0" t="n">
        <f aca="false">WEEKNUM(B311,1)</f>
        <v>19</v>
      </c>
      <c r="AS311" s="17" t="n">
        <f aca="false">IF(B311&gt;0, (B311+C311)-TIME(13,30,0), "")</f>
        <v>46146.4618055556</v>
      </c>
      <c r="AT311" s="18" t="n">
        <f aca="false">IF(B311&gt;0, (B311+C311)-TIME(13,30,0), "")</f>
        <v>46146.4618055556</v>
      </c>
      <c r="AU311" s="17" t="n">
        <f aca="false">IF(V311&gt;0, (V311+W311)-TIME(13,30,0), "")</f>
        <v>46147.3298611111</v>
      </c>
      <c r="AV311" s="18" t="n">
        <f aca="false">IF(V311&gt;0, (V311+W311)-TIME(13,30,0), "")</f>
        <v>46147.3298611111</v>
      </c>
      <c r="AW311" s="19" t="n">
        <f aca="false">24*(
MAX(0,
IF(NETWORKDAYS(AS311,AU311)=1,
MIN(MOD(AV311,1),TIME(17,30,0)) - MAX(MOD(AT311,1),TIME(8,30,0)),
(TIME(17,30,0)-MAX(MOD(AT311,1),TIME(8,30,0)))
+ (MIN(MOD(AV311,1),TIME(17,30,0))-TIME(8,30,0))
+ (NETWORKDAYS(AS311,AU311)-2)*9/24
)
)
)</f>
        <v>5.83333333333333</v>
      </c>
      <c r="AX311" s="19" t="n">
        <f aca="false">24*(
MAX(0,
IF(NETWORKDAYS(AS311,AU311)=1,
MIN(MOD(AV311,1),TIME(17,30,0)) - MAX(MOD(AT311,1),TIME(8,30,0)),
(TIME(17,30,0)-MAX(MOD(AT311,1),TIME(8,30,0)))
+ (MIN(MOD(AV311,1),TIME(17,30,0))-TIME(8,30,0))
+ (NETWORKDAYS(AS311,AU311)-2)* (TIME(17,30,0)-TIME(8,30,0))
)
)
)</f>
        <v>5.83333333333333</v>
      </c>
      <c r="AY311" s="20" t="n">
        <f aca="false">ROUND(
IF(AS311=AU311,
MAX(0,
(MIN(MOD(AV311,1),TIME(17,30,0))-
MAX(MOD(AT311,1),TIME(8,30,0)))*24
),
(
(MAX(0,TIME(17,30,0)-MAX(MOD(AT311,1),TIME(8,30,0)))*24)
+
(MAX(0,MIN(MOD(AV311,1),TIME(17,30,0))-TIME(8,30,0))*24)
+
(MAX(0,NETWORKDAYS(AS311+1,AU311-1))*9)
)
),
2)</f>
        <v>6.42</v>
      </c>
      <c r="AZ311" s="0" t="n">
        <f aca="false" t="array" ref="AZ311:AZ311">_xlfn.XLOOKUP(J311,{"Low","Medium","High"},{270,72,24})</f>
        <v>270</v>
      </c>
      <c r="BA311" s="0" t="str">
        <f aca="false">IF(AW311&gt;AZ311,"Not Met","Met")</f>
        <v>Met</v>
      </c>
      <c r="BB311" s="21" t="str">
        <f aca="false">IF(AS311="","",TEXT(AS311,"MMM")&amp;"'"&amp;TEXT(AS311,"yy"))</f>
        <v>May'26</v>
      </c>
      <c r="BC311" s="0" t="str">
        <f aca="false">IF(AU311="","",TEXT(AU311,"MMM")&amp;"'"&amp;TEXT(AU311,"yy"))</f>
        <v>May'26</v>
      </c>
    </row>
    <row r="312" customFormat="false" ht="15" hidden="false" customHeight="false" outlineLevel="0" collapsed="false">
      <c r="A312" s="1" t="s">
        <v>1062</v>
      </c>
      <c r="B312" s="11" t="n">
        <v>46147</v>
      </c>
      <c r="C312" s="12" t="n">
        <v>0.149305555555556</v>
      </c>
      <c r="D312" s="13" t="str">
        <f aca="false">IF(B312="","",TEXT(B312,"MMM")&amp;"'"&amp;TEXT(B312,"yy"))</f>
        <v>May'26</v>
      </c>
      <c r="E312" s="27" t="s">
        <v>55</v>
      </c>
      <c r="F312" s="1" t="s">
        <v>39</v>
      </c>
      <c r="G312" s="46" t="str">
        <f aca="false">IF(F312="Closed","Closed","Pending")</f>
        <v>Closed</v>
      </c>
      <c r="H312" s="1" t="s">
        <v>691</v>
      </c>
      <c r="I312" s="1" t="s">
        <v>436</v>
      </c>
      <c r="J312" s="35" t="s">
        <v>74</v>
      </c>
      <c r="K312" s="1" t="s">
        <v>59</v>
      </c>
      <c r="L312" s="1" t="s">
        <v>1063</v>
      </c>
      <c r="M312" s="1" t="s">
        <v>1064</v>
      </c>
      <c r="N312" s="1" t="s">
        <v>65</v>
      </c>
      <c r="O312" s="1" t="s">
        <v>106</v>
      </c>
      <c r="Q312" s="1" t="s">
        <v>65</v>
      </c>
      <c r="R312" s="1" t="s">
        <v>426</v>
      </c>
      <c r="U312" s="12" t="n">
        <v>0.89375</v>
      </c>
      <c r="V312" s="11" t="n">
        <v>46147</v>
      </c>
      <c r="W312" s="12" t="n">
        <v>0.89375</v>
      </c>
      <c r="X312" s="11" t="n">
        <v>46147</v>
      </c>
      <c r="Y312" s="12" t="n">
        <v>0.915972222222222</v>
      </c>
      <c r="Z312" s="1" t="s">
        <v>108</v>
      </c>
      <c r="AA312" s="1" t="s">
        <v>68</v>
      </c>
      <c r="AB312" s="2" t="e">
        <f aca="false">U312-F312</f>
        <v>#VALUE!</v>
      </c>
      <c r="AC312" s="14" t="n">
        <f aca="false">(V312+W312)-(B312+C312)</f>
        <v>0.744444444444445</v>
      </c>
      <c r="AD312" s="4" t="str">
        <f aca="false">INT((V312+W312)-(B312+C312)) &amp; ":" &amp;
TEXT(HOUR((V312+W312)-(B312+C312)), "00") &amp; ":" &amp;
TEXT(MINUTE((V312+W312)-(B312+C312)), "00")</f>
        <v>0:17:52</v>
      </c>
      <c r="AE312" s="1" t="n">
        <f aca="false">IFERROR(
LEFT(AD312,FIND(":",AD312)-1)
+ MID(AD312,FIND(":",AD312)+1,2)/24
+ RIGHT(AD312,2)/1440,
"")</f>
        <v>0.744444444444445</v>
      </c>
      <c r="AF312" s="4" t="str">
        <f aca="false">INT((X312+Y312)-(B312+C312)) &amp; ":" &amp;
TEXT(HOUR((X312+Y312)-(B312+C312)), "00") &amp; ":" &amp;
TEXT(MINUTE((X312+Y312)-(B312+C312)), "00")</f>
        <v>0:18:24</v>
      </c>
      <c r="AG312" s="4" t="str">
        <f aca="false" t="array" ref="AG312:AG312">INT(_xlfn.XLOOKUP(J312,{"Low","Medium","High","Urgent"},{48,24,12,8})/24) &amp; ":" &amp;
TEXT(MOD(_xlfn.XLOOKUP(J312,{"Low","Medium","High","Urgent"},{48,24,12,8}),24)/24,"hh:mm")</f>
        <v>2:00:00</v>
      </c>
      <c r="AH312" s="4" t="str">
        <f aca="false">IF(AD312&gt;AG312,"Not Met","Met")</f>
        <v>Met</v>
      </c>
      <c r="AI312" s="4" t="e">
        <f aca="false">IF(AB312&lt;TIME(0,30,0),"Met","Not Met")</f>
        <v>#VALUE!</v>
      </c>
      <c r="AN312" s="1" t="str">
        <f aca="false">TEXT(B312,"dd")</f>
        <v>05</v>
      </c>
      <c r="AO312" s="1" t="str">
        <f aca="false">TEXT(X312,"dd")</f>
        <v>05</v>
      </c>
      <c r="AP312" s="16" t="str">
        <f aca="false">INT(
  NETWORKDAYS(B312,V312)-1
  + IF(WEEKDAY(V312,2)&lt;6,MOD(V312+W312,1),0)
  - IF(WEEKDAY(B312,2)&lt;6,MOD(B312+C312,1),0)
)
&amp; ":" &amp;
TEXT(HOUR(
  NETWORKDAYS(B312,V312)-1
  + IF(WEEKDAY(V312,2)&lt;6,MOD(V312+W312,1),0)
  - IF(WEEKDAY(B312,2)&lt;6,MOD(B312+C312,1),0)
),"00")
&amp; ":" &amp;
TEXT(MINUTE(
  NETWORKDAYS(B312,V312)-1
  + IF(WEEKDAY(V312,2)&lt;6,MOD(V312+W312,1),0)
  - IF(WEEKDAY(B312,2)&lt;6,MOD(B312+C312,1),0)
),"00")</f>
        <v>0:17:52</v>
      </c>
      <c r="AQ312" s="0" t="n">
        <f aca="false">IFERROR(
LEFT(AP312,FIND(":",AP312)-1)
+ MID(AP312,FIND(":",AP312)+1,2)/24
+ RIGHT(AP312,2)/1440,
"")</f>
        <v>0.744444444444445</v>
      </c>
      <c r="AR312" s="0" t="n">
        <f aca="false">WEEKNUM(B312,1)</f>
        <v>19</v>
      </c>
      <c r="AS312" s="17" t="n">
        <f aca="false">IF(B312&gt;0, (B312+C312)-TIME(13,30,0), "")</f>
        <v>46146.5868055556</v>
      </c>
      <c r="AT312" s="18" t="n">
        <f aca="false">IF(B312&gt;0, (B312+C312)-TIME(13,30,0), "")</f>
        <v>46146.5868055556</v>
      </c>
      <c r="AU312" s="17" t="n">
        <f aca="false">IF(V312&gt;0, (V312+W312)-TIME(13,30,0), "")</f>
        <v>46147.33125</v>
      </c>
      <c r="AV312" s="18" t="n">
        <f aca="false">IF(V312&gt;0, (V312+W312)-TIME(13,30,0), "")</f>
        <v>46147.33125</v>
      </c>
      <c r="AW312" s="19" t="n">
        <f aca="false">24*(
MAX(0,
IF(NETWORKDAYS(AS312,AU312)=1,
MIN(MOD(AV312,1),TIME(17,30,0)) - MAX(MOD(AT312,1),TIME(8,30,0)),
(TIME(17,30,0)-MAX(MOD(AT312,1),TIME(8,30,0)))
+ (MIN(MOD(AV312,1),TIME(17,30,0))-TIME(8,30,0))
+ (NETWORKDAYS(AS312,AU312)-2)*9/24
)
)
)</f>
        <v>2.86666666666667</v>
      </c>
      <c r="AX312" s="19" t="n">
        <f aca="false">24*(
MAX(0,
IF(NETWORKDAYS(AS312,AU312)=1,
MIN(MOD(AV312,1),TIME(17,30,0)) - MAX(MOD(AT312,1),TIME(8,30,0)),
(TIME(17,30,0)-MAX(MOD(AT312,1),TIME(8,30,0)))
+ (MIN(MOD(AV312,1),TIME(17,30,0))-TIME(8,30,0))
+ (NETWORKDAYS(AS312,AU312)-2)* (TIME(17,30,0)-TIME(8,30,0))
)
)
)</f>
        <v>2.86666666666667</v>
      </c>
      <c r="AY312" s="20" t="n">
        <f aca="false">ROUND(
IF(AS312=AU312,
MAX(0,
(MIN(MOD(AV312,1),TIME(17,30,0))-
MAX(MOD(AT312,1),TIME(8,30,0)))*24
),
(
(MAX(0,TIME(17,30,0)-MAX(MOD(AT312,1),TIME(8,30,0)))*24)
+
(MAX(0,MIN(MOD(AV312,1),TIME(17,30,0))-TIME(8,30,0))*24)
+
(MAX(0,NETWORKDAYS(AS312+1,AU312-1))*9)
)
),
2)</f>
        <v>3.42</v>
      </c>
      <c r="AZ312" s="0" t="n">
        <f aca="false" t="array" ref="AZ312:AZ312">_xlfn.XLOOKUP(J312,{"Low","Medium","High"},{270,72,24})</f>
        <v>270</v>
      </c>
      <c r="BA312" s="0" t="str">
        <f aca="false">IF(AW312&gt;AZ312,"Not Met","Met")</f>
        <v>Met</v>
      </c>
      <c r="BB312" s="21" t="str">
        <f aca="false">IF(AS312="","",TEXT(AS312,"MMM")&amp;"'"&amp;TEXT(AS312,"yy"))</f>
        <v>May'26</v>
      </c>
      <c r="BC312" s="0" t="str">
        <f aca="false">IF(AU312="","",TEXT(AU312,"MMM")&amp;"'"&amp;TEXT(AU312,"yy"))</f>
        <v>May'26</v>
      </c>
    </row>
    <row r="313" customFormat="false" ht="15" hidden="false" customHeight="false" outlineLevel="0" collapsed="false">
      <c r="A313" s="1" t="s">
        <v>1065</v>
      </c>
      <c r="B313" s="11" t="n">
        <v>46147</v>
      </c>
      <c r="C313" s="12" t="n">
        <v>0.218055555555556</v>
      </c>
      <c r="D313" s="13" t="str">
        <f aca="false">IF(B313="","",TEXT(B313,"MMM")&amp;"'"&amp;TEXT(B313,"yy"))</f>
        <v>May'26</v>
      </c>
      <c r="E313" s="27" t="s">
        <v>55</v>
      </c>
      <c r="F313" s="1" t="s">
        <v>39</v>
      </c>
      <c r="G313" s="46" t="str">
        <f aca="false">IF(F313="Closed","Closed","Pending")</f>
        <v>Closed</v>
      </c>
      <c r="H313" s="1" t="s">
        <v>56</v>
      </c>
      <c r="I313" s="1" t="s">
        <v>1015</v>
      </c>
      <c r="J313" s="35" t="s">
        <v>74</v>
      </c>
      <c r="K313" s="1" t="s">
        <v>59</v>
      </c>
      <c r="L313" s="1" t="s">
        <v>1066</v>
      </c>
      <c r="M313" s="1" t="s">
        <v>1067</v>
      </c>
      <c r="N313" s="1" t="s">
        <v>65</v>
      </c>
      <c r="O313" s="1" t="s">
        <v>106</v>
      </c>
      <c r="Q313" s="1" t="s">
        <v>65</v>
      </c>
      <c r="R313" s="1" t="s">
        <v>490</v>
      </c>
      <c r="U313" s="12" t="n">
        <v>0.895833333333333</v>
      </c>
      <c r="V313" s="11" t="n">
        <v>46164</v>
      </c>
      <c r="W313" s="12" t="n">
        <v>0.882638888888889</v>
      </c>
      <c r="X313" s="11" t="n">
        <v>46177</v>
      </c>
      <c r="Y313" s="12" t="n">
        <v>0.129861111111111</v>
      </c>
      <c r="Z313" s="1" t="s">
        <v>108</v>
      </c>
      <c r="AA313" s="1" t="s">
        <v>68</v>
      </c>
      <c r="AB313" s="2" t="e">
        <f aca="false">U313-F313</f>
        <v>#VALUE!</v>
      </c>
      <c r="AC313" s="14" t="n">
        <f aca="false">(V313+W313)-(B313+C313)</f>
        <v>17.6645833333333</v>
      </c>
      <c r="AD313" s="4" t="str">
        <f aca="false">INT((V313+W313)-(B313+C313)) &amp; ":" &amp;
TEXT(HOUR((V313+W313)-(B313+C313)), "00") &amp; ":" &amp;
TEXT(MINUTE((V313+W313)-(B313+C313)), "00")</f>
        <v>17:15:57</v>
      </c>
      <c r="AE313" s="1" t="n">
        <f aca="false">IFERROR(
LEFT(AD313,FIND(":",AD313)-1)
+ MID(AD313,FIND(":",AD313)+1,2)/24
+ RIGHT(AD313,2)/1440,
"")</f>
        <v>17.6645833333333</v>
      </c>
      <c r="AF313" s="4" t="str">
        <f aca="false">INT((X313+Y313)-(B313+C313)) &amp; ":" &amp;
TEXT(HOUR((X313+Y313)-(B313+C313)), "00") &amp; ":" &amp;
TEXT(MINUTE((X313+Y313)-(B313+C313)), "00")</f>
        <v>29:21:53</v>
      </c>
      <c r="AG313" s="4" t="str">
        <f aca="false" t="array" ref="AG313:AG313">INT(_xlfn.XLOOKUP(J313,{"Low","Medium","High","Urgent"},{48,24,12,8})/24) &amp; ":" &amp;
TEXT(MOD(_xlfn.XLOOKUP(J313,{"Low","Medium","High","Urgent"},{48,24,12,8}),24)/24,"hh:mm")</f>
        <v>2:00:00</v>
      </c>
      <c r="AH313" s="4" t="str">
        <f aca="false">IF(AD313&gt;AG313,"Not Met","Met")</f>
        <v>Met</v>
      </c>
      <c r="AI313" s="4" t="e">
        <f aca="false">IF(AB313&lt;TIME(0,30,0),"Met","Not Met")</f>
        <v>#VALUE!</v>
      </c>
      <c r="AN313" s="1" t="str">
        <f aca="false">TEXT(B313,"dd")</f>
        <v>05</v>
      </c>
      <c r="AO313" s="1" t="str">
        <f aca="false">TEXT(X313,"dd")</f>
        <v>04</v>
      </c>
      <c r="AP313" s="16" t="str">
        <f aca="false">INT(
  NETWORKDAYS(B313,V313)-1
  + IF(WEEKDAY(V313,2)&lt;6,MOD(V313+W313,1),0)
  - IF(WEEKDAY(B313,2)&lt;6,MOD(B313+C313,1),0)
)
&amp; ":" &amp;
TEXT(HOUR(
  NETWORKDAYS(B313,V313)-1
  + IF(WEEKDAY(V313,2)&lt;6,MOD(V313+W313,1),0)
  - IF(WEEKDAY(B313,2)&lt;6,MOD(B313+C313,1),0)
),"00")
&amp; ":" &amp;
TEXT(MINUTE(
  NETWORKDAYS(B313,V313)-1
  + IF(WEEKDAY(V313,2)&lt;6,MOD(V313+W313,1),0)
  - IF(WEEKDAY(B313,2)&lt;6,MOD(B313+C313,1),0)
),"00")</f>
        <v>13:15:57</v>
      </c>
      <c r="AQ313" s="0" t="n">
        <f aca="false">IFERROR(
LEFT(AP313,FIND(":",AP313)-1)
+ MID(AP313,FIND(":",AP313)+1,2)/24
+ RIGHT(AP313,2)/1440,
"")</f>
        <v>13.6645833333333</v>
      </c>
      <c r="AR313" s="0" t="n">
        <f aca="false">WEEKNUM(B313,1)</f>
        <v>19</v>
      </c>
      <c r="AS313" s="17" t="n">
        <f aca="false">IF(B313&gt;0, (B313+C313)-TIME(13,30,0), "")</f>
        <v>46146.6555555556</v>
      </c>
      <c r="AT313" s="18" t="n">
        <f aca="false">IF(B313&gt;0, (B313+C313)-TIME(13,30,0), "")</f>
        <v>46146.6555555556</v>
      </c>
      <c r="AU313" s="17" t="n">
        <f aca="false">IF(V313&gt;0, (V313+W313)-TIME(13,30,0), "")</f>
        <v>46164.3201388889</v>
      </c>
      <c r="AV313" s="18" t="n">
        <f aca="false">IF(V313&gt;0, (V313+W313)-TIME(13,30,0), "")</f>
        <v>46164.3201388889</v>
      </c>
      <c r="AW313" s="19" t="n">
        <f aca="false">24*(
MAX(0,
IF(NETWORKDAYS(AS313,AU313)=1,
MIN(MOD(AV313,1),TIME(17,30,0)) - MAX(MOD(AT313,1),TIME(8,30,0)),
(TIME(17,30,0)-MAX(MOD(AT313,1),TIME(8,30,0)))
+ (MIN(MOD(AV313,1),TIME(17,30,0))-TIME(8,30,0))
+ (NETWORKDAYS(AS313,AU313)-2)*9/24
)
)
)</f>
        <v>117.95</v>
      </c>
      <c r="AX313" s="19" t="n">
        <f aca="false">24*(
MAX(0,
IF(NETWORKDAYS(AS313,AU313)=1,
MIN(MOD(AV313,1),TIME(17,30,0)) - MAX(MOD(AT313,1),TIME(8,30,0)),
(TIME(17,30,0)-MAX(MOD(AT313,1),TIME(8,30,0)))
+ (MIN(MOD(AV313,1),TIME(17,30,0))-TIME(8,30,0))
+ (NETWORKDAYS(AS313,AU313)-2)* (TIME(17,30,0)-TIME(8,30,0))
)
)
)</f>
        <v>117.95</v>
      </c>
      <c r="AY313" s="20" t="n">
        <f aca="false">ROUND(
IF(AS313=AU313,
MAX(0,
(MIN(MOD(AV313,1),TIME(17,30,0))-
MAX(MOD(AT313,1),TIME(8,30,0)))*24
),
(
(MAX(0,TIME(17,30,0)-MAX(MOD(AT313,1),TIME(8,30,0)))*24)
+
(MAX(0,MIN(MOD(AV313,1),TIME(17,30,0))-TIME(8,30,0))*24)
+
(MAX(0,NETWORKDAYS(AS313+1,AU313-1))*9)
)
),
2)</f>
        <v>118.77</v>
      </c>
      <c r="AZ313" s="0" t="n">
        <f aca="false" t="array" ref="AZ313:AZ313">_xlfn.XLOOKUP(J313,{"Low","Medium","High"},{270,72,24})</f>
        <v>270</v>
      </c>
      <c r="BA313" s="0" t="str">
        <f aca="false">IF(AW313&gt;AZ313,"Not Met","Met")</f>
        <v>Met</v>
      </c>
      <c r="BB313" s="21" t="str">
        <f aca="false">IF(AS313="","",TEXT(AS313,"MMM")&amp;"'"&amp;TEXT(AS313,"yy"))</f>
        <v>May'26</v>
      </c>
      <c r="BC313" s="0" t="str">
        <f aca="false">IF(AU313="","",TEXT(AU313,"MMM")&amp;"'"&amp;TEXT(AU313,"yy"))</f>
        <v>May'26</v>
      </c>
    </row>
    <row r="314" customFormat="false" ht="15" hidden="false" customHeight="false" outlineLevel="0" collapsed="false">
      <c r="A314" s="1" t="s">
        <v>1068</v>
      </c>
      <c r="B314" s="11" t="n">
        <v>46147</v>
      </c>
      <c r="C314" s="12" t="n">
        <v>0.90625</v>
      </c>
      <c r="D314" s="13" t="str">
        <f aca="false">IF(B314="","",TEXT(B314,"MMM")&amp;"'"&amp;TEXT(B314,"yy"))</f>
        <v>May'26</v>
      </c>
      <c r="E314" s="27" t="s">
        <v>55</v>
      </c>
      <c r="F314" s="1" t="s">
        <v>39</v>
      </c>
      <c r="G314" s="46" t="str">
        <f aca="false">IF(F314="Closed","Closed","Pending")</f>
        <v>Closed</v>
      </c>
      <c r="H314" s="29" t="s">
        <v>72</v>
      </c>
      <c r="I314" s="1" t="s">
        <v>1069</v>
      </c>
      <c r="J314" s="1" t="s">
        <v>74</v>
      </c>
      <c r="K314" s="1" t="s">
        <v>59</v>
      </c>
      <c r="L314" s="1" t="s">
        <v>1070</v>
      </c>
      <c r="M314" s="1" t="s">
        <v>1071</v>
      </c>
      <c r="N314" s="1" t="s">
        <v>62</v>
      </c>
      <c r="O314" s="1" t="s">
        <v>63</v>
      </c>
      <c r="Q314" s="1" t="s">
        <v>63</v>
      </c>
      <c r="R314" s="1" t="s">
        <v>87</v>
      </c>
      <c r="U314" s="12" t="n">
        <v>0.9125</v>
      </c>
      <c r="V314" s="11" t="n">
        <v>46196</v>
      </c>
      <c r="W314" s="12" t="n">
        <v>0.911805555555556</v>
      </c>
      <c r="X314" s="11" t="n">
        <v>46196</v>
      </c>
      <c r="Y314" s="12" t="n">
        <v>0.939583333333333</v>
      </c>
      <c r="Z314" s="1" t="s">
        <v>67</v>
      </c>
      <c r="AA314" s="1" t="s">
        <v>68</v>
      </c>
      <c r="AB314" s="2" t="e">
        <f aca="false">U314-F314</f>
        <v>#VALUE!</v>
      </c>
      <c r="AC314" s="14" t="n">
        <f aca="false">(V314+W314)-(B314+C314)</f>
        <v>49.0055555555556</v>
      </c>
      <c r="AD314" s="4" t="str">
        <f aca="false">INT((V314+W314)-(B314+C314)) &amp; ":" &amp;
TEXT(HOUR((V314+W314)-(B314+C314)), "00") &amp; ":" &amp;
TEXT(MINUTE((V314+W314)-(B314+C314)), "00")</f>
        <v>49:00:08</v>
      </c>
      <c r="AE314" s="1" t="n">
        <f aca="false">IFERROR(
LEFT(AD314,FIND(":",AD314)-1)
+ MID(AD314,FIND(":",AD314)+1,2)/24
+ RIGHT(AD314,2)/1440,
"")</f>
        <v>49.0055555555556</v>
      </c>
      <c r="AF314" s="4" t="str">
        <f aca="false">INT((X314+Y314)-(B314+C314)) &amp; ":" &amp;
TEXT(HOUR((X314+Y314)-(B314+C314)), "00") &amp; ":" &amp;
TEXT(MINUTE((X314+Y314)-(B314+C314)), "00")</f>
        <v>49:00:48</v>
      </c>
      <c r="AG314" s="4" t="str">
        <f aca="false" t="array" ref="AG314:AG314">INT(_xlfn.XLOOKUP(J314,{"Low","Medium","High","Urgent"},{48,24,12,8})/24) &amp; ":" &amp;
TEXT(MOD(_xlfn.XLOOKUP(J314,{"Low","Medium","High","Urgent"},{48,24,12,8}),24)/24,"hh:mm")</f>
        <v>2:00:00</v>
      </c>
      <c r="AH314" s="4" t="str">
        <f aca="false">IF(AD314&gt;AG314,"Not Met","Met")</f>
        <v>Not Met</v>
      </c>
      <c r="AI314" s="4" t="e">
        <f aca="false">IF(AB314&lt;TIME(0,30,0),"Met","Not Met")</f>
        <v>#VALUE!</v>
      </c>
      <c r="AN314" s="1" t="str">
        <f aca="false">TEXT(B314,"dd")</f>
        <v>05</v>
      </c>
      <c r="AO314" s="1" t="str">
        <f aca="false">TEXT(X314,"dd")</f>
        <v>23</v>
      </c>
      <c r="AP314" s="16" t="str">
        <f aca="false">INT(
  NETWORKDAYS(B314,V314)-1
  + IF(WEEKDAY(V314,2)&lt;6,MOD(V314+W314,1),0)
  - IF(WEEKDAY(B314,2)&lt;6,MOD(B314+C314,1),0)
)
&amp; ":" &amp;
TEXT(HOUR(
  NETWORKDAYS(B314,V314)-1
  + IF(WEEKDAY(V314,2)&lt;6,MOD(V314+W314,1),0)
  - IF(WEEKDAY(B314,2)&lt;6,MOD(B314+C314,1),0)
),"00")
&amp; ":" &amp;
TEXT(MINUTE(
  NETWORKDAYS(B314,V314)-1
  + IF(WEEKDAY(V314,2)&lt;6,MOD(V314+W314,1),0)
  - IF(WEEKDAY(B314,2)&lt;6,MOD(B314+C314,1),0)
),"00")</f>
        <v>35:00:08</v>
      </c>
      <c r="AQ314" s="0" t="n">
        <f aca="false">IFERROR(
LEFT(AP314,FIND(":",AP314)-1)
+ MID(AP314,FIND(":",AP314)+1,2)/24
+ RIGHT(AP314,2)/1440,
"")</f>
        <v>35.0055555555556</v>
      </c>
      <c r="AR314" s="0" t="n">
        <f aca="false">WEEKNUM(B314,1)</f>
        <v>19</v>
      </c>
      <c r="AS314" s="17" t="n">
        <f aca="false">IF(B314&gt;0, (B314+C314)-TIME(13,30,0), "")</f>
        <v>46147.34375</v>
      </c>
      <c r="AT314" s="18" t="n">
        <f aca="false">IF(B314&gt;0, (B314+C314)-TIME(13,30,0), "")</f>
        <v>46147.34375</v>
      </c>
      <c r="AU314" s="17" t="n">
        <f aca="false">IF(V314&gt;0, (V314+W314)-TIME(13,30,0), "")</f>
        <v>46196.3493055556</v>
      </c>
      <c r="AV314" s="18" t="n">
        <f aca="false">IF(V314&gt;0, (V314+W314)-TIME(13,30,0), "")</f>
        <v>46196.3493055556</v>
      </c>
      <c r="AW314" s="19" t="n">
        <f aca="false">24*(
MAX(0,
IF(NETWORKDAYS(AS314,AU314)=1,
MIN(MOD(AV314,1),TIME(17,30,0)) - MAX(MOD(AT314,1),TIME(8,30,0)),
(TIME(17,30,0)-MAX(MOD(AT314,1),TIME(8,30,0)))
+ (MIN(MOD(AV314,1),TIME(17,30,0))-TIME(8,30,0))
+ (NETWORKDAYS(AS314,AU314)-2)*9/24
)
)
)</f>
        <v>314.883333333333</v>
      </c>
      <c r="AX314" s="19" t="n">
        <f aca="false">24*(
MAX(0,
IF(NETWORKDAYS(AS314,AU314)=1,
MIN(MOD(AV314,1),TIME(17,30,0)) - MAX(MOD(AT314,1),TIME(8,30,0)),
(TIME(17,30,0)-MAX(MOD(AT314,1),TIME(8,30,0)))
+ (MIN(MOD(AV314,1),TIME(17,30,0))-TIME(8,30,0))
+ (NETWORKDAYS(AS314,AU314)-2)* (TIME(17,30,0)-TIME(8,30,0))
)
)
)</f>
        <v>314.883333333333</v>
      </c>
      <c r="AY314" s="20" t="n">
        <f aca="false">ROUND(
IF(AS314=AU314,
MAX(0,
(MIN(MOD(AV314,1),TIME(17,30,0))-
MAX(MOD(AT314,1),TIME(8,30,0)))*24
),
(
(MAX(0,TIME(17,30,0)-MAX(MOD(AT314,1),TIME(8,30,0)))*24)
+
(MAX(0,MIN(MOD(AV314,1),TIME(17,30,0))-TIME(8,30,0))*24)
+
(MAX(0,NETWORKDAYS(AS314+1,AU314-1))*9)
)
),
2)</f>
        <v>315</v>
      </c>
      <c r="AZ314" s="0" t="n">
        <f aca="false" t="array" ref="AZ314:AZ314">_xlfn.XLOOKUP(J314,{"Low","Medium","High"},{270,72,24})</f>
        <v>270</v>
      </c>
      <c r="BA314" s="0" t="str">
        <f aca="false">IF(AW314&gt;AZ314,"Not Met","Met")</f>
        <v>Not Met</v>
      </c>
      <c r="BB314" s="21" t="str">
        <f aca="false">IF(AS314="","",TEXT(AS314,"MMM")&amp;"'"&amp;TEXT(AS314,"yy"))</f>
        <v>May'26</v>
      </c>
      <c r="BC314" s="0" t="str">
        <f aca="false">IF(AU314="","",TEXT(AU314,"MMM")&amp;"'"&amp;TEXT(AU314,"yy"))</f>
        <v>Jun'26</v>
      </c>
    </row>
    <row r="315" customFormat="false" ht="15" hidden="false" customHeight="false" outlineLevel="0" collapsed="false">
      <c r="A315" s="1" t="s">
        <v>1072</v>
      </c>
      <c r="B315" s="11" t="n">
        <v>46148</v>
      </c>
      <c r="C315" s="12" t="n">
        <v>0.874305555555556</v>
      </c>
      <c r="D315" s="13" t="str">
        <f aca="false">IF(B315="","",TEXT(B315,"MMM")&amp;"'"&amp;TEXT(B315,"yy"))</f>
        <v>May'26</v>
      </c>
      <c r="E315" s="27" t="s">
        <v>55</v>
      </c>
      <c r="F315" s="1" t="s">
        <v>39</v>
      </c>
      <c r="G315" s="46" t="str">
        <f aca="false">IF(F315="Closed","Closed","Pending")</f>
        <v>Closed</v>
      </c>
      <c r="H315" s="27" t="s">
        <v>185</v>
      </c>
      <c r="I315" s="1" t="s">
        <v>302</v>
      </c>
      <c r="J315" s="35" t="s">
        <v>74</v>
      </c>
      <c r="K315" s="1" t="s">
        <v>59</v>
      </c>
      <c r="L315" s="1" t="s">
        <v>1073</v>
      </c>
      <c r="M315" s="1" t="s">
        <v>1074</v>
      </c>
      <c r="N315" s="1" t="s">
        <v>65</v>
      </c>
      <c r="O315" s="1" t="s">
        <v>77</v>
      </c>
      <c r="Q315" s="1" t="s">
        <v>65</v>
      </c>
      <c r="R315" s="1" t="s">
        <v>66</v>
      </c>
      <c r="U315" s="12" t="n">
        <v>0.879166666666667</v>
      </c>
      <c r="V315" s="11" t="n">
        <v>46149</v>
      </c>
      <c r="W315" s="22" t="n">
        <v>0.894444444444445</v>
      </c>
      <c r="X315" s="11" t="n">
        <v>46149</v>
      </c>
      <c r="Y315" s="12" t="n">
        <v>0.953472222222222</v>
      </c>
      <c r="Z315" s="1" t="s">
        <v>67</v>
      </c>
      <c r="AA315" s="1" t="s">
        <v>68</v>
      </c>
      <c r="AB315" s="2" t="e">
        <f aca="false">U315-F315</f>
        <v>#VALUE!</v>
      </c>
      <c r="AC315" s="14" t="n">
        <f aca="false">(V315+W315)-(B315+C315)</f>
        <v>1.02013888888889</v>
      </c>
      <c r="AD315" s="4" t="str">
        <f aca="false">INT((V315+W315)-(B315+C315)) &amp; ":" &amp;
TEXT(HOUR((V315+W315)-(B315+C315)), "00") &amp; ":" &amp;
TEXT(MINUTE((V315+W315)-(B315+C315)), "00")</f>
        <v>1:00:29</v>
      </c>
      <c r="AE315" s="1" t="n">
        <f aca="false">IFERROR(
LEFT(AD315,FIND(":",AD315)-1)
+ MID(AD315,FIND(":",AD315)+1,2)/24
+ RIGHT(AD315,2)/1440,
"")</f>
        <v>1.02013888888889</v>
      </c>
      <c r="AF315" s="4" t="str">
        <f aca="false">INT((X315+Y315)-(B315+C315)) &amp; ":" &amp;
TEXT(HOUR((X315+Y315)-(B315+C315)), "00") &amp; ":" &amp;
TEXT(MINUTE((X315+Y315)-(B315+C315)), "00")</f>
        <v>1:01:54</v>
      </c>
      <c r="AG315" s="4" t="str">
        <f aca="false" t="array" ref="AG315:AG315">INT(_xlfn.XLOOKUP(J315,{"Low","Medium","High","Urgent"},{48,24,12,8})/24) &amp; ":" &amp;
TEXT(MOD(_xlfn.XLOOKUP(J315,{"Low","Medium","High","Urgent"},{48,24,12,8}),24)/24,"hh:mm")</f>
        <v>2:00:00</v>
      </c>
      <c r="AH315" s="4" t="str">
        <f aca="false">IF(AD315&gt;AG315,"Not Met","Met")</f>
        <v>Met</v>
      </c>
      <c r="AI315" s="4" t="e">
        <f aca="false">IF(AB315&lt;TIME(0,30,0),"Met","Not Met")</f>
        <v>#VALUE!</v>
      </c>
      <c r="AN315" s="1" t="str">
        <f aca="false">TEXT(B315,"dd")</f>
        <v>06</v>
      </c>
      <c r="AO315" s="1" t="str">
        <f aca="false">TEXT(X315,"dd")</f>
        <v>07</v>
      </c>
      <c r="AP315" s="16" t="str">
        <f aca="false">INT(
  NETWORKDAYS(B315,V315)-1
  + IF(WEEKDAY(V315,2)&lt;6,MOD(V315+W315,1),0)
  - IF(WEEKDAY(B315,2)&lt;6,MOD(B315+C315,1),0)
)
&amp; ":" &amp;
TEXT(HOUR(
  NETWORKDAYS(B315,V315)-1
  + IF(WEEKDAY(V315,2)&lt;6,MOD(V315+W315,1),0)
  - IF(WEEKDAY(B315,2)&lt;6,MOD(B315+C315,1),0)
),"00")
&amp; ":" &amp;
TEXT(MINUTE(
  NETWORKDAYS(B315,V315)-1
  + IF(WEEKDAY(V315,2)&lt;6,MOD(V315+W315,1),0)
  - IF(WEEKDAY(B315,2)&lt;6,MOD(B315+C315,1),0)
),"00")</f>
        <v>1:00:29</v>
      </c>
      <c r="AQ315" s="0" t="n">
        <f aca="false">IFERROR(
LEFT(AP315,FIND(":",AP315)-1)
+ MID(AP315,FIND(":",AP315)+1,2)/24
+ RIGHT(AP315,2)/1440,
"")</f>
        <v>1.02013888888889</v>
      </c>
      <c r="AR315" s="0" t="n">
        <f aca="false">WEEKNUM(B315,1)</f>
        <v>19</v>
      </c>
      <c r="AS315" s="17" t="n">
        <f aca="false">IF(B315&gt;0, (B315+C315)-TIME(13,30,0), "")</f>
        <v>46148.3118055556</v>
      </c>
      <c r="AT315" s="18" t="n">
        <f aca="false">IF(B315&gt;0, (B315+C315)-TIME(13,30,0), "")</f>
        <v>46148.3118055556</v>
      </c>
      <c r="AU315" s="17" t="n">
        <f aca="false">IF(V315&gt;0, (V315+W315)-TIME(13,30,0), "")</f>
        <v>46149.3319444444</v>
      </c>
      <c r="AV315" s="18" t="n">
        <f aca="false">IF(V315&gt;0, (V315+W315)-TIME(13,30,0), "")</f>
        <v>46149.3319444444</v>
      </c>
      <c r="AW315" s="19" t="n">
        <f aca="false">24*(
MAX(0,
IF(NETWORKDAYS(AS315,AU315)=1,
MIN(MOD(AV315,1),TIME(17,30,0)) - MAX(MOD(AT315,1),TIME(8,30,0)),
(TIME(17,30,0)-MAX(MOD(AT315,1),TIME(8,30,0)))
+ (MIN(MOD(AV315,1),TIME(17,30,0))-TIME(8,30,0))
+ (NETWORKDAYS(AS315,AU315)-2)*9/24
)
)
)</f>
        <v>8.46666666656556</v>
      </c>
      <c r="AX315" s="19" t="n">
        <f aca="false">24*(
MAX(0,
IF(NETWORKDAYS(AS315,AU315)=1,
MIN(MOD(AV315,1),TIME(17,30,0)) - MAX(MOD(AT315,1),TIME(8,30,0)),
(TIME(17,30,0)-MAX(MOD(AT315,1),TIME(8,30,0)))
+ (MIN(MOD(AV315,1),TIME(17,30,0))-TIME(8,30,0))
+ (NETWORKDAYS(AS315,AU315)-2)* (TIME(17,30,0)-TIME(8,30,0))
)
)
)</f>
        <v>8.46666666656556</v>
      </c>
      <c r="AY315" s="20" t="n">
        <f aca="false">ROUND(
IF(AS315=AU315,
MAX(0,
(MIN(MOD(AV315,1),TIME(17,30,0))-
MAX(MOD(AT315,1),TIME(8,30,0)))*24
),
(
(MAX(0,TIME(17,30,0)-MAX(MOD(AT315,1),TIME(8,30,0)))*24)
+
(MAX(0,MIN(MOD(AV315,1),TIME(17,30,0))-TIME(8,30,0))*24)
+
(MAX(0,NETWORKDAYS(AS315+1,AU315-1))*9)
)
),
2)</f>
        <v>9</v>
      </c>
      <c r="AZ315" s="0" t="n">
        <f aca="false" t="array" ref="AZ315:AZ315">_xlfn.XLOOKUP(J315,{"Low","Medium","High"},{270,72,24})</f>
        <v>270</v>
      </c>
      <c r="BA315" s="0" t="str">
        <f aca="false">IF(AW315&gt;AZ315,"Not Met","Met")</f>
        <v>Met</v>
      </c>
      <c r="BB315" s="21" t="str">
        <f aca="false">IF(AS315="","",TEXT(AS315,"MMM")&amp;"'"&amp;TEXT(AS315,"yy"))</f>
        <v>May'26</v>
      </c>
      <c r="BC315" s="0" t="str">
        <f aca="false">IF(AU315="","",TEXT(AU315,"MMM")&amp;"'"&amp;TEXT(AU315,"yy"))</f>
        <v>May'26</v>
      </c>
    </row>
    <row r="316" customFormat="false" ht="15" hidden="false" customHeight="false" outlineLevel="0" collapsed="false">
      <c r="A316" s="1" t="s">
        <v>1075</v>
      </c>
      <c r="B316" s="11" t="n">
        <v>46149</v>
      </c>
      <c r="C316" s="12" t="n">
        <v>0.31875</v>
      </c>
      <c r="D316" s="13" t="str">
        <f aca="false">IF(B316="","",TEXT(B316,"MMM")&amp;"'"&amp;TEXT(B316,"yy"))</f>
        <v>May'26</v>
      </c>
      <c r="E316" s="27" t="s">
        <v>55</v>
      </c>
      <c r="F316" s="1" t="s">
        <v>39</v>
      </c>
      <c r="G316" s="46" t="str">
        <f aca="false">IF(F316="Closed","Closed","Pending")</f>
        <v>Closed</v>
      </c>
      <c r="H316" s="27" t="s">
        <v>185</v>
      </c>
      <c r="I316" s="1" t="s">
        <v>302</v>
      </c>
      <c r="J316" s="35" t="s">
        <v>58</v>
      </c>
      <c r="K316" s="1" t="s">
        <v>59</v>
      </c>
      <c r="L316" s="1" t="s">
        <v>1076</v>
      </c>
      <c r="M316" s="1" t="s">
        <v>1036</v>
      </c>
      <c r="N316" s="1" t="s">
        <v>65</v>
      </c>
      <c r="O316" s="1" t="s">
        <v>106</v>
      </c>
      <c r="Q316" s="1" t="s">
        <v>65</v>
      </c>
      <c r="R316" s="1" t="s">
        <v>87</v>
      </c>
      <c r="U316" s="12" t="n">
        <v>0.895138888888889</v>
      </c>
      <c r="V316" s="11" t="n">
        <v>46149</v>
      </c>
      <c r="W316" s="12" t="n">
        <v>0.895138888888889</v>
      </c>
      <c r="X316" s="11" t="n">
        <v>46149</v>
      </c>
      <c r="Y316" s="12" t="n">
        <v>0.915972222222222</v>
      </c>
      <c r="Z316" s="1" t="s">
        <v>108</v>
      </c>
      <c r="AA316" s="1" t="s">
        <v>68</v>
      </c>
      <c r="AB316" s="2" t="e">
        <f aca="false">U316-F316</f>
        <v>#VALUE!</v>
      </c>
      <c r="AC316" s="14" t="n">
        <f aca="false">(V316+W316)-(B316+C316)</f>
        <v>0.576388888888889</v>
      </c>
      <c r="AD316" s="4" t="str">
        <f aca="false">INT((V316+W316)-(B316+C316)) &amp; ":" &amp;
TEXT(HOUR((V316+W316)-(B316+C316)), "00") &amp; ":" &amp;
TEXT(MINUTE((V316+W316)-(B316+C316)), "00")</f>
        <v>0:13:50</v>
      </c>
      <c r="AE316" s="1" t="n">
        <f aca="false">IFERROR(
LEFT(AD316,FIND(":",AD316)-1)
+ MID(AD316,FIND(":",AD316)+1,2)/24
+ RIGHT(AD316,2)/1440,
"")</f>
        <v>0.576388888888889</v>
      </c>
      <c r="AF316" s="4" t="str">
        <f aca="false">INT((X316+Y316)-(B316+C316)) &amp; ":" &amp;
TEXT(HOUR((X316+Y316)-(B316+C316)), "00") &amp; ":" &amp;
TEXT(MINUTE((X316+Y316)-(B316+C316)), "00")</f>
        <v>0:14:20</v>
      </c>
      <c r="AG316" s="4" t="str">
        <f aca="false" t="array" ref="AG316:AG316">INT(_xlfn.XLOOKUP(J316,{"Low","Medium","High","Urgent"},{48,24,12,8})/24) &amp; ":" &amp;
TEXT(MOD(_xlfn.XLOOKUP(J316,{"Low","Medium","High","Urgent"},{48,24,12,8}),24)/24,"hh:mm")</f>
        <v>1:00:00</v>
      </c>
      <c r="AH316" s="4" t="str">
        <f aca="false">IF(AD316&gt;AG316,"Not Met","Met")</f>
        <v>Met</v>
      </c>
      <c r="AI316" s="4" t="e">
        <f aca="false">IF(AB316&lt;TIME(0,30,0),"Met","Not Met")</f>
        <v>#VALUE!</v>
      </c>
      <c r="AN316" s="1" t="str">
        <f aca="false">TEXT(B316,"dd")</f>
        <v>07</v>
      </c>
      <c r="AO316" s="1" t="str">
        <f aca="false">TEXT(X316,"dd")</f>
        <v>07</v>
      </c>
      <c r="AP316" s="16" t="str">
        <f aca="false">INT(
  NETWORKDAYS(B316,V316)-1
  + IF(WEEKDAY(V316,2)&lt;6,MOD(V316+W316,1),0)
  - IF(WEEKDAY(B316,2)&lt;6,MOD(B316+C316,1),0)
)
&amp; ":" &amp;
TEXT(HOUR(
  NETWORKDAYS(B316,V316)-1
  + IF(WEEKDAY(V316,2)&lt;6,MOD(V316+W316,1),0)
  - IF(WEEKDAY(B316,2)&lt;6,MOD(B316+C316,1),0)
),"00")
&amp; ":" &amp;
TEXT(MINUTE(
  NETWORKDAYS(B316,V316)-1
  + IF(WEEKDAY(V316,2)&lt;6,MOD(V316+W316,1),0)
  - IF(WEEKDAY(B316,2)&lt;6,MOD(B316+C316,1),0)
),"00")</f>
        <v>0:13:50</v>
      </c>
      <c r="AQ316" s="0" t="n">
        <f aca="false">IFERROR(
LEFT(AP316,FIND(":",AP316)-1)
+ MID(AP316,FIND(":",AP316)+1,2)/24
+ RIGHT(AP316,2)/1440,
"")</f>
        <v>0.576388888888889</v>
      </c>
      <c r="AR316" s="0" t="n">
        <f aca="false">WEEKNUM(B316,1)</f>
        <v>19</v>
      </c>
      <c r="AS316" s="17" t="n">
        <f aca="false">IF(B316&gt;0, (B316+C316)-TIME(13,30,0), "")</f>
        <v>46148.75625</v>
      </c>
      <c r="AT316" s="18" t="n">
        <f aca="false">IF(B316&gt;0, (B316+C316)-TIME(13,30,0), "")</f>
        <v>46148.75625</v>
      </c>
      <c r="AU316" s="17" t="n">
        <f aca="false">IF(V316&gt;0, (V316+W316)-TIME(13,30,0), "")</f>
        <v>46149.3326388889</v>
      </c>
      <c r="AV316" s="18" t="n">
        <f aca="false">IF(V316&gt;0, (V316+W316)-TIME(13,30,0), "")</f>
        <v>46149.3326388889</v>
      </c>
      <c r="AW316" s="19" t="n">
        <f aca="false">24*(
MAX(0,
IF(NETWORKDAYS(AS316,AU316)=1,
MIN(MOD(AV316,1),TIME(17,30,0)) - MAX(MOD(AT316,1),TIME(8,30,0)),
(TIME(17,30,0)-MAX(MOD(AT316,1),TIME(8,30,0)))
+ (MIN(MOD(AV316,1),TIME(17,30,0))-TIME(8,30,0))
+ (NETWORKDAYS(AS316,AU316)-2)*9/24
)
)
)</f>
        <v>0</v>
      </c>
      <c r="AX316" s="19" t="n">
        <f aca="false">24*(
MAX(0,
IF(NETWORKDAYS(AS316,AU316)=1,
MIN(MOD(AV316,1),TIME(17,30,0)) - MAX(MOD(AT316,1),TIME(8,30,0)),
(TIME(17,30,0)-MAX(MOD(AT316,1),TIME(8,30,0)))
+ (MIN(MOD(AV316,1),TIME(17,30,0))-TIME(8,30,0))
+ (NETWORKDAYS(AS316,AU316)-2)* (TIME(17,30,0)-TIME(8,30,0))
)
)
)</f>
        <v>0</v>
      </c>
      <c r="AY316" s="20" t="n">
        <f aca="false">ROUND(
IF(AS316=AU316,
MAX(0,
(MIN(MOD(AV316,1),TIME(17,30,0))-
MAX(MOD(AT316,1),TIME(8,30,0)))*24
),
(
(MAX(0,TIME(17,30,0)-MAX(MOD(AT316,1),TIME(8,30,0)))*24)
+
(MAX(0,MIN(MOD(AV316,1),TIME(17,30,0))-TIME(8,30,0))*24)
+
(MAX(0,NETWORKDAYS(AS316+1,AU316-1))*9)
)
),
2)</f>
        <v>0</v>
      </c>
      <c r="AZ316" s="0" t="n">
        <f aca="false" t="array" ref="AZ316:AZ316">_xlfn.XLOOKUP(J316,{"Low","Medium","High"},{270,72,24})</f>
        <v>72</v>
      </c>
      <c r="BA316" s="0" t="str">
        <f aca="false">IF(AW316&gt;AZ316,"Not Met","Met")</f>
        <v>Met</v>
      </c>
      <c r="BB316" s="21" t="str">
        <f aca="false">IF(AS316="","",TEXT(AS316,"MMM")&amp;"'"&amp;TEXT(AS316,"yy"))</f>
        <v>May'26</v>
      </c>
      <c r="BC316" s="0" t="str">
        <f aca="false">IF(AU316="","",TEXT(AU316,"MMM")&amp;"'"&amp;TEXT(AU316,"yy"))</f>
        <v>May'26</v>
      </c>
    </row>
    <row r="317" customFormat="false" ht="15" hidden="false" customHeight="false" outlineLevel="0" collapsed="false">
      <c r="A317" s="1" t="s">
        <v>1077</v>
      </c>
      <c r="B317" s="11" t="n">
        <v>46149</v>
      </c>
      <c r="C317" s="12" t="n">
        <v>0.810416666666667</v>
      </c>
      <c r="D317" s="13" t="str">
        <f aca="false">IF(B317="","",TEXT(B317,"MMM")&amp;"'"&amp;TEXT(B317,"yy"))</f>
        <v>May'26</v>
      </c>
      <c r="E317" s="27" t="s">
        <v>55</v>
      </c>
      <c r="F317" s="1" t="s">
        <v>39</v>
      </c>
      <c r="G317" s="46" t="str">
        <f aca="false">IF(F317="Closed","Closed","Pending")</f>
        <v>Closed</v>
      </c>
      <c r="H317" s="27" t="s">
        <v>120</v>
      </c>
      <c r="I317" s="1" t="s">
        <v>677</v>
      </c>
      <c r="J317" s="35" t="s">
        <v>74</v>
      </c>
      <c r="K317" s="1" t="s">
        <v>59</v>
      </c>
      <c r="L317" s="1" t="s">
        <v>1078</v>
      </c>
      <c r="M317" s="1" t="s">
        <v>1079</v>
      </c>
      <c r="N317" s="1" t="s">
        <v>65</v>
      </c>
      <c r="O317" s="1" t="s">
        <v>106</v>
      </c>
      <c r="Q317" s="1" t="s">
        <v>65</v>
      </c>
      <c r="R317" s="1" t="s">
        <v>87</v>
      </c>
      <c r="U317" s="12" t="n">
        <v>0.872222222222222</v>
      </c>
      <c r="V317" s="11" t="n">
        <v>46153</v>
      </c>
      <c r="W317" s="12" t="n">
        <v>0.899305555555556</v>
      </c>
      <c r="X317" s="11" t="n">
        <v>46153</v>
      </c>
      <c r="Y317" s="12" t="n">
        <v>0.9125</v>
      </c>
      <c r="Z317" s="1" t="s">
        <v>67</v>
      </c>
      <c r="AA317" s="1" t="s">
        <v>68</v>
      </c>
      <c r="AB317" s="2" t="e">
        <f aca="false">U317-F317</f>
        <v>#VALUE!</v>
      </c>
      <c r="AC317" s="14" t="n">
        <f aca="false">(V317+W317)-(B317+C317)</f>
        <v>4.08888888888889</v>
      </c>
      <c r="AD317" s="4" t="str">
        <f aca="false">INT((V317+W317)-(B317+C317)) &amp; ":" &amp;
TEXT(HOUR((V317+W317)-(B317+C317)), "00") &amp; ":" &amp;
TEXT(MINUTE((V317+W317)-(B317+C317)), "00")</f>
        <v>4:02:08</v>
      </c>
      <c r="AE317" s="1" t="n">
        <f aca="false">IFERROR(
LEFT(AD317,FIND(":",AD317)-1)
+ MID(AD317,FIND(":",AD317)+1,2)/24
+ RIGHT(AD317,2)/1440,
"")</f>
        <v>4.08888888888889</v>
      </c>
      <c r="AF317" s="4" t="str">
        <f aca="false">INT((X317+Y317)-(B317+C317)) &amp; ":" &amp;
TEXT(HOUR((X317+Y317)-(B317+C317)), "00") &amp; ":" &amp;
TEXT(MINUTE((X317+Y317)-(B317+C317)), "00")</f>
        <v>4:02:27</v>
      </c>
      <c r="AG317" s="4" t="str">
        <f aca="false" t="array" ref="AG317:AG317">INT(_xlfn.XLOOKUP(J317,{"Low","Medium","High","Urgent"},{48,24,12,8})/24) &amp; ":" &amp;
TEXT(MOD(_xlfn.XLOOKUP(J317,{"Low","Medium","High","Urgent"},{48,24,12,8}),24)/24,"hh:mm")</f>
        <v>2:00:00</v>
      </c>
      <c r="AH317" s="4" t="str">
        <f aca="false">IF(AD317&gt;AG317,"Not Met","Met")</f>
        <v>Not Met</v>
      </c>
      <c r="AI317" s="4" t="e">
        <f aca="false">IF(AB317&lt;TIME(0,30,0),"Met","Not Met")</f>
        <v>#VALUE!</v>
      </c>
      <c r="AN317" s="1" t="str">
        <f aca="false">TEXT(B317,"dd")</f>
        <v>07</v>
      </c>
      <c r="AO317" s="1" t="str">
        <f aca="false">TEXT(X317,"dd")</f>
        <v>11</v>
      </c>
      <c r="AP317" s="16" t="str">
        <f aca="false">INT(
  NETWORKDAYS(B317,V317)-1
  + IF(WEEKDAY(V317,2)&lt;6,MOD(V317+W317,1),0)
  - IF(WEEKDAY(B317,2)&lt;6,MOD(B317+C317,1),0)
)
&amp; ":" &amp;
TEXT(HOUR(
  NETWORKDAYS(B317,V317)-1
  + IF(WEEKDAY(V317,2)&lt;6,MOD(V317+W317,1),0)
  - IF(WEEKDAY(B317,2)&lt;6,MOD(B317+C317,1),0)
),"00")
&amp; ":" &amp;
TEXT(MINUTE(
  NETWORKDAYS(B317,V317)-1
  + IF(WEEKDAY(V317,2)&lt;6,MOD(V317+W317,1),0)
  - IF(WEEKDAY(B317,2)&lt;6,MOD(B317+C317,1),0)
),"00")</f>
        <v>2:02:07</v>
      </c>
      <c r="AQ317" s="0" t="n">
        <f aca="false">IFERROR(
LEFT(AP317,FIND(":",AP317)-1)
+ MID(AP317,FIND(":",AP317)+1,2)/24
+ RIGHT(AP317,2)/1440,
"")</f>
        <v>2.08819444444444</v>
      </c>
      <c r="AR317" s="0" t="n">
        <f aca="false">WEEKNUM(B317,1)</f>
        <v>19</v>
      </c>
      <c r="AS317" s="17" t="n">
        <f aca="false">IF(B317&gt;0, (B317+C317)-TIME(13,30,0), "")</f>
        <v>46149.2479166667</v>
      </c>
      <c r="AT317" s="18" t="n">
        <f aca="false">IF(B317&gt;0, (B317+C317)-TIME(13,30,0), "")</f>
        <v>46149.2479166667</v>
      </c>
      <c r="AU317" s="17" t="n">
        <f aca="false">IF(V317&gt;0, (V317+W317)-TIME(13,30,0), "")</f>
        <v>46153.3368055556</v>
      </c>
      <c r="AV317" s="18" t="n">
        <f aca="false">IF(V317&gt;0, (V317+W317)-TIME(13,30,0), "")</f>
        <v>46153.3368055556</v>
      </c>
      <c r="AW317" s="19" t="n">
        <f aca="false">24*(
MAX(0,
IF(NETWORKDAYS(AS317,AU317)=1,
MIN(MOD(AV317,1),TIME(17,30,0)) - MAX(MOD(AT317,1),TIME(8,30,0)),
(TIME(17,30,0)-MAX(MOD(AT317,1),TIME(8,30,0)))
+ (MIN(MOD(AV317,1),TIME(17,30,0))-TIME(8,30,0))
+ (NETWORKDAYS(AS317,AU317)-2)*9/24
)
)
)</f>
        <v>17.5833333333333</v>
      </c>
      <c r="AX317" s="19" t="n">
        <f aca="false">24*(
MAX(0,
IF(NETWORKDAYS(AS317,AU317)=1,
MIN(MOD(AV317,1),TIME(17,30,0)) - MAX(MOD(AT317,1),TIME(8,30,0)),
(TIME(17,30,0)-MAX(MOD(AT317,1),TIME(8,30,0)))
+ (MIN(MOD(AV317,1),TIME(17,30,0))-TIME(8,30,0))
+ (NETWORKDAYS(AS317,AU317)-2)* (TIME(17,30,0)-TIME(8,30,0))
)
)
)</f>
        <v>17.5833333333333</v>
      </c>
      <c r="AY317" s="20" t="n">
        <f aca="false">ROUND(
IF(AS317=AU317,
MAX(0,
(MIN(MOD(AV317,1),TIME(17,30,0))-
MAX(MOD(AT317,1),TIME(8,30,0)))*24
),
(
(MAX(0,TIME(17,30,0)-MAX(MOD(AT317,1),TIME(8,30,0)))*24)
+
(MAX(0,MIN(MOD(AV317,1),TIME(17,30,0))-TIME(8,30,0))*24)
+
(MAX(0,NETWORKDAYS(AS317+1,AU317-1))*9)
)
),
2)</f>
        <v>18</v>
      </c>
      <c r="AZ317" s="0" t="n">
        <f aca="false" t="array" ref="AZ317:AZ317">_xlfn.XLOOKUP(J317,{"Low","Medium","High"},{270,72,24})</f>
        <v>270</v>
      </c>
      <c r="BA317" s="0" t="str">
        <f aca="false">IF(AW317&gt;AZ317,"Not Met","Met")</f>
        <v>Met</v>
      </c>
      <c r="BB317" s="21" t="str">
        <f aca="false">IF(AS317="","",TEXT(AS317,"MMM")&amp;"'"&amp;TEXT(AS317,"yy"))</f>
        <v>May'26</v>
      </c>
      <c r="BC317" s="0" t="str">
        <f aca="false">IF(AU317="","",TEXT(AU317,"MMM")&amp;"'"&amp;TEXT(AU317,"yy"))</f>
        <v>May'26</v>
      </c>
    </row>
    <row r="318" customFormat="false" ht="15" hidden="false" customHeight="false" outlineLevel="0" collapsed="false">
      <c r="A318" s="1" t="s">
        <v>1080</v>
      </c>
      <c r="B318" s="11" t="n">
        <v>46150</v>
      </c>
      <c r="C318" s="12" t="n">
        <v>0.0840277777777778</v>
      </c>
      <c r="D318" s="13" t="str">
        <f aca="false">IF(B318="","",TEXT(B318,"MMM")&amp;"'"&amp;TEXT(B318,"yy"))</f>
        <v>May'26</v>
      </c>
      <c r="E318" s="27" t="s">
        <v>55</v>
      </c>
      <c r="F318" s="1" t="s">
        <v>39</v>
      </c>
      <c r="G318" s="46" t="str">
        <f aca="false">IF(F318="Closed","Closed","Pending")</f>
        <v>Closed</v>
      </c>
      <c r="H318" s="27" t="s">
        <v>263</v>
      </c>
      <c r="I318" s="1" t="s">
        <v>639</v>
      </c>
      <c r="J318" s="35" t="s">
        <v>74</v>
      </c>
      <c r="K318" s="1" t="s">
        <v>59</v>
      </c>
      <c r="L318" s="1" t="s">
        <v>1081</v>
      </c>
      <c r="M318" s="1" t="s">
        <v>1082</v>
      </c>
      <c r="N318" s="1" t="s">
        <v>143</v>
      </c>
      <c r="O318" s="1" t="s">
        <v>143</v>
      </c>
      <c r="Q318" s="1" t="s">
        <v>143</v>
      </c>
      <c r="R318" s="1" t="s">
        <v>87</v>
      </c>
      <c r="U318" s="12" t="n">
        <v>0.0861111111111111</v>
      </c>
      <c r="V318" s="11" t="n">
        <v>46155</v>
      </c>
      <c r="W318" s="12" t="n">
        <v>0.992361111111111</v>
      </c>
      <c r="X318" s="11" t="n">
        <v>46155</v>
      </c>
      <c r="Y318" s="12" t="n">
        <v>0.992361111111111</v>
      </c>
      <c r="Z318" s="1" t="s">
        <v>108</v>
      </c>
      <c r="AA318" s="1" t="s">
        <v>68</v>
      </c>
      <c r="AB318" s="2" t="e">
        <f aca="false">U318-F318</f>
        <v>#VALUE!</v>
      </c>
      <c r="AC318" s="14" t="n">
        <f aca="false">(V318+W318)-(B318+C318)</f>
        <v>5.90833333333333</v>
      </c>
      <c r="AD318" s="4" t="str">
        <f aca="false">INT((V318+W318)-(B318+C318)) &amp; ":" &amp;
TEXT(HOUR((V318+W318)-(B318+C318)), "00") &amp; ":" &amp;
TEXT(MINUTE((V318+W318)-(B318+C318)), "00")</f>
        <v>5:21:48</v>
      </c>
      <c r="AE318" s="1" t="n">
        <f aca="false">IFERROR(
LEFT(AD318,FIND(":",AD318)-1)
+ MID(AD318,FIND(":",AD318)+1,2)/24
+ RIGHT(AD318,2)/1440,
"")</f>
        <v>5.90833333333333</v>
      </c>
      <c r="AF318" s="4" t="str">
        <f aca="false">INT((X318+Y318)-(B318+C318)) &amp; ":" &amp;
TEXT(HOUR((X318+Y318)-(B318+C318)), "00") &amp; ":" &amp;
TEXT(MINUTE((X318+Y318)-(B318+C318)), "00")</f>
        <v>5:21:48</v>
      </c>
      <c r="AG318" s="4" t="str">
        <f aca="false" t="array" ref="AG318:AG318">INT(_xlfn.XLOOKUP(J318,{"Low","Medium","High","Urgent"},{48,24,12,8})/24) &amp; ":" &amp;
TEXT(MOD(_xlfn.XLOOKUP(J318,{"Low","Medium","High","Urgent"},{48,24,12,8}),24)/24,"hh:mm")</f>
        <v>2:00:00</v>
      </c>
      <c r="AH318" s="4" t="str">
        <f aca="false">IF(AD318&gt;AG318,"Not Met","Met")</f>
        <v>Not Met</v>
      </c>
      <c r="AI318" s="4" t="e">
        <f aca="false">IF(AB318&lt;TIME(0,30,0),"Met","Not Met")</f>
        <v>#VALUE!</v>
      </c>
      <c r="AN318" s="1" t="str">
        <f aca="false">TEXT(B318,"dd")</f>
        <v>08</v>
      </c>
      <c r="AO318" s="1" t="str">
        <f aca="false">TEXT(X318,"dd")</f>
        <v>13</v>
      </c>
      <c r="AP318" s="16" t="str">
        <f aca="false">INT(
  NETWORKDAYS(B318,V318)-1
  + IF(WEEKDAY(V318,2)&lt;6,MOD(V318+W318,1),0)
  - IF(WEEKDAY(B318,2)&lt;6,MOD(B318+C318,1),0)
)
&amp; ":" &amp;
TEXT(HOUR(
  NETWORKDAYS(B318,V318)-1
  + IF(WEEKDAY(V318,2)&lt;6,MOD(V318+W318,1),0)
  - IF(WEEKDAY(B318,2)&lt;6,MOD(B318+C318,1),0)
),"00")
&amp; ":" &amp;
TEXT(MINUTE(
  NETWORKDAYS(B318,V318)-1
  + IF(WEEKDAY(V318,2)&lt;6,MOD(V318+W318,1),0)
  - IF(WEEKDAY(B318,2)&lt;6,MOD(B318+C318,1),0)
),"00")</f>
        <v>3:21:47</v>
      </c>
      <c r="AQ318" s="0" t="n">
        <f aca="false">IFERROR(
LEFT(AP318,FIND(":",AP318)-1)
+ MID(AP318,FIND(":",AP318)+1,2)/24
+ RIGHT(AP318,2)/1440,
"")</f>
        <v>3.90763888888889</v>
      </c>
      <c r="AR318" s="0" t="n">
        <f aca="false">WEEKNUM(B318,1)</f>
        <v>19</v>
      </c>
      <c r="AS318" s="17" t="n">
        <f aca="false">IF(B318&gt;0, (B318+C318)-TIME(13,30,0), "")</f>
        <v>46149.5215277778</v>
      </c>
      <c r="AT318" s="18" t="n">
        <f aca="false">IF(B318&gt;0, (B318+C318)-TIME(13,30,0), "")</f>
        <v>46149.5215277778</v>
      </c>
      <c r="AU318" s="17" t="n">
        <f aca="false">IF(V318&gt;0, (V318+W318)-TIME(13,30,0), "")</f>
        <v>46155.4298611111</v>
      </c>
      <c r="AV318" s="18" t="n">
        <f aca="false">IF(V318&gt;0, (V318+W318)-TIME(13,30,0), "")</f>
        <v>46155.4298611111</v>
      </c>
      <c r="AW318" s="19" t="n">
        <f aca="false">24*(
MAX(0,
IF(NETWORKDAYS(AS318,AU318)=1,
MIN(MOD(AV318,1),TIME(17,30,0)) - MAX(MOD(AT318,1),TIME(8,30,0)),
(TIME(17,30,0)-MAX(MOD(AT318,1),TIME(8,30,0)))
+ (MIN(MOD(AV318,1),TIME(17,30,0))-TIME(8,30,0))
+ (NETWORKDAYS(AS318,AU318)-2)*9/24
)
)
)</f>
        <v>33.8</v>
      </c>
      <c r="AX318" s="19" t="n">
        <f aca="false">24*(
MAX(0,
IF(NETWORKDAYS(AS318,AU318)=1,
MIN(MOD(AV318,1),TIME(17,30,0)) - MAX(MOD(AT318,1),TIME(8,30,0)),
(TIME(17,30,0)-MAX(MOD(AT318,1),TIME(8,30,0)))
+ (MIN(MOD(AV318,1),TIME(17,30,0))-TIME(8,30,0))
+ (NETWORKDAYS(AS318,AU318)-2)* (TIME(17,30,0)-TIME(8,30,0))
)
)
)</f>
        <v>33.8</v>
      </c>
      <c r="AY318" s="20" t="n">
        <f aca="false">ROUND(
IF(AS318=AU318,
MAX(0,
(MIN(MOD(AV318,1),TIME(17,30,0))-
MAX(MOD(AT318,1),TIME(8,30,0)))*24
),
(
(MAX(0,TIME(17,30,0)-MAX(MOD(AT318,1),TIME(8,30,0)))*24)
+
(MAX(0,MIN(MOD(AV318,1),TIME(17,30,0))-TIME(8,30,0))*24)
+
(MAX(0,NETWORKDAYS(AS318+1,AU318-1))*9)
)
),
2)</f>
        <v>33.8</v>
      </c>
      <c r="AZ318" s="0" t="n">
        <f aca="false" t="array" ref="AZ318:AZ318">_xlfn.XLOOKUP(J318,{"Low","Medium","High"},{270,72,24})</f>
        <v>270</v>
      </c>
      <c r="BA318" s="0" t="str">
        <f aca="false">IF(AW318&gt;AZ318,"Not Met","Met")</f>
        <v>Met</v>
      </c>
      <c r="BB318" s="21" t="str">
        <f aca="false">IF(AS318="","",TEXT(AS318,"MMM")&amp;"'"&amp;TEXT(AS318,"yy"))</f>
        <v>May'26</v>
      </c>
      <c r="BC318" s="0" t="str">
        <f aca="false">IF(AU318="","",TEXT(AU318,"MMM")&amp;"'"&amp;TEXT(AU318,"yy"))</f>
        <v>May'26</v>
      </c>
    </row>
    <row r="319" customFormat="false" ht="15" hidden="false" customHeight="false" outlineLevel="0" collapsed="false">
      <c r="A319" s="1" t="s">
        <v>1083</v>
      </c>
      <c r="B319" s="11" t="n">
        <v>46150</v>
      </c>
      <c r="C319" s="12" t="n">
        <v>0.136805555555556</v>
      </c>
      <c r="D319" s="13" t="str">
        <f aca="false">IF(B319="","",TEXT(B319,"MMM")&amp;"'"&amp;TEXT(B319,"yy"))</f>
        <v>May'26</v>
      </c>
      <c r="E319" s="27" t="s">
        <v>55</v>
      </c>
      <c r="F319" s="1" t="s">
        <v>39</v>
      </c>
      <c r="G319" s="46" t="str">
        <f aca="false">IF(F319="Closed","Closed","Pending")</f>
        <v>Closed</v>
      </c>
      <c r="H319" s="27" t="s">
        <v>81</v>
      </c>
      <c r="I319" s="1" t="s">
        <v>82</v>
      </c>
      <c r="J319" s="35" t="s">
        <v>74</v>
      </c>
      <c r="K319" s="1" t="s">
        <v>59</v>
      </c>
      <c r="L319" s="1" t="s">
        <v>1084</v>
      </c>
      <c r="M319" s="1" t="s">
        <v>1085</v>
      </c>
      <c r="N319" s="1" t="s">
        <v>62</v>
      </c>
      <c r="O319" s="1" t="s">
        <v>77</v>
      </c>
      <c r="R319" s="1" t="s">
        <v>87</v>
      </c>
      <c r="U319" s="12" t="n">
        <v>0.188888888888889</v>
      </c>
      <c r="V319" s="11" t="n">
        <v>46155</v>
      </c>
      <c r="W319" s="12" t="n">
        <v>0.872916666666667</v>
      </c>
      <c r="X319" s="11" t="n">
        <v>46156</v>
      </c>
      <c r="Y319" s="12" t="n">
        <v>0.909027777777778</v>
      </c>
      <c r="Z319" s="1" t="s">
        <v>67</v>
      </c>
      <c r="AA319" s="1" t="s">
        <v>68</v>
      </c>
      <c r="AB319" s="2" t="e">
        <f aca="false">U319-F319</f>
        <v>#VALUE!</v>
      </c>
      <c r="AC319" s="14" t="n">
        <f aca="false">(V319+W319)-(B319+C319)</f>
        <v>5.73611111111111</v>
      </c>
      <c r="AD319" s="4" t="str">
        <f aca="false">INT((V319+W319)-(B319+C319)) &amp; ":" &amp;
TEXT(HOUR((V319+W319)-(B319+C319)), "00") &amp; ":" &amp;
TEXT(MINUTE((V319+W319)-(B319+C319)), "00")</f>
        <v>5:17:40</v>
      </c>
      <c r="AE319" s="1" t="n">
        <f aca="false">IFERROR(
LEFT(AD319,FIND(":",AD319)-1)
+ MID(AD319,FIND(":",AD319)+1,2)/24
+ RIGHT(AD319,2)/1440,
"")</f>
        <v>5.73611111111111</v>
      </c>
      <c r="AF319" s="4" t="str">
        <f aca="false">INT((X319+Y319)-(B319+C319)) &amp; ":" &amp;
TEXT(HOUR((X319+Y319)-(B319+C319)), "00") &amp; ":" &amp;
TEXT(MINUTE((X319+Y319)-(B319+C319)), "00")</f>
        <v>6:18:32</v>
      </c>
      <c r="AG319" s="4" t="str">
        <f aca="false" t="array" ref="AG319:AG319">INT(_xlfn.XLOOKUP(J319,{"Low","Medium","High","Urgent"},{48,24,12,8})/24) &amp; ":" &amp;
TEXT(MOD(_xlfn.XLOOKUP(J319,{"Low","Medium","High","Urgent"},{48,24,12,8}),24)/24,"hh:mm")</f>
        <v>2:00:00</v>
      </c>
      <c r="AH319" s="4" t="str">
        <f aca="false">IF(AD319&gt;AG319,"Not Met","Met")</f>
        <v>Not Met</v>
      </c>
      <c r="AI319" s="4" t="e">
        <f aca="false">IF(AB319&lt;TIME(0,30,0),"Met","Not Met")</f>
        <v>#VALUE!</v>
      </c>
      <c r="AN319" s="1" t="str">
        <f aca="false">TEXT(B319,"dd")</f>
        <v>08</v>
      </c>
      <c r="AO319" s="1" t="str">
        <f aca="false">TEXT(X319,"dd")</f>
        <v>14</v>
      </c>
      <c r="AP319" s="16" t="str">
        <f aca="false">INT(
  NETWORKDAYS(B319,V319)-1
  + IF(WEEKDAY(V319,2)&lt;6,MOD(V319+W319,1),0)
  - IF(WEEKDAY(B319,2)&lt;6,MOD(B319+C319,1),0)
)
&amp; ":" &amp;
TEXT(HOUR(
  NETWORKDAYS(B319,V319)-1
  + IF(WEEKDAY(V319,2)&lt;6,MOD(V319+W319,1),0)
  - IF(WEEKDAY(B319,2)&lt;6,MOD(B319+C319,1),0)
),"00")
&amp; ":" &amp;
TEXT(MINUTE(
  NETWORKDAYS(B319,V319)-1
  + IF(WEEKDAY(V319,2)&lt;6,MOD(V319+W319,1),0)
  - IF(WEEKDAY(B319,2)&lt;6,MOD(B319+C319,1),0)
),"00")</f>
        <v>3:17:39</v>
      </c>
      <c r="AQ319" s="0" t="n">
        <f aca="false">IFERROR(
LEFT(AP319,FIND(":",AP319)-1)
+ MID(AP319,FIND(":",AP319)+1,2)/24
+ RIGHT(AP319,2)/1440,
"")</f>
        <v>3.73541666666667</v>
      </c>
      <c r="AR319" s="0" t="n">
        <f aca="false">WEEKNUM(B319,1)</f>
        <v>19</v>
      </c>
      <c r="AS319" s="17" t="n">
        <f aca="false">IF(B319&gt;0, (B319+C319)-TIME(13,30,0), "")</f>
        <v>46149.5743055556</v>
      </c>
      <c r="AT319" s="18" t="n">
        <f aca="false">IF(B319&gt;0, (B319+C319)-TIME(13,30,0), "")</f>
        <v>46149.5743055556</v>
      </c>
      <c r="AU319" s="17" t="n">
        <f aca="false">IF(V319&gt;0, (V319+W319)-TIME(13,30,0), "")</f>
        <v>46155.3104166667</v>
      </c>
      <c r="AV319" s="18" t="n">
        <f aca="false">IF(V319&gt;0, (V319+W319)-TIME(13,30,0), "")</f>
        <v>46155.3104166667</v>
      </c>
      <c r="AW319" s="19" t="n">
        <f aca="false">24*(
MAX(0,
IF(NETWORKDAYS(AS319,AU319)=1,
MIN(MOD(AV319,1),TIME(17,30,0)) - MAX(MOD(AT319,1),TIME(8,30,0)),
(TIME(17,30,0)-MAX(MOD(AT319,1),TIME(8,30,0)))
+ (MIN(MOD(AV319,1),TIME(17,30,0))-TIME(8,30,0))
+ (NETWORKDAYS(AS319,AU319)-2)*9/24
)
)
)</f>
        <v>29.6666666666667</v>
      </c>
      <c r="AX319" s="19" t="n">
        <f aca="false">24*(
MAX(0,
IF(NETWORKDAYS(AS319,AU319)=1,
MIN(MOD(AV319,1),TIME(17,30,0)) - MAX(MOD(AT319,1),TIME(8,30,0)),
(TIME(17,30,0)-MAX(MOD(AT319,1),TIME(8,30,0)))
+ (MIN(MOD(AV319,1),TIME(17,30,0))-TIME(8,30,0))
+ (NETWORKDAYS(AS319,AU319)-2)* (TIME(17,30,0)-TIME(8,30,0))
)
)
)</f>
        <v>29.6666666666667</v>
      </c>
      <c r="AY319" s="20" t="n">
        <f aca="false">ROUND(
IF(AS319=AU319,
MAX(0,
(MIN(MOD(AV319,1),TIME(17,30,0))-
MAX(MOD(AT319,1),TIME(8,30,0)))*24
),
(
(MAX(0,TIME(17,30,0)-MAX(MOD(AT319,1),TIME(8,30,0)))*24)
+
(MAX(0,MIN(MOD(AV319,1),TIME(17,30,0))-TIME(8,30,0))*24)
+
(MAX(0,NETWORKDAYS(AS319+1,AU319-1))*9)
)
),
2)</f>
        <v>30.72</v>
      </c>
      <c r="AZ319" s="0" t="n">
        <f aca="false" t="array" ref="AZ319:AZ319">_xlfn.XLOOKUP(J319,{"Low","Medium","High"},{270,72,24})</f>
        <v>270</v>
      </c>
      <c r="BA319" s="0" t="str">
        <f aca="false">IF(AW319&gt;AZ319,"Not Met","Met")</f>
        <v>Met</v>
      </c>
      <c r="BB319" s="21" t="str">
        <f aca="false">IF(AS319="","",TEXT(AS319,"MMM")&amp;"'"&amp;TEXT(AS319,"yy"))</f>
        <v>May'26</v>
      </c>
      <c r="BC319" s="0" t="str">
        <f aca="false">IF(AU319="","",TEXT(AU319,"MMM")&amp;"'"&amp;TEXT(AU319,"yy"))</f>
        <v>May'26</v>
      </c>
    </row>
    <row r="320" customFormat="false" ht="15" hidden="false" customHeight="false" outlineLevel="0" collapsed="false">
      <c r="A320" s="23" t="s">
        <v>1086</v>
      </c>
      <c r="B320" s="24" t="n">
        <v>46150</v>
      </c>
      <c r="C320" s="12" t="n">
        <v>0.770833333333333</v>
      </c>
      <c r="D320" s="13" t="str">
        <f aca="false">IF(B320="","",TEXT(B320,"MMM")&amp;"'"&amp;TEXT(B320,"yy"))</f>
        <v>May'26</v>
      </c>
      <c r="E320" s="27" t="s">
        <v>55</v>
      </c>
      <c r="F320" s="1" t="s">
        <v>39</v>
      </c>
      <c r="G320" s="46" t="str">
        <f aca="false">IF(F320="Closed","Closed","Pending")</f>
        <v>Closed</v>
      </c>
      <c r="H320" s="26" t="s">
        <v>120</v>
      </c>
      <c r="I320" s="26" t="s">
        <v>401</v>
      </c>
      <c r="J320" s="40" t="s">
        <v>74</v>
      </c>
      <c r="K320" s="1" t="s">
        <v>59</v>
      </c>
      <c r="L320" s="1" t="s">
        <v>1087</v>
      </c>
      <c r="M320" s="1" t="s">
        <v>1088</v>
      </c>
      <c r="N320" s="1" t="s">
        <v>65</v>
      </c>
      <c r="O320" s="1" t="s">
        <v>106</v>
      </c>
      <c r="Q320" s="1" t="s">
        <v>65</v>
      </c>
      <c r="R320" s="1" t="s">
        <v>66</v>
      </c>
      <c r="U320" s="12" t="n">
        <v>0.783333333333333</v>
      </c>
      <c r="V320" s="11" t="n">
        <v>46154</v>
      </c>
      <c r="W320" s="12" t="n">
        <v>0.878472222222222</v>
      </c>
      <c r="X320" s="11" t="n">
        <v>46154</v>
      </c>
      <c r="Y320" s="12" t="n">
        <v>0.895138888888889</v>
      </c>
      <c r="Z320" s="1" t="s">
        <v>67</v>
      </c>
      <c r="AB320" s="2" t="e">
        <f aca="false">U320-F320</f>
        <v>#VALUE!</v>
      </c>
      <c r="AC320" s="14" t="n">
        <f aca="false">(V320+W320)-(B320+C320)</f>
        <v>4.10763888888889</v>
      </c>
      <c r="AD320" s="4" t="str">
        <f aca="false">INT((V320+W320)-(B320+C320)) &amp; ":" &amp;
TEXT(HOUR((V320+W320)-(B320+C320)), "00") &amp; ":" &amp;
TEXT(MINUTE((V320+W320)-(B320+C320)), "00")</f>
        <v>4:02:35</v>
      </c>
      <c r="AE320" s="1" t="n">
        <f aca="false">IFERROR(
LEFT(AD320,FIND(":",AD320)-1)
+ MID(AD320,FIND(":",AD320)+1,2)/24
+ RIGHT(AD320,2)/1440,
"")</f>
        <v>4.10763888888889</v>
      </c>
      <c r="AF320" s="4" t="str">
        <f aca="false">INT((X320+Y320)-(B320+C320)) &amp; ":" &amp;
TEXT(HOUR((X320+Y320)-(B320+C320)), "00") &amp; ":" &amp;
TEXT(MINUTE((X320+Y320)-(B320+C320)), "00")</f>
        <v>4:02:59</v>
      </c>
      <c r="AG320" s="4" t="str">
        <f aca="false" t="array" ref="AG320:AG320">INT(_xlfn.XLOOKUP(J320,{"Low","Medium","High","Urgent"},{48,24,12,8})/24) &amp; ":" &amp;
TEXT(MOD(_xlfn.XLOOKUP(J320,{"Low","Medium","High","Urgent"},{48,24,12,8}),24)/24,"hh:mm")</f>
        <v>2:00:00</v>
      </c>
      <c r="AH320" s="4" t="str">
        <f aca="false">IF(AD320&gt;AG320,"Not Met","Met")</f>
        <v>Not Met</v>
      </c>
      <c r="AI320" s="4" t="e">
        <f aca="false">IF(AB320&lt;TIME(0,30,0),"Met","Not Met")</f>
        <v>#VALUE!</v>
      </c>
      <c r="AN320" s="1" t="str">
        <f aca="false">TEXT(B320,"dd")</f>
        <v>08</v>
      </c>
      <c r="AO320" s="1" t="str">
        <f aca="false">TEXT(X320,"dd")</f>
        <v>12</v>
      </c>
      <c r="AP320" s="16" t="str">
        <f aca="false">INT(
  NETWORKDAYS(B320,V320)-1
  + IF(WEEKDAY(V320,2)&lt;6,MOD(V320+W320,1),0)
  - IF(WEEKDAY(B320,2)&lt;6,MOD(B320+C320,1),0)
)
&amp; ":" &amp;
TEXT(HOUR(
  NETWORKDAYS(B320,V320)-1
  + IF(WEEKDAY(V320,2)&lt;6,MOD(V320+W320,1),0)
  - IF(WEEKDAY(B320,2)&lt;6,MOD(B320+C320,1),0)
),"00")
&amp; ":" &amp;
TEXT(MINUTE(
  NETWORKDAYS(B320,V320)-1
  + IF(WEEKDAY(V320,2)&lt;6,MOD(V320+W320,1),0)
  - IF(WEEKDAY(B320,2)&lt;6,MOD(B320+C320,1),0)
),"00")</f>
        <v>2:02:34</v>
      </c>
      <c r="AQ320" s="0" t="n">
        <f aca="false">IFERROR(
LEFT(AP320,FIND(":",AP320)-1)
+ MID(AP320,FIND(":",AP320)+1,2)/24
+ RIGHT(AP320,2)/1440,
"")</f>
        <v>2.10694444444444</v>
      </c>
      <c r="AR320" s="0" t="n">
        <f aca="false">WEEKNUM(B320,1)</f>
        <v>19</v>
      </c>
      <c r="AS320" s="17" t="n">
        <f aca="false">IF(B320&gt;0, (B320+C320)-TIME(13,30,0), "")</f>
        <v>46150.2083333333</v>
      </c>
      <c r="AT320" s="18" t="n">
        <f aca="false">IF(B320&gt;0, (B320+C320)-TIME(13,30,0), "")</f>
        <v>46150.2083333333</v>
      </c>
      <c r="AU320" s="17" t="n">
        <f aca="false">IF(V320&gt;0, (V320+W320)-TIME(13,30,0), "")</f>
        <v>46154.3159722222</v>
      </c>
      <c r="AV320" s="18" t="n">
        <f aca="false">IF(V320&gt;0, (V320+W320)-TIME(13,30,0), "")</f>
        <v>46154.3159722222</v>
      </c>
      <c r="AW320" s="19" t="n">
        <f aca="false">24*(
MAX(0,
IF(NETWORKDAYS(AS320,AU320)=1,
MIN(MOD(AV320,1),TIME(17,30,0)) - MAX(MOD(AT320,1),TIME(8,30,0)),
(TIME(17,30,0)-MAX(MOD(AT320,1),TIME(8,30,0)))
+ (MIN(MOD(AV320,1),TIME(17,30,0))-TIME(8,30,0))
+ (NETWORKDAYS(AS320,AU320)-2)*9/24
)
)
)</f>
        <v>17.0833333331778</v>
      </c>
      <c r="AX320" s="19" t="n">
        <f aca="false">24*(
MAX(0,
IF(NETWORKDAYS(AS320,AU320)=1,
MIN(MOD(AV320,1),TIME(17,30,0)) - MAX(MOD(AT320,1),TIME(8,30,0)),
(TIME(17,30,0)-MAX(MOD(AT320,1),TIME(8,30,0)))
+ (MIN(MOD(AV320,1),TIME(17,30,0))-TIME(8,30,0))
+ (NETWORKDAYS(AS320,AU320)-2)* (TIME(17,30,0)-TIME(8,30,0))
)
)
)</f>
        <v>17.0833333331778</v>
      </c>
      <c r="AY320" s="20" t="n">
        <f aca="false">ROUND(
IF(AS320=AU320,
MAX(0,
(MIN(MOD(AV320,1),TIME(17,30,0))-
MAX(MOD(AT320,1),TIME(8,30,0)))*24
),
(
(MAX(0,TIME(17,30,0)-MAX(MOD(AT320,1),TIME(8,30,0)))*24)
+
(MAX(0,MIN(MOD(AV320,1),TIME(17,30,0))-TIME(8,30,0))*24)
+
(MAX(0,NETWORKDAYS(AS320+1,AU320-1))*9)
)
),
2)</f>
        <v>18</v>
      </c>
      <c r="AZ320" s="0" t="n">
        <f aca="false" t="array" ref="AZ320:AZ320">_xlfn.XLOOKUP(J320,{"Low","Medium","High"},{270,72,24})</f>
        <v>270</v>
      </c>
      <c r="BA320" s="0" t="str">
        <f aca="false">IF(AW320&gt;AZ320,"Not Met","Met")</f>
        <v>Met</v>
      </c>
      <c r="BB320" s="21" t="str">
        <f aca="false">IF(AS320="","",TEXT(AS320,"MMM")&amp;"'"&amp;TEXT(AS320,"yy"))</f>
        <v>May'26</v>
      </c>
      <c r="BC320" s="0" t="str">
        <f aca="false">IF(AU320="","",TEXT(AU320,"MMM")&amp;"'"&amp;TEXT(AU320,"yy"))</f>
        <v>May'26</v>
      </c>
    </row>
    <row r="321" customFormat="false" ht="15" hidden="false" customHeight="false" outlineLevel="0" collapsed="false">
      <c r="A321" s="34" t="s">
        <v>1089</v>
      </c>
      <c r="B321" s="31" t="n">
        <v>46150</v>
      </c>
      <c r="C321" s="32" t="n">
        <v>0.861805555555556</v>
      </c>
      <c r="D321" s="57" t="str">
        <f aca="false">IF(B321="","",TEXT(B321,"MMM")&amp;"'"&amp;TEXT(B321,"yy"))</f>
        <v>May'26</v>
      </c>
      <c r="E321" s="58" t="s">
        <v>55</v>
      </c>
      <c r="F321" s="26" t="s">
        <v>39</v>
      </c>
      <c r="G321" s="62" t="str">
        <f aca="false">IF(F321="Closed","Closed","Pending")</f>
        <v>Closed</v>
      </c>
      <c r="H321" s="26" t="s">
        <v>56</v>
      </c>
      <c r="I321" s="26" t="s">
        <v>1090</v>
      </c>
      <c r="J321" s="26" t="s">
        <v>74</v>
      </c>
      <c r="K321" s="40" t="s">
        <v>59</v>
      </c>
      <c r="L321" s="34" t="s">
        <v>1091</v>
      </c>
      <c r="M321" s="23" t="s">
        <v>1092</v>
      </c>
      <c r="N321" s="1" t="s">
        <v>65</v>
      </c>
      <c r="O321" s="1" t="s">
        <v>77</v>
      </c>
      <c r="Q321" s="1" t="s">
        <v>65</v>
      </c>
      <c r="R321" s="1" t="s">
        <v>66</v>
      </c>
      <c r="U321" s="12" t="n">
        <v>0.865972222222222</v>
      </c>
      <c r="V321" s="11" t="n">
        <v>46150</v>
      </c>
      <c r="W321" s="12" t="n">
        <v>0.895138888888889</v>
      </c>
      <c r="X321" s="11" t="n">
        <v>46170</v>
      </c>
      <c r="Y321" s="12" t="n">
        <v>0.125694444444444</v>
      </c>
      <c r="Z321" s="1" t="s">
        <v>67</v>
      </c>
      <c r="AA321" s="1" t="s">
        <v>68</v>
      </c>
      <c r="AB321" s="2" t="e">
        <f aca="false">U321-F321</f>
        <v>#VALUE!</v>
      </c>
      <c r="AC321" s="14" t="n">
        <f aca="false">(V321+W321)-(B321+C321)</f>
        <v>0.0333333333333333</v>
      </c>
      <c r="AD321" s="4" t="str">
        <f aca="false">INT((V321+W321)-(B321+C321)) &amp; ":" &amp;
TEXT(HOUR((V321+W321)-(B321+C321)), "00") &amp; ":" &amp;
TEXT(MINUTE((V321+W321)-(B321+C321)), "00")</f>
        <v>0:00:48</v>
      </c>
      <c r="AE321" s="1" t="n">
        <f aca="false">IFERROR(
LEFT(AD321,FIND(":",AD321)-1)
+ MID(AD321,FIND(":",AD321)+1,2)/24
+ RIGHT(AD321,2)/1440,
"")</f>
        <v>0.0333333333333333</v>
      </c>
      <c r="AF321" s="4" t="str">
        <f aca="false">INT((X321+Y321)-(B321+C321)) &amp; ":" &amp;
TEXT(HOUR((X321+Y321)-(B321+C321)), "00") &amp; ":" &amp;
TEXT(MINUTE((X321+Y321)-(B321+C321)), "00")</f>
        <v>19:06:20</v>
      </c>
      <c r="AG321" s="4" t="str">
        <f aca="false" t="array" ref="AG321:AG321">INT(_xlfn.XLOOKUP(J321,{"Low","Medium","High","Urgent"},{48,24,12,8})/24) &amp; ":" &amp;
TEXT(MOD(_xlfn.XLOOKUP(J321,{"Low","Medium","High","Urgent"},{48,24,12,8}),24)/24,"hh:mm")</f>
        <v>2:00:00</v>
      </c>
      <c r="AH321" s="4" t="str">
        <f aca="false">IF(AD321&gt;AG321,"Not Met","Met")</f>
        <v>Met</v>
      </c>
      <c r="AI321" s="4" t="e">
        <f aca="false">IF(AB321&lt;TIME(0,30,0),"Met","Not Met")</f>
        <v>#VALUE!</v>
      </c>
      <c r="AN321" s="1" t="str">
        <f aca="false">TEXT(B321,"dd")</f>
        <v>08</v>
      </c>
      <c r="AO321" s="1" t="str">
        <f aca="false">TEXT(X321,"dd")</f>
        <v>28</v>
      </c>
      <c r="AP321" s="16" t="str">
        <f aca="false">INT(
  NETWORKDAYS(B321,V321)-1
  + IF(WEEKDAY(V321,2)&lt;6,MOD(V321+W321,1),0)
  - IF(WEEKDAY(B321,2)&lt;6,MOD(B321+C321,1),0)
)
&amp; ":" &amp;
TEXT(HOUR(
  NETWORKDAYS(B321,V321)-1
  + IF(WEEKDAY(V321,2)&lt;6,MOD(V321+W321,1),0)
  - IF(WEEKDAY(B321,2)&lt;6,MOD(B321+C321,1),0)
),"00")
&amp; ":" &amp;
TEXT(MINUTE(
  NETWORKDAYS(B321,V321)-1
  + IF(WEEKDAY(V321,2)&lt;6,MOD(V321+W321,1),0)
  - IF(WEEKDAY(B321,2)&lt;6,MOD(B321+C321,1),0)
),"00")</f>
        <v>0:00:47</v>
      </c>
      <c r="AQ321" s="0" t="n">
        <f aca="false">IFERROR(
LEFT(AP321,FIND(":",AP321)-1)
+ MID(AP321,FIND(":",AP321)+1,2)/24
+ RIGHT(AP321,2)/1440,
"")</f>
        <v>0.0326388888888889</v>
      </c>
      <c r="AR321" s="0" t="n">
        <f aca="false">WEEKNUM(B321,1)</f>
        <v>19</v>
      </c>
      <c r="AS321" s="17" t="n">
        <f aca="false">IF(B321&gt;0, (B321+C321)-TIME(13,30,0), "")</f>
        <v>46150.2993055556</v>
      </c>
      <c r="AT321" s="18" t="n">
        <f aca="false">IF(B321&gt;0, (B321+C321)-TIME(13,30,0), "")</f>
        <v>46150.2993055556</v>
      </c>
      <c r="AU321" s="17" t="n">
        <f aca="false">IF(V321&gt;0, (V321+W321)-TIME(13,30,0), "")</f>
        <v>46150.3326388889</v>
      </c>
      <c r="AV321" s="18" t="n">
        <f aca="false">IF(V321&gt;0, (V321+W321)-TIME(13,30,0), "")</f>
        <v>46150.3326388889</v>
      </c>
      <c r="AW321" s="19" t="n">
        <f aca="false">24*(
MAX(0,
IF(NETWORKDAYS(AS321,AU321)=1,
MIN(MOD(AV321,1),TIME(17,30,0)) - MAX(MOD(AT321,1),TIME(8,30,0)),
(TIME(17,30,0)-MAX(MOD(AT321,1),TIME(8,30,0)))
+ (MIN(MOD(AV321,1),TIME(17,30,0))-TIME(8,30,0))
+ (NETWORKDAYS(AS321,AU321)-2)*9/24
)
)
)</f>
        <v>0</v>
      </c>
      <c r="AX321" s="19" t="n">
        <f aca="false">24*(
MAX(0,
IF(NETWORKDAYS(AS321,AU321)=1,
MIN(MOD(AV321,1),TIME(17,30,0)) - MAX(MOD(AT321,1),TIME(8,30,0)),
(TIME(17,30,0)-MAX(MOD(AT321,1),TIME(8,30,0)))
+ (MIN(MOD(AV321,1),TIME(17,30,0))-TIME(8,30,0))
+ (NETWORKDAYS(AS321,AU321)-2)* (TIME(17,30,0)-TIME(8,30,0))
)
)
)</f>
        <v>0</v>
      </c>
      <c r="AY321" s="20" t="n">
        <f aca="false">ROUND(
IF(AS321=AU321,
MAX(0,
(MIN(MOD(AV321,1),TIME(17,30,0))-
MAX(MOD(AT321,1),TIME(8,30,0)))*24
),
(
(MAX(0,TIME(17,30,0)-MAX(MOD(AT321,1),TIME(8,30,0)))*24)
+
(MAX(0,MIN(MOD(AV321,1),TIME(17,30,0))-TIME(8,30,0))*24)
+
(MAX(0,NETWORKDAYS(AS321+1,AU321-1))*9)
)
),
2)</f>
        <v>9</v>
      </c>
      <c r="AZ321" s="0" t="n">
        <f aca="false" t="array" ref="AZ321:AZ321">_xlfn.XLOOKUP(J321,{"Low","Medium","High"},{270,72,24})</f>
        <v>270</v>
      </c>
      <c r="BA321" s="0" t="str">
        <f aca="false">IF(AW321&gt;AZ321,"Not Met","Met")</f>
        <v>Met</v>
      </c>
      <c r="BB321" s="21" t="str">
        <f aca="false">IF(AS321="","",TEXT(AS321,"MMM")&amp;"'"&amp;TEXT(AS321,"yy"))</f>
        <v>May'26</v>
      </c>
      <c r="BC321" s="0" t="str">
        <f aca="false">IF(AU321="","",TEXT(AU321,"MMM")&amp;"'"&amp;TEXT(AU321,"yy"))</f>
        <v>May'26</v>
      </c>
    </row>
    <row r="322" customFormat="false" ht="15" hidden="false" customHeight="false" outlineLevel="0" collapsed="false">
      <c r="A322" s="23" t="s">
        <v>1093</v>
      </c>
      <c r="B322" s="24" t="n">
        <v>46150</v>
      </c>
      <c r="C322" s="12" t="n">
        <v>0.911111111111111</v>
      </c>
      <c r="D322" s="13" t="str">
        <f aca="false">IF(B322="","",TEXT(B322,"MMM")&amp;"'"&amp;TEXT(B322,"yy"))</f>
        <v>May'26</v>
      </c>
      <c r="E322" s="1" t="s">
        <v>55</v>
      </c>
      <c r="F322" s="1" t="s">
        <v>140</v>
      </c>
      <c r="G322" s="1" t="str">
        <f aca="false">IF(F322="Closed","Closed","Pending")</f>
        <v>Pending</v>
      </c>
      <c r="H322" s="1" t="s">
        <v>691</v>
      </c>
      <c r="I322" s="26" t="s">
        <v>158</v>
      </c>
      <c r="J322" s="1" t="s">
        <v>74</v>
      </c>
      <c r="K322" s="1" t="s">
        <v>59</v>
      </c>
      <c r="L322" s="1" t="s">
        <v>1094</v>
      </c>
      <c r="M322" s="35" t="s">
        <v>1095</v>
      </c>
      <c r="N322" s="1" t="s">
        <v>62</v>
      </c>
      <c r="O322" s="1" t="s">
        <v>143</v>
      </c>
      <c r="Q322" s="1" t="s">
        <v>143</v>
      </c>
      <c r="R322" s="1" t="s">
        <v>87</v>
      </c>
      <c r="U322" s="12" t="n">
        <v>0.934722222222222</v>
      </c>
      <c r="Z322" s="1" t="s">
        <v>67</v>
      </c>
      <c r="AB322" s="2" t="e">
        <f aca="false">U322-F322</f>
        <v>#VALUE!</v>
      </c>
      <c r="AC322" s="14" t="n">
        <f aca="false">(V322+W322)-(B322+C322)</f>
        <v>-46150.9111111111</v>
      </c>
      <c r="AD322" s="4" t="str">
        <f aca="false">INT((V322+W322)-(B322+C322)) &amp; ":" &amp;
TEXT(HOUR((V322+W322)-(B322+C322)), "00") &amp; ":" &amp;
TEXT(MINUTE((V322+W322)-(B322+C322)), "00")</f>
        <v>-46151:02:08</v>
      </c>
      <c r="AE322" s="1" t="n">
        <f aca="false">IFERROR(
LEFT(AD322,FIND(":",AD322)-1)
+ MID(AD322,FIND(":",AD322)+1,2)/24
+ RIGHT(AD322,2)/1440,
"")</f>
        <v>-46150.9111111111</v>
      </c>
      <c r="AF322" s="4" t="str">
        <f aca="false">INT((X322+Y322)-(B322+C322)) &amp; ":" &amp;
TEXT(HOUR((X322+Y322)-(B322+C322)), "00") &amp; ":" &amp;
TEXT(MINUTE((X322+Y322)-(B322+C322)), "00")</f>
        <v>-46151:02:08</v>
      </c>
      <c r="AG322" s="4" t="str">
        <f aca="false" t="array" ref="AG322:AG322">INT(_xlfn.XLOOKUP(J322,{"Low","Medium","High","Urgent"},{48,24,12,8})/24) &amp; ":" &amp;
TEXT(MOD(_xlfn.XLOOKUP(J322,{"Low","Medium","High","Urgent"},{48,24,12,8}),24)/24,"hh:mm")</f>
        <v>2:00:00</v>
      </c>
      <c r="AH322" s="4" t="str">
        <f aca="false">IF(AD322&gt;AG322,"Not Met","Met")</f>
        <v>Met</v>
      </c>
      <c r="AI322" s="4" t="e">
        <f aca="false">IF(AB322&lt;TIME(0,30,0),"Met","Not Met")</f>
        <v>#VALUE!</v>
      </c>
      <c r="AN322" s="1" t="str">
        <f aca="false">TEXT(B322,"dd")</f>
        <v>08</v>
      </c>
      <c r="AO322" s="1" t="str">
        <f aca="false">TEXT(X322,"dd")</f>
        <v>30</v>
      </c>
      <c r="AP322" s="16" t="str">
        <f aca="false">INT(
  NETWORKDAYS(B322,V322)-1
  + IF(WEEKDAY(V322,2)&lt;6,MOD(V322+W322,1),0)
  - IF(WEEKDAY(B322,2)&lt;6,MOD(B322+C322,1),0)
)
&amp; ":" &amp;
TEXT(HOUR(
  NETWORKDAYS(B322,V322)-1
  + IF(WEEKDAY(V322,2)&lt;6,MOD(V322+W322,1),0)
  - IF(WEEKDAY(B322,2)&lt;6,MOD(B322+C322,1),0)
),"00")
&amp; ":" &amp;
TEXT(MINUTE(
  NETWORKDAYS(B322,V322)-1
  + IF(WEEKDAY(V322,2)&lt;6,MOD(V322+W322,1),0)
  - IF(WEEKDAY(B322,2)&lt;6,MOD(B322+C322,1),0)
),"00")</f>
        <v>-32967:02:08</v>
      </c>
      <c r="AQ322" s="0" t="n">
        <f aca="false">IFERROR(
LEFT(AP322,FIND(":",AP322)-1)
+ MID(AP322,FIND(":",AP322)+1,2)/24
+ RIGHT(AP322,2)/1440,
"")</f>
        <v>-32966.9111111111</v>
      </c>
      <c r="AR322" s="0" t="n">
        <f aca="false">WEEKNUM(B322,1)</f>
        <v>19</v>
      </c>
      <c r="AS322" s="17" t="n">
        <f aca="false">IF(B322&gt;0, (B322+C322)-TIME(13,30,0), "")</f>
        <v>46150.3486111111</v>
      </c>
      <c r="AT322" s="18" t="n">
        <f aca="false">IF(B322&gt;0, (B322+C322)-TIME(13,30,0), "")</f>
        <v>46150.3486111111</v>
      </c>
      <c r="AU322" s="17" t="str">
        <f aca="false">IF(V322&gt;0, (V322+W322)-TIME(13,30,0), "")</f>
        <v/>
      </c>
      <c r="AV322" s="18" t="str">
        <f aca="false">IF(V322&gt;0, (V322+W322)-TIME(13,30,0), "")</f>
        <v/>
      </c>
      <c r="AW322" s="19" t="e">
        <f aca="false">24*(
MAX(0,
IF(NETWORKDAYS(AS322,AU322)=1,
MIN(MOD(AV322,1),TIME(17,30,0)) - MAX(MOD(AT322,1),TIME(8,30,0)),
(TIME(17,30,0)-MAX(MOD(AT322,1),TIME(8,30,0)))
+ (MIN(MOD(AV322,1),TIME(17,30,0))-TIME(8,30,0))
+ (NETWORKDAYS(AS322,AU322)-2)*9/24
)
)
)</f>
        <v>#VALUE!</v>
      </c>
      <c r="AX322" s="19" t="e">
        <f aca="false">24*(
MAX(0,
IF(NETWORKDAYS(AS322,AU322)=1,
MIN(MOD(AV322,1),TIME(17,30,0)) - MAX(MOD(AT322,1),TIME(8,30,0)),
(TIME(17,30,0)-MAX(MOD(AT322,1),TIME(8,30,0)))
+ (MIN(MOD(AV322,1),TIME(17,30,0))-TIME(8,30,0))
+ (NETWORKDAYS(AS322,AU322)-2)* (TIME(17,30,0)-TIME(8,30,0))
)
)
)</f>
        <v>#VALUE!</v>
      </c>
      <c r="AY322" s="20" t="e">
        <f aca="false">ROUND(
IF(AS322=AU322,
MAX(0,
(MIN(MOD(AV322,1),TIME(17,30,0))-
MAX(MOD(AT322,1),TIME(8,30,0)))*24
),
(
(MAX(0,TIME(17,30,0)-MAX(MOD(AT322,1),TIME(8,30,0)))*24)
+
(MAX(0,MIN(MOD(AV322,1),TIME(17,30,0))-TIME(8,30,0))*24)
+
(MAX(0,NETWORKDAYS(AS322+1,AU322-1))*9)
)
),
2)</f>
        <v>#VALUE!</v>
      </c>
      <c r="AZ322" s="0" t="n">
        <f aca="false" t="array" ref="AZ322:AZ322">_xlfn.XLOOKUP(J322,{"Low","Medium","High"},{270,72,24})</f>
        <v>270</v>
      </c>
      <c r="BA322" s="0" t="e">
        <f aca="false">IF(AW322&gt;AZ322,"Not Met","Met")</f>
        <v>#VALUE!</v>
      </c>
      <c r="BB322" s="21" t="str">
        <f aca="false">IF(AS322="","",TEXT(AS322,"MMM")&amp;"'"&amp;TEXT(AS322,"yy"))</f>
        <v>May'26</v>
      </c>
      <c r="BC322" s="0" t="str">
        <f aca="false">IF(AU322="","",TEXT(AU322,"MMM")&amp;"'"&amp;TEXT(AU322,"yy"))</f>
        <v/>
      </c>
    </row>
    <row r="323" customFormat="false" ht="15" hidden="false" customHeight="false" outlineLevel="0" collapsed="false">
      <c r="A323" s="23" t="s">
        <v>1096</v>
      </c>
      <c r="B323" s="24" t="n">
        <v>46153</v>
      </c>
      <c r="C323" s="12" t="n">
        <v>0.978472222222222</v>
      </c>
      <c r="D323" s="13" t="str">
        <f aca="false">IF(B323="","",TEXT(B323,"MMM")&amp;"'"&amp;TEXT(B323,"yy"))</f>
        <v>May'26</v>
      </c>
      <c r="E323" s="1" t="s">
        <v>55</v>
      </c>
      <c r="F323" s="39" t="s">
        <v>539</v>
      </c>
      <c r="G323" s="1" t="str">
        <f aca="false">IF(F323="Closed","Closed","Pending")</f>
        <v>Pending</v>
      </c>
      <c r="H323" s="27" t="s">
        <v>120</v>
      </c>
      <c r="I323" s="1" t="s">
        <v>401</v>
      </c>
      <c r="J323" s="35" t="s">
        <v>58</v>
      </c>
      <c r="K323" s="1" t="s">
        <v>59</v>
      </c>
      <c r="L323" s="1" t="s">
        <v>1097</v>
      </c>
      <c r="M323" s="35" t="s">
        <v>1098</v>
      </c>
      <c r="N323" s="1" t="s">
        <v>143</v>
      </c>
      <c r="O323" s="1" t="s">
        <v>143</v>
      </c>
      <c r="Q323" s="1" t="s">
        <v>143</v>
      </c>
      <c r="R323" s="1" t="s">
        <v>87</v>
      </c>
      <c r="U323" s="25" t="n">
        <v>46154.0118055556</v>
      </c>
      <c r="Z323" s="1" t="s">
        <v>108</v>
      </c>
      <c r="AB323" s="2" t="n">
        <v>0.0333333333333333</v>
      </c>
      <c r="AC323" s="14" t="n">
        <f aca="false">(V323+W323)-(B323+C323)</f>
        <v>-46153.9784722222</v>
      </c>
      <c r="AD323" s="4" t="str">
        <f aca="false">INT((V323+W323)-(B323+C323)) &amp; ":" &amp;
TEXT(HOUR((V323+W323)-(B323+C323)), "00") &amp; ":" &amp;
TEXT(MINUTE((V323+W323)-(B323+C323)), "00")</f>
        <v>-46154:00:31</v>
      </c>
      <c r="AE323" s="1" t="n">
        <f aca="false">IFERROR(
LEFT(AD323,FIND(":",AD323)-1)
+ MID(AD323,FIND(":",AD323)+1,2)/24
+ RIGHT(AD323,2)/1440,
"")</f>
        <v>-46153.9784722222</v>
      </c>
      <c r="AF323" s="4" t="str">
        <f aca="false">INT((X323+Y323)-(B323+C323)) &amp; ":" &amp;
TEXT(HOUR((X323+Y323)-(B323+C323)), "00") &amp; ":" &amp;
TEXT(MINUTE((X323+Y323)-(B323+C323)), "00")</f>
        <v>-46154:00:31</v>
      </c>
      <c r="AG323" s="4" t="str">
        <f aca="false" t="array" ref="AG323:AG323">INT(_xlfn.XLOOKUP(J323,{"Low","Medium","High","Urgent"},{48,24,12,8})/24) &amp; ":" &amp;
TEXT(MOD(_xlfn.XLOOKUP(J323,{"Low","Medium","High","Urgent"},{48,24,12,8}),24)/24,"hh:mm")</f>
        <v>1:00:00</v>
      </c>
      <c r="AH323" s="4" t="str">
        <f aca="false">IF(AD323&gt;AG323,"Not Met","Met")</f>
        <v>Met</v>
      </c>
      <c r="AI323" s="4" t="str">
        <f aca="false">IF(AB323&lt;TIME(0,30,0),"Met","Not Met")</f>
        <v>Not Met</v>
      </c>
      <c r="AN323" s="1" t="str">
        <f aca="false">TEXT(B323,"dd")</f>
        <v>11</v>
      </c>
      <c r="AO323" s="1" t="str">
        <f aca="false">TEXT(X323,"dd")</f>
        <v>30</v>
      </c>
      <c r="AP323" s="16" t="str">
        <f aca="false">INT(
  NETWORKDAYS(B323,V323)-1
  + IF(WEEKDAY(V323,2)&lt;6,MOD(V323+W323,1),0)
  - IF(WEEKDAY(B323,2)&lt;6,MOD(B323+C323,1),0)
)
&amp; ":" &amp;
TEXT(HOUR(
  NETWORKDAYS(B323,V323)-1
  + IF(WEEKDAY(V323,2)&lt;6,MOD(V323+W323,1),0)
  - IF(WEEKDAY(B323,2)&lt;6,MOD(B323+C323,1),0)
),"00")
&amp; ":" &amp;
TEXT(MINUTE(
  NETWORKDAYS(B323,V323)-1
  + IF(WEEKDAY(V323,2)&lt;6,MOD(V323+W323,1),0)
  - IF(WEEKDAY(B323,2)&lt;6,MOD(B323+C323,1),0)
),"00")</f>
        <v>-32968:00:31</v>
      </c>
      <c r="AQ323" s="0" t="n">
        <f aca="false">IFERROR(
LEFT(AP323,FIND(":",AP323)-1)
+ MID(AP323,FIND(":",AP323)+1,2)/24
+ RIGHT(AP323,2)/1440,
"")</f>
        <v>-32967.9784722222</v>
      </c>
      <c r="AR323" s="0" t="n">
        <f aca="false">WEEKNUM(B323,1)</f>
        <v>20</v>
      </c>
      <c r="AS323" s="17" t="n">
        <f aca="false">IF(B323&gt;0, (B323+C323)-TIME(13,30,0), "")</f>
        <v>46153.4159722222</v>
      </c>
      <c r="AT323" s="18" t="n">
        <f aca="false">IF(B323&gt;0, (B323+C323)-TIME(13,30,0), "")</f>
        <v>46153.4159722222</v>
      </c>
      <c r="AU323" s="17" t="str">
        <f aca="false">IF(V323&gt;0, (V323+W323)-TIME(13,30,0), "")</f>
        <v/>
      </c>
      <c r="AV323" s="18" t="str">
        <f aca="false">IF(V323&gt;0, (V323+W323)-TIME(13,30,0), "")</f>
        <v/>
      </c>
      <c r="AW323" s="19" t="e">
        <f aca="false">24*(
MAX(0,
IF(NETWORKDAYS(AS323,AU323)=1,
MIN(MOD(AV323,1),TIME(17,30,0)) - MAX(MOD(AT323,1),TIME(8,30,0)),
(TIME(17,30,0)-MAX(MOD(AT323,1),TIME(8,30,0)))
+ (MIN(MOD(AV323,1),TIME(17,30,0))-TIME(8,30,0))
+ (NETWORKDAYS(AS323,AU323)-2)*9/24
)
)
)</f>
        <v>#VALUE!</v>
      </c>
      <c r="AX323" s="19" t="e">
        <f aca="false">24*(
MAX(0,
IF(NETWORKDAYS(AS323,AU323)=1,
MIN(MOD(AV323,1),TIME(17,30,0)) - MAX(MOD(AT323,1),TIME(8,30,0)),
(TIME(17,30,0)-MAX(MOD(AT323,1),TIME(8,30,0)))
+ (MIN(MOD(AV323,1),TIME(17,30,0))-TIME(8,30,0))
+ (NETWORKDAYS(AS323,AU323)-2)* (TIME(17,30,0)-TIME(8,30,0))
)
)
)</f>
        <v>#VALUE!</v>
      </c>
      <c r="AY323" s="20" t="e">
        <f aca="false">ROUND(
IF(AS323=AU323,
MAX(0,
(MIN(MOD(AV323,1),TIME(17,30,0))-
MAX(MOD(AT323,1),TIME(8,30,0)))*24
),
(
(MAX(0,TIME(17,30,0)-MAX(MOD(AT323,1),TIME(8,30,0)))*24)
+
(MAX(0,MIN(MOD(AV323,1),TIME(17,30,0))-TIME(8,30,0))*24)
+
(MAX(0,NETWORKDAYS(AS323+1,AU323-1))*9)
)
),
2)</f>
        <v>#VALUE!</v>
      </c>
      <c r="AZ323" s="0" t="n">
        <f aca="false" t="array" ref="AZ323:AZ323">_xlfn.XLOOKUP(J323,{"Low","Medium","High"},{270,72,24})</f>
        <v>72</v>
      </c>
      <c r="BA323" s="0" t="e">
        <f aca="false">IF(AW323&gt;AZ323,"Not Met","Met")</f>
        <v>#VALUE!</v>
      </c>
      <c r="BB323" s="21" t="str">
        <f aca="false">IF(AS323="","",TEXT(AS323,"MMM")&amp;"'"&amp;TEXT(AS323,"yy"))</f>
        <v>May'26</v>
      </c>
      <c r="BC323" s="0" t="str">
        <f aca="false">IF(AU323="","",TEXT(AU323,"MMM")&amp;"'"&amp;TEXT(AU323,"yy"))</f>
        <v/>
      </c>
    </row>
    <row r="324" customFormat="false" ht="15" hidden="false" customHeight="false" outlineLevel="0" collapsed="false">
      <c r="A324" s="23" t="s">
        <v>1099</v>
      </c>
      <c r="B324" s="24" t="n">
        <v>46153</v>
      </c>
      <c r="C324" s="12" t="n">
        <v>0.979861111111111</v>
      </c>
      <c r="D324" s="13" t="str">
        <f aca="false">IF(B324="","",TEXT(B324,"MMM")&amp;"'"&amp;TEXT(B324,"yy"))</f>
        <v>May'26</v>
      </c>
      <c r="E324" s="1" t="s">
        <v>55</v>
      </c>
      <c r="F324" s="1" t="s">
        <v>39</v>
      </c>
      <c r="G324" s="1" t="str">
        <f aca="false">IF(F324="Closed","Closed","Pending")</f>
        <v>Closed</v>
      </c>
      <c r="H324" s="27" t="s">
        <v>691</v>
      </c>
      <c r="I324" s="1" t="s">
        <v>270</v>
      </c>
      <c r="J324" s="35" t="s">
        <v>74</v>
      </c>
      <c r="K324" s="1" t="s">
        <v>59</v>
      </c>
      <c r="L324" s="1" t="s">
        <v>1100</v>
      </c>
      <c r="M324" s="35" t="s">
        <v>1101</v>
      </c>
      <c r="N324" s="1" t="s">
        <v>62</v>
      </c>
      <c r="O324" s="1" t="s">
        <v>106</v>
      </c>
      <c r="Q324" s="1" t="s">
        <v>229</v>
      </c>
      <c r="R324" s="1" t="s">
        <v>490</v>
      </c>
      <c r="U324" s="25" t="n">
        <v>46154.0118055556</v>
      </c>
      <c r="V324" s="11" t="n">
        <v>46161</v>
      </c>
      <c r="W324" s="12" t="n">
        <v>0.888888888888889</v>
      </c>
      <c r="X324" s="11" t="n">
        <v>46161</v>
      </c>
      <c r="Y324" s="12" t="n">
        <v>0.909722222222222</v>
      </c>
      <c r="Z324" s="1" t="s">
        <v>108</v>
      </c>
      <c r="AA324" s="1" t="s">
        <v>68</v>
      </c>
      <c r="AB324" s="2" t="n">
        <v>0.0319444444444444</v>
      </c>
      <c r="AC324" s="14" t="n">
        <f aca="false">(V324+W324)-(B324+C324)</f>
        <v>7.90902777777778</v>
      </c>
      <c r="AD324" s="4" t="str">
        <f aca="false">INT((V324+W324)-(B324+C324)) &amp; ":" &amp;
TEXT(HOUR((V324+W324)-(B324+C324)), "00") &amp; ":" &amp;
TEXT(MINUTE((V324+W324)-(B324+C324)), "00")</f>
        <v>7:21:49</v>
      </c>
      <c r="AE324" s="1" t="n">
        <f aca="false">IFERROR(
LEFT(AD324,FIND(":",AD324)-1)
+ MID(AD324,FIND(":",AD324)+1,2)/24
+ RIGHT(AD324,2)/1440,
"")</f>
        <v>7.90902777777778</v>
      </c>
      <c r="AF324" s="4" t="str">
        <f aca="false">INT((X324+Y324)-(B324+C324)) &amp; ":" &amp;
TEXT(HOUR((X324+Y324)-(B324+C324)), "00") &amp; ":" &amp;
TEXT(MINUTE((X324+Y324)-(B324+C324)), "00")</f>
        <v>7:22:19</v>
      </c>
      <c r="AG324" s="4" t="str">
        <f aca="false" t="array" ref="AG324:AG324">INT(_xlfn.XLOOKUP(J324,{"Low","Medium","High","Urgent"},{48,24,12,8})/24) &amp; ":" &amp;
TEXT(MOD(_xlfn.XLOOKUP(J324,{"Low","Medium","High","Urgent"},{48,24,12,8}),24)/24,"hh:mm")</f>
        <v>2:00:00</v>
      </c>
      <c r="AH324" s="4" t="str">
        <f aca="false">IF(AD324&gt;AG324,"Not Met","Met")</f>
        <v>Not Met</v>
      </c>
      <c r="AI324" s="4" t="str">
        <f aca="false">IF(AB324&lt;TIME(0,30,0),"Met","Not Met")</f>
        <v>Not Met</v>
      </c>
      <c r="AN324" s="1" t="str">
        <f aca="false">TEXT(B324,"dd")</f>
        <v>11</v>
      </c>
      <c r="AO324" s="1" t="str">
        <f aca="false">TEXT(X324,"dd")</f>
        <v>19</v>
      </c>
      <c r="AP324" s="16" t="str">
        <f aca="false">INT(
  NETWORKDAYS(B324,V324)-1
  + IF(WEEKDAY(V324,2)&lt;6,MOD(V324+W324,1),0)
  - IF(WEEKDAY(B324,2)&lt;6,MOD(B324+C324,1),0)
)
&amp; ":" &amp;
TEXT(HOUR(
  NETWORKDAYS(B324,V324)-1
  + IF(WEEKDAY(V324,2)&lt;6,MOD(V324+W324,1),0)
  - IF(WEEKDAY(B324,2)&lt;6,MOD(B324+C324,1),0)
),"00")
&amp; ":" &amp;
TEXT(MINUTE(
  NETWORKDAYS(B324,V324)-1
  + IF(WEEKDAY(V324,2)&lt;6,MOD(V324+W324,1),0)
  - IF(WEEKDAY(B324,2)&lt;6,MOD(B324+C324,1),0)
),"00")</f>
        <v>5:21:49</v>
      </c>
      <c r="AQ324" s="0" t="n">
        <f aca="false">IFERROR(
LEFT(AP324,FIND(":",AP324)-1)
+ MID(AP324,FIND(":",AP324)+1,2)/24
+ RIGHT(AP324,2)/1440,
"")</f>
        <v>5.90902777777778</v>
      </c>
      <c r="AR324" s="0" t="n">
        <f aca="false">WEEKNUM(B324,1)</f>
        <v>20</v>
      </c>
      <c r="AS324" s="17" t="n">
        <f aca="false">IF(B324&gt;0, (B324+C324)-TIME(13,30,0), "")</f>
        <v>46153.4173611111</v>
      </c>
      <c r="AT324" s="18" t="n">
        <f aca="false">IF(B324&gt;0, (B324+C324)-TIME(13,30,0), "")</f>
        <v>46153.4173611111</v>
      </c>
      <c r="AU324" s="17" t="n">
        <f aca="false">IF(V324&gt;0, (V324+W324)-TIME(13,30,0), "")</f>
        <v>46161.3263888889</v>
      </c>
      <c r="AV324" s="18" t="n">
        <f aca="false">IF(V324&gt;0, (V324+W324)-TIME(13,30,0), "")</f>
        <v>46161.3263888889</v>
      </c>
      <c r="AW324" s="19" t="n">
        <f aca="false">24*(
MAX(0,
IF(NETWORKDAYS(AS324,AU324)=1,
MIN(MOD(AV324,1),TIME(17,30,0)) - MAX(MOD(AT324,1),TIME(8,30,0)),
(TIME(17,30,0)-MAX(MOD(AT324,1),TIME(8,30,0)))
+ (MIN(MOD(AV324,1),TIME(17,30,0))-TIME(8,30,0))
+ (NETWORKDAYS(AS324,AU324)-2)*9/24
)
)
)</f>
        <v>51.8166666666667</v>
      </c>
      <c r="AX324" s="19" t="n">
        <f aca="false">24*(
MAX(0,
IF(NETWORKDAYS(AS324,AU324)=1,
MIN(MOD(AV324,1),TIME(17,30,0)) - MAX(MOD(AT324,1),TIME(8,30,0)),
(TIME(17,30,0)-MAX(MOD(AT324,1),TIME(8,30,0)))
+ (MIN(MOD(AV324,1),TIME(17,30,0))-TIME(8,30,0))
+ (NETWORKDAYS(AS324,AU324)-2)* (TIME(17,30,0)-TIME(8,30,0))
)
)
)</f>
        <v>51.8166666666667</v>
      </c>
      <c r="AY324" s="20" t="n">
        <f aca="false">ROUND(
IF(AS324=AU324,
MAX(0,
(MIN(MOD(AV324,1),TIME(17,30,0))-
MAX(MOD(AT324,1),TIME(8,30,0)))*24
),
(
(MAX(0,TIME(17,30,0)-MAX(MOD(AT324,1),TIME(8,30,0)))*24)
+
(MAX(0,MIN(MOD(AV324,1),TIME(17,30,0))-TIME(8,30,0))*24)
+
(MAX(0,NETWORKDAYS(AS324+1,AU324-1))*9)
)
),
2)</f>
        <v>52.48</v>
      </c>
      <c r="AZ324" s="0" t="n">
        <f aca="false" t="array" ref="AZ324:AZ324">_xlfn.XLOOKUP(J324,{"Low","Medium","High"},{270,72,24})</f>
        <v>270</v>
      </c>
      <c r="BA324" s="0" t="str">
        <f aca="false">IF(AW324&gt;AZ324,"Not Met","Met")</f>
        <v>Met</v>
      </c>
      <c r="BB324" s="21" t="str">
        <f aca="false">IF(AS324="","",TEXT(AS324,"MMM")&amp;"'"&amp;TEXT(AS324,"yy"))</f>
        <v>May'26</v>
      </c>
      <c r="BC324" s="0" t="str">
        <f aca="false">IF(AU324="","",TEXT(AU324,"MMM")&amp;"'"&amp;TEXT(AU324,"yy"))</f>
        <v>May'26</v>
      </c>
    </row>
    <row r="325" customFormat="false" ht="15" hidden="false" customHeight="false" outlineLevel="0" collapsed="false">
      <c r="A325" s="23" t="s">
        <v>1102</v>
      </c>
      <c r="B325" s="24" t="n">
        <v>46154</v>
      </c>
      <c r="C325" s="12" t="n">
        <v>0.0319444444444444</v>
      </c>
      <c r="D325" s="13" t="str">
        <f aca="false">IF(B325="","",TEXT(B325,"MMM")&amp;"'"&amp;TEXT(B325,"yy"))</f>
        <v>May'26</v>
      </c>
      <c r="E325" s="1" t="s">
        <v>55</v>
      </c>
      <c r="F325" s="1" t="s">
        <v>39</v>
      </c>
      <c r="G325" s="1" t="str">
        <f aca="false">IF(F325="Closed","Closed","Pending")</f>
        <v>Closed</v>
      </c>
      <c r="H325" s="27" t="s">
        <v>157</v>
      </c>
      <c r="I325" s="1" t="s">
        <v>414</v>
      </c>
      <c r="J325" s="35" t="s">
        <v>74</v>
      </c>
      <c r="K325" s="1" t="s">
        <v>59</v>
      </c>
      <c r="L325" s="1" t="s">
        <v>1103</v>
      </c>
      <c r="M325" s="35" t="s">
        <v>1104</v>
      </c>
      <c r="N325" s="1" t="s">
        <v>65</v>
      </c>
      <c r="O325" s="1" t="s">
        <v>106</v>
      </c>
      <c r="Q325" s="1" t="s">
        <v>65</v>
      </c>
      <c r="R325" s="1" t="s">
        <v>87</v>
      </c>
      <c r="U325" s="12" t="n">
        <v>0.0368055555555556</v>
      </c>
      <c r="V325" s="11" t="n">
        <v>46155</v>
      </c>
      <c r="W325" s="12" t="n">
        <v>0.0444444444444444</v>
      </c>
      <c r="X325" s="11" t="n">
        <v>46161</v>
      </c>
      <c r="Y325" s="12" t="n">
        <v>0.946527777777778</v>
      </c>
      <c r="Z325" s="1" t="s">
        <v>67</v>
      </c>
      <c r="AA325" s="1" t="s">
        <v>68</v>
      </c>
      <c r="AB325" s="2" t="e">
        <f aca="false">U325-F325</f>
        <v>#VALUE!</v>
      </c>
      <c r="AC325" s="14" t="n">
        <f aca="false">(V325+W325)-(B325+C325)</f>
        <v>1.0125</v>
      </c>
      <c r="AD325" s="4" t="str">
        <f aca="false">INT((V325+W325)-(B325+C325)) &amp; ":" &amp;
TEXT(HOUR((V325+W325)-(B325+C325)), "00") &amp; ":" &amp;
TEXT(MINUTE((V325+W325)-(B325+C325)), "00")</f>
        <v>1:00:18</v>
      </c>
      <c r="AE325" s="1" t="n">
        <f aca="false">IFERROR(
LEFT(AD325,FIND(":",AD325)-1)
+ MID(AD325,FIND(":",AD325)+1,2)/24
+ RIGHT(AD325,2)/1440,
"")</f>
        <v>1.0125</v>
      </c>
      <c r="AF325" s="4" t="str">
        <f aca="false">INT((X325+Y325)-(B325+C325)) &amp; ":" &amp;
TEXT(HOUR((X325+Y325)-(B325+C325)), "00") &amp; ":" &amp;
TEXT(MINUTE((X325+Y325)-(B325+C325)), "00")</f>
        <v>7:21:57</v>
      </c>
      <c r="AG325" s="4" t="str">
        <f aca="false" t="array" ref="AG325:AG325">INT(_xlfn.XLOOKUP(J325,{"Low","Medium","High","Urgent"},{48,24,12,8})/24) &amp; ":" &amp;
TEXT(MOD(_xlfn.XLOOKUP(J325,{"Low","Medium","High","Urgent"},{48,24,12,8}),24)/24,"hh:mm")</f>
        <v>2:00:00</v>
      </c>
      <c r="AH325" s="4" t="str">
        <f aca="false">IF(AD325&gt;AG325,"Not Met","Met")</f>
        <v>Met</v>
      </c>
      <c r="AI325" s="4" t="e">
        <f aca="false">IF(AB325&lt;TIME(0,30,0),"Met","Not Met")</f>
        <v>#VALUE!</v>
      </c>
      <c r="AN325" s="1" t="str">
        <f aca="false">TEXT(B325,"dd")</f>
        <v>12</v>
      </c>
      <c r="AO325" s="1" t="str">
        <f aca="false">TEXT(X325,"dd")</f>
        <v>19</v>
      </c>
      <c r="AP325" s="16" t="str">
        <f aca="false">INT(
  NETWORKDAYS(B325,V325)-1
  + IF(WEEKDAY(V325,2)&lt;6,MOD(V325+W325,1),0)
  - IF(WEEKDAY(B325,2)&lt;6,MOD(B325+C325,1),0)
)
&amp; ":" &amp;
TEXT(HOUR(
  NETWORKDAYS(B325,V325)-1
  + IF(WEEKDAY(V325,2)&lt;6,MOD(V325+W325,1),0)
  - IF(WEEKDAY(B325,2)&lt;6,MOD(B325+C325,1),0)
),"00")
&amp; ":" &amp;
TEXT(MINUTE(
  NETWORKDAYS(B325,V325)-1
  + IF(WEEKDAY(V325,2)&lt;6,MOD(V325+W325,1),0)
  - IF(WEEKDAY(B325,2)&lt;6,MOD(B325+C325,1),0)
),"00")</f>
        <v>1:00:17</v>
      </c>
      <c r="AQ325" s="0" t="n">
        <f aca="false">IFERROR(
LEFT(AP325,FIND(":",AP325)-1)
+ MID(AP325,FIND(":",AP325)+1,2)/24
+ RIGHT(AP325,2)/1440,
"")</f>
        <v>1.01180555555556</v>
      </c>
      <c r="AR325" s="0" t="n">
        <f aca="false">WEEKNUM(B325,1)</f>
        <v>20</v>
      </c>
      <c r="AS325" s="17" t="n">
        <f aca="false">IF(B325&gt;0, (B325+C325)-TIME(13,30,0), "")</f>
        <v>46153.4694444445</v>
      </c>
      <c r="AT325" s="18" t="n">
        <f aca="false">IF(B325&gt;0, (B325+C325)-TIME(13,30,0), "")</f>
        <v>46153.4694444445</v>
      </c>
      <c r="AU325" s="17" t="n">
        <f aca="false">IF(V325&gt;0, (V325+W325)-TIME(13,30,0), "")</f>
        <v>46154.4819444444</v>
      </c>
      <c r="AV325" s="18" t="n">
        <f aca="false">IF(V325&gt;0, (V325+W325)-TIME(13,30,0), "")</f>
        <v>46154.4819444444</v>
      </c>
      <c r="AW325" s="19" t="n">
        <f aca="false">24*(
MAX(0,
IF(NETWORKDAYS(AS325,AU325)=1,
MIN(MOD(AV325,1),TIME(17,30,0)) - MAX(MOD(AT325,1),TIME(8,30,0)),
(TIME(17,30,0)-MAX(MOD(AT325,1),TIME(8,30,0)))
+ (MIN(MOD(AV325,1),TIME(17,30,0))-TIME(8,30,0))
+ (NETWORKDAYS(AS325,AU325)-2)*9/24
)
)
)</f>
        <v>9.3</v>
      </c>
      <c r="AX325" s="19" t="n">
        <f aca="false">24*(
MAX(0,
IF(NETWORKDAYS(AS325,AU325)=1,
MIN(MOD(AV325,1),TIME(17,30,0)) - MAX(MOD(AT325,1),TIME(8,30,0)),
(TIME(17,30,0)-MAX(MOD(AT325,1),TIME(8,30,0)))
+ (MIN(MOD(AV325,1),TIME(17,30,0))-TIME(8,30,0))
+ (NETWORKDAYS(AS325,AU325)-2)* (TIME(17,30,0)-TIME(8,30,0))
)
)
)</f>
        <v>9.3</v>
      </c>
      <c r="AY325" s="20" t="n">
        <f aca="false">ROUND(
IF(AS325=AU325,
MAX(0,
(MIN(MOD(AV325,1),TIME(17,30,0))-
MAX(MOD(AT325,1),TIME(8,30,0)))*24
),
(
(MAX(0,TIME(17,30,0)-MAX(MOD(AT325,1),TIME(8,30,0)))*24)
+
(MAX(0,MIN(MOD(AV325,1),TIME(17,30,0))-TIME(8,30,0))*24)
+
(MAX(0,NETWORKDAYS(AS325+1,AU325-1))*9)
)
),
2)</f>
        <v>9.3</v>
      </c>
      <c r="AZ325" s="0" t="n">
        <f aca="false" t="array" ref="AZ325:AZ325">_xlfn.XLOOKUP(J325,{"Low","Medium","High"},{270,72,24})</f>
        <v>270</v>
      </c>
      <c r="BA325" s="0" t="str">
        <f aca="false">IF(AW325&gt;AZ325,"Not Met","Met")</f>
        <v>Met</v>
      </c>
      <c r="BB325" s="21" t="str">
        <f aca="false">IF(AS325="","",TEXT(AS325,"MMM")&amp;"'"&amp;TEXT(AS325,"yy"))</f>
        <v>May'26</v>
      </c>
      <c r="BC325" s="0" t="str">
        <f aca="false">IF(AU325="","",TEXT(AU325,"MMM")&amp;"'"&amp;TEXT(AU325,"yy"))</f>
        <v>May'26</v>
      </c>
    </row>
    <row r="326" customFormat="false" ht="15" hidden="false" customHeight="false" outlineLevel="0" collapsed="false">
      <c r="A326" s="23" t="s">
        <v>1105</v>
      </c>
      <c r="B326" s="24" t="n">
        <v>46154</v>
      </c>
      <c r="C326" s="12" t="n">
        <v>0.0715277777777778</v>
      </c>
      <c r="D326" s="13" t="str">
        <f aca="false">IF(B326="","",TEXT(B326,"MMM")&amp;"'"&amp;TEXT(B326,"yy"))</f>
        <v>May'26</v>
      </c>
      <c r="E326" s="1" t="s">
        <v>55</v>
      </c>
      <c r="F326" s="1" t="s">
        <v>39</v>
      </c>
      <c r="G326" s="1" t="str">
        <f aca="false">IF(F326="Closed","Closed","Pending")</f>
        <v>Closed</v>
      </c>
      <c r="H326" s="27" t="s">
        <v>72</v>
      </c>
      <c r="I326" s="42" t="s">
        <v>73</v>
      </c>
      <c r="J326" s="35" t="s">
        <v>58</v>
      </c>
      <c r="K326" s="1" t="s">
        <v>59</v>
      </c>
      <c r="L326" s="1" t="s">
        <v>1106</v>
      </c>
      <c r="M326" s="35" t="s">
        <v>1107</v>
      </c>
      <c r="N326" s="1" t="s">
        <v>62</v>
      </c>
      <c r="O326" s="1" t="s">
        <v>63</v>
      </c>
      <c r="Q326" s="1" t="s">
        <v>229</v>
      </c>
      <c r="R326" s="1" t="s">
        <v>87</v>
      </c>
      <c r="S326" s="1" t="s">
        <v>289</v>
      </c>
      <c r="U326" s="12" t="n">
        <v>0.0895833333333333</v>
      </c>
      <c r="V326" s="11" t="n">
        <v>46156</v>
      </c>
      <c r="W326" s="12" t="n">
        <v>0.9</v>
      </c>
      <c r="X326" s="11" t="n">
        <v>46160</v>
      </c>
      <c r="Y326" s="12" t="n">
        <v>0.782638888888889</v>
      </c>
      <c r="Z326" s="1" t="s">
        <v>67</v>
      </c>
      <c r="AA326" s="1" t="s">
        <v>68</v>
      </c>
      <c r="AB326" s="2" t="e">
        <f aca="false">U326-F326</f>
        <v>#VALUE!</v>
      </c>
      <c r="AC326" s="14" t="n">
        <f aca="false">(V326+W326)-(B326+C326)</f>
        <v>2.82847222222222</v>
      </c>
      <c r="AD326" s="4" t="str">
        <f aca="false">INT((V326+W326)-(B326+C326)) &amp; ":" &amp;
TEXT(HOUR((V326+W326)-(B326+C326)), "00") &amp; ":" &amp;
TEXT(MINUTE((V326+W326)-(B326+C326)), "00")</f>
        <v>2:19:53</v>
      </c>
      <c r="AE326" s="1" t="n">
        <f aca="false">IFERROR(
LEFT(AD326,FIND(":",AD326)-1)
+ MID(AD326,FIND(":",AD326)+1,2)/24
+ RIGHT(AD326,2)/1440,
"")</f>
        <v>2.82847222222222</v>
      </c>
      <c r="AF326" s="4" t="str">
        <f aca="false">INT((X326+Y326)-(B326+C326)) &amp; ":" &amp;
TEXT(HOUR((X326+Y326)-(B326+C326)), "00") &amp; ":" &amp;
TEXT(MINUTE((X326+Y326)-(B326+C326)), "00")</f>
        <v>6:17:04</v>
      </c>
      <c r="AG326" s="4" t="str">
        <f aca="false" t="array" ref="AG326:AG326">INT(_xlfn.XLOOKUP(J326,{"Low","Medium","High","Urgent"},{48,24,12,8})/24) &amp; ":" &amp;
TEXT(MOD(_xlfn.XLOOKUP(J326,{"Low","Medium","High","Urgent"},{48,24,12,8}),24)/24,"hh:mm")</f>
        <v>1:00:00</v>
      </c>
      <c r="AH326" s="4" t="str">
        <f aca="false">IF(AD326&gt;AG326,"Not Met","Met")</f>
        <v>Not Met</v>
      </c>
      <c r="AI326" s="4" t="e">
        <f aca="false">IF(AB326&lt;TIME(0,30,0),"Met","Not Met")</f>
        <v>#VALUE!</v>
      </c>
      <c r="AN326" s="1" t="str">
        <f aca="false">TEXT(B326,"dd")</f>
        <v>12</v>
      </c>
      <c r="AO326" s="1" t="str">
        <f aca="false">TEXT(X326,"dd")</f>
        <v>18</v>
      </c>
      <c r="AP326" s="16" t="str">
        <f aca="false">INT(
  NETWORKDAYS(B326,V326)-1
  + IF(WEEKDAY(V326,2)&lt;6,MOD(V326+W326,1),0)
  - IF(WEEKDAY(B326,2)&lt;6,MOD(B326+C326,1),0)
)
&amp; ":" &amp;
TEXT(HOUR(
  NETWORKDAYS(B326,V326)-1
  + IF(WEEKDAY(V326,2)&lt;6,MOD(V326+W326,1),0)
  - IF(WEEKDAY(B326,2)&lt;6,MOD(B326+C326,1),0)
),"00")
&amp; ":" &amp;
TEXT(MINUTE(
  NETWORKDAYS(B326,V326)-1
  + IF(WEEKDAY(V326,2)&lt;6,MOD(V326+W326,1),0)
  - IF(WEEKDAY(B326,2)&lt;6,MOD(B326+C326,1),0)
),"00")</f>
        <v>2:19:53</v>
      </c>
      <c r="AQ326" s="0" t="n">
        <f aca="false">IFERROR(
LEFT(AP326,FIND(":",AP326)-1)
+ MID(AP326,FIND(":",AP326)+1,2)/24
+ RIGHT(AP326,2)/1440,
"")</f>
        <v>2.82847222222222</v>
      </c>
      <c r="AR326" s="0" t="n">
        <f aca="false">WEEKNUM(B326,1)</f>
        <v>20</v>
      </c>
      <c r="AS326" s="17" t="n">
        <f aca="false">IF(B326&gt;0, (B326+C326)-TIME(13,30,0), "")</f>
        <v>46153.5090277778</v>
      </c>
      <c r="AT326" s="18" t="n">
        <f aca="false">IF(B326&gt;0, (B326+C326)-TIME(13,30,0), "")</f>
        <v>46153.5090277778</v>
      </c>
      <c r="AU326" s="17" t="n">
        <f aca="false">IF(V326&gt;0, (V326+W326)-TIME(13,30,0), "")</f>
        <v>46156.3375</v>
      </c>
      <c r="AV326" s="18" t="n">
        <f aca="false">IF(V326&gt;0, (V326+W326)-TIME(13,30,0), "")</f>
        <v>46156.3375</v>
      </c>
      <c r="AW326" s="19" t="n">
        <f aca="false">24*(
MAX(0,
IF(NETWORKDAYS(AS326,AU326)=1,
MIN(MOD(AV326,1),TIME(17,30,0)) - MAX(MOD(AT326,1),TIME(8,30,0)),
(TIME(17,30,0)-MAX(MOD(AT326,1),TIME(8,30,0)))
+ (MIN(MOD(AV326,1),TIME(17,30,0))-TIME(8,30,0))
+ (NETWORKDAYS(AS326,AU326)-2)*9/24
)
)
)</f>
        <v>22.8833333333333</v>
      </c>
      <c r="AX326" s="19" t="n">
        <f aca="false">24*(
MAX(0,
IF(NETWORKDAYS(AS326,AU326)=1,
MIN(MOD(AV326,1),TIME(17,30,0)) - MAX(MOD(AT326,1),TIME(8,30,0)),
(TIME(17,30,0)-MAX(MOD(AT326,1),TIME(8,30,0)))
+ (MIN(MOD(AV326,1),TIME(17,30,0))-TIME(8,30,0))
+ (NETWORKDAYS(AS326,AU326)-2)* (TIME(17,30,0)-TIME(8,30,0))
)
)
)</f>
        <v>22.8833333333333</v>
      </c>
      <c r="AY326" s="20" t="n">
        <f aca="false">ROUND(
IF(AS326=AU326,
MAX(0,
(MIN(MOD(AV326,1),TIME(17,30,0))-
MAX(MOD(AT326,1),TIME(8,30,0)))*24
),
(
(MAX(0,TIME(17,30,0)-MAX(MOD(AT326,1),TIME(8,30,0)))*24)
+
(MAX(0,MIN(MOD(AV326,1),TIME(17,30,0))-TIME(8,30,0))*24)
+
(MAX(0,NETWORKDAYS(AS326+1,AU326-1))*9)
)
),
2)</f>
        <v>23.28</v>
      </c>
      <c r="AZ326" s="0" t="n">
        <f aca="false" t="array" ref="AZ326:AZ326">_xlfn.XLOOKUP(J326,{"Low","Medium","High"},{270,72,24})</f>
        <v>72</v>
      </c>
      <c r="BA326" s="0" t="str">
        <f aca="false">IF(AW326&gt;AZ326,"Not Met","Met")</f>
        <v>Met</v>
      </c>
      <c r="BB326" s="21" t="str">
        <f aca="false">IF(AS326="","",TEXT(AS326,"MMM")&amp;"'"&amp;TEXT(AS326,"yy"))</f>
        <v>May'26</v>
      </c>
      <c r="BC326" s="0" t="str">
        <f aca="false">IF(AU326="","",TEXT(AU326,"MMM")&amp;"'"&amp;TEXT(AU326,"yy"))</f>
        <v>May'26</v>
      </c>
    </row>
    <row r="327" customFormat="false" ht="15" hidden="false" customHeight="false" outlineLevel="0" collapsed="false">
      <c r="A327" s="29" t="s">
        <v>1108</v>
      </c>
      <c r="B327" s="60" t="n">
        <v>46154</v>
      </c>
      <c r="C327" s="37" t="n">
        <v>0.870138888888889</v>
      </c>
      <c r="D327" s="13" t="str">
        <f aca="false">IF(B327="","",TEXT(B327,"MMM")&amp;"'"&amp;TEXT(B327,"yy"))</f>
        <v>May'26</v>
      </c>
      <c r="E327" s="1" t="s">
        <v>55</v>
      </c>
      <c r="F327" s="29" t="s">
        <v>39</v>
      </c>
      <c r="G327" s="1" t="str">
        <f aca="false">IF(F327="Closed","Closed","Pending")</f>
        <v>Closed</v>
      </c>
      <c r="H327" s="55" t="s">
        <v>1109</v>
      </c>
      <c r="I327" s="1" t="s">
        <v>1110</v>
      </c>
      <c r="J327" s="35" t="s">
        <v>74</v>
      </c>
      <c r="K327" s="1" t="s">
        <v>59</v>
      </c>
      <c r="L327" s="29" t="s">
        <v>1111</v>
      </c>
      <c r="M327" s="1" t="s">
        <v>1112</v>
      </c>
      <c r="N327" s="1" t="s">
        <v>62</v>
      </c>
      <c r="O327" s="1" t="s">
        <v>63</v>
      </c>
      <c r="Q327" s="1" t="s">
        <v>63</v>
      </c>
      <c r="R327" s="1" t="s">
        <v>87</v>
      </c>
      <c r="U327" s="12" t="n">
        <v>0.882638888888889</v>
      </c>
      <c r="V327" s="11" t="n">
        <v>46177</v>
      </c>
      <c r="W327" s="12" t="n">
        <v>0.878472222222222</v>
      </c>
      <c r="X327" s="11" t="n">
        <v>46185</v>
      </c>
      <c r="Y327" s="12" t="n">
        <v>0.925694444444445</v>
      </c>
      <c r="Z327" s="1" t="s">
        <v>67</v>
      </c>
      <c r="AB327" s="2" t="e">
        <f aca="false">U327-F327</f>
        <v>#VALUE!</v>
      </c>
      <c r="AC327" s="14" t="n">
        <f aca="false">(V327+W327)-(B327+C327)</f>
        <v>23.0083333333333</v>
      </c>
      <c r="AD327" s="4" t="str">
        <f aca="false">INT((V327+W327)-(B327+C327)) &amp; ":" &amp;
TEXT(HOUR((V327+W327)-(B327+C327)), "00") &amp; ":" &amp;
TEXT(MINUTE((V327+W327)-(B327+C327)), "00")</f>
        <v>23:00:12</v>
      </c>
      <c r="AE327" s="1" t="n">
        <f aca="false">IFERROR(
LEFT(AD327,FIND(":",AD327)-1)
+ MID(AD327,FIND(":",AD327)+1,2)/24
+ RIGHT(AD327,2)/1440,
"")</f>
        <v>23.0083333333333</v>
      </c>
      <c r="AF327" s="4" t="str">
        <f aca="false">INT((X327+Y327)-(B327+C327)) &amp; ":" &amp;
TEXT(HOUR((X327+Y327)-(B327+C327)), "00") &amp; ":" &amp;
TEXT(MINUTE((X327+Y327)-(B327+C327)), "00")</f>
        <v>31:01:20</v>
      </c>
      <c r="AG327" s="4" t="str">
        <f aca="false" t="array" ref="AG327:AG327">INT(_xlfn.XLOOKUP(J327,{"Low","Medium","High","Urgent"},{48,24,12,8})/24) &amp; ":" &amp;
TEXT(MOD(_xlfn.XLOOKUP(J327,{"Low","Medium","High","Urgent"},{48,24,12,8}),24)/24,"hh:mm")</f>
        <v>2:00:00</v>
      </c>
      <c r="AH327" s="4" t="str">
        <f aca="false">IF(AD327&gt;AG327,"Not Met","Met")</f>
        <v>Not Met</v>
      </c>
      <c r="AI327" s="4" t="e">
        <f aca="false">IF(AB327&lt;TIME(0,30,0),"Met","Not Met")</f>
        <v>#VALUE!</v>
      </c>
      <c r="AN327" s="1" t="str">
        <f aca="false">TEXT(B327,"dd")</f>
        <v>12</v>
      </c>
      <c r="AO327" s="1" t="str">
        <f aca="false">TEXT(X327,"dd")</f>
        <v>12</v>
      </c>
      <c r="AP327" s="16" t="str">
        <f aca="false">INT(
  NETWORKDAYS(B327,V327)-1
  + IF(WEEKDAY(V327,2)&lt;6,MOD(V327+W327,1),0)
  - IF(WEEKDAY(B327,2)&lt;6,MOD(B327+C327,1),0)
)
&amp; ":" &amp;
TEXT(HOUR(
  NETWORKDAYS(B327,V327)-1
  + IF(WEEKDAY(V327,2)&lt;6,MOD(V327+W327,1),0)
  - IF(WEEKDAY(B327,2)&lt;6,MOD(B327+C327,1),0)
),"00")
&amp; ":" &amp;
TEXT(MINUTE(
  NETWORKDAYS(B327,V327)-1
  + IF(WEEKDAY(V327,2)&lt;6,MOD(V327+W327,1),0)
  - IF(WEEKDAY(B327,2)&lt;6,MOD(B327+C327,1),0)
),"00")</f>
        <v>17:00:11</v>
      </c>
      <c r="AQ327" s="0" t="n">
        <f aca="false">IFERROR(
LEFT(AP327,FIND(":",AP327)-1)
+ MID(AP327,FIND(":",AP327)+1,2)/24
+ RIGHT(AP327,2)/1440,
"")</f>
        <v>17.0076388888889</v>
      </c>
      <c r="AR327" s="0" t="n">
        <f aca="false">WEEKNUM(B327,1)</f>
        <v>20</v>
      </c>
      <c r="AS327" s="17" t="n">
        <f aca="false">IF(B327&gt;0, (B327+C327)-TIME(13,30,0), "")</f>
        <v>46154.3076388889</v>
      </c>
      <c r="AT327" s="18" t="n">
        <f aca="false">IF(B327&gt;0, (B327+C327)-TIME(13,30,0), "")</f>
        <v>46154.3076388889</v>
      </c>
      <c r="AU327" s="17" t="n">
        <f aca="false">IF(V327&gt;0, (V327+W327)-TIME(13,30,0), "")</f>
        <v>46177.3159722222</v>
      </c>
      <c r="AV327" s="18" t="n">
        <f aca="false">IF(V327&gt;0, (V327+W327)-TIME(13,30,0), "")</f>
        <v>46177.3159722222</v>
      </c>
      <c r="AW327" s="19" t="n">
        <f aca="false">24*(
MAX(0,
IF(NETWORKDAYS(AS327,AU327)=1,
MIN(MOD(AV327,1),TIME(17,30,0)) - MAX(MOD(AT327,1),TIME(8,30,0)),
(TIME(17,30,0)-MAX(MOD(AT327,1),TIME(8,30,0)))
+ (MIN(MOD(AV327,1),TIME(17,30,0))-TIME(8,30,0))
+ (NETWORKDAYS(AS327,AU327)-2)*9/24
)
)
)</f>
        <v>152.083333333333</v>
      </c>
      <c r="AX327" s="19" t="n">
        <f aca="false">24*(
MAX(0,
IF(NETWORKDAYS(AS327,AU327)=1,
MIN(MOD(AV327,1),TIME(17,30,0)) - MAX(MOD(AT327,1),TIME(8,30,0)),
(TIME(17,30,0)-MAX(MOD(AT327,1),TIME(8,30,0)))
+ (MIN(MOD(AV327,1),TIME(17,30,0))-TIME(8,30,0))
+ (NETWORKDAYS(AS327,AU327)-2)* (TIME(17,30,0)-TIME(8,30,0))
)
)
)</f>
        <v>152.083333333333</v>
      </c>
      <c r="AY327" s="20" t="n">
        <f aca="false">ROUND(
IF(AS327=AU327,
MAX(0,
(MIN(MOD(AV327,1),TIME(17,30,0))-
MAX(MOD(AT327,1),TIME(8,30,0)))*24
),
(
(MAX(0,TIME(17,30,0)-MAX(MOD(AT327,1),TIME(8,30,0)))*24)
+
(MAX(0,MIN(MOD(AV327,1),TIME(17,30,0))-TIME(8,30,0))*24)
+
(MAX(0,NETWORKDAYS(AS327+1,AU327-1))*9)
)
),
2)</f>
        <v>153</v>
      </c>
      <c r="AZ327" s="0" t="n">
        <f aca="false" t="array" ref="AZ327:AZ327">_xlfn.XLOOKUP(J327,{"Low","Medium","High"},{270,72,24})</f>
        <v>270</v>
      </c>
      <c r="BA327" s="0" t="str">
        <f aca="false">IF(AW327&gt;AZ327,"Not Met","Met")</f>
        <v>Met</v>
      </c>
      <c r="BB327" s="21" t="str">
        <f aca="false">IF(AS327="","",TEXT(AS327,"MMM")&amp;"'"&amp;TEXT(AS327,"yy"))</f>
        <v>May'26</v>
      </c>
      <c r="BC327" s="0" t="str">
        <f aca="false">IF(AU327="","",TEXT(AU327,"MMM")&amp;"'"&amp;TEXT(AU327,"yy"))</f>
        <v>Jun'26</v>
      </c>
    </row>
    <row r="328" customFormat="false" ht="15" hidden="false" customHeight="false" outlineLevel="0" collapsed="false">
      <c r="A328" s="1" t="s">
        <v>1113</v>
      </c>
      <c r="B328" s="11" t="n">
        <v>46154</v>
      </c>
      <c r="C328" s="12" t="n">
        <v>0.939583333333333</v>
      </c>
      <c r="D328" s="13" t="str">
        <f aca="false">IF(B328="","",TEXT(B328,"MMM")&amp;"'"&amp;TEXT(B328,"yy"))</f>
        <v>May'26</v>
      </c>
      <c r="E328" s="1" t="s">
        <v>55</v>
      </c>
      <c r="F328" s="1" t="s">
        <v>39</v>
      </c>
      <c r="G328" s="1" t="str">
        <f aca="false">IF(F328="Closed","Closed","Pending")</f>
        <v>Closed</v>
      </c>
      <c r="H328" s="27" t="s">
        <v>263</v>
      </c>
      <c r="I328" s="1" t="s">
        <v>639</v>
      </c>
      <c r="J328" s="35" t="s">
        <v>74</v>
      </c>
      <c r="K328" s="1" t="s">
        <v>59</v>
      </c>
      <c r="L328" s="1" t="s">
        <v>1114</v>
      </c>
      <c r="M328" s="1" t="s">
        <v>1115</v>
      </c>
      <c r="N328" s="1" t="s">
        <v>143</v>
      </c>
      <c r="O328" s="1" t="s">
        <v>143</v>
      </c>
      <c r="Q328" s="1" t="s">
        <v>143</v>
      </c>
      <c r="R328" s="1" t="s">
        <v>66</v>
      </c>
      <c r="U328" s="12" t="n">
        <v>0.941666666666667</v>
      </c>
      <c r="V328" s="11" t="n">
        <v>46203</v>
      </c>
      <c r="W328" s="12" t="n">
        <v>0.142361111111111</v>
      </c>
      <c r="X328" s="11" t="n">
        <v>46203</v>
      </c>
      <c r="Y328" s="12" t="n">
        <v>0.142361111111111</v>
      </c>
      <c r="Z328" s="1" t="s">
        <v>67</v>
      </c>
      <c r="AA328" s="1" t="s">
        <v>68</v>
      </c>
      <c r="AB328" s="2" t="e">
        <f aca="false">U328-F328</f>
        <v>#VALUE!</v>
      </c>
      <c r="AC328" s="14" t="n">
        <f aca="false">(V328+W328)-(B328+C328)</f>
        <v>48.2027777777778</v>
      </c>
      <c r="AD328" s="4" t="str">
        <f aca="false">INT((V328+W328)-(B328+C328)) &amp; ":" &amp;
TEXT(HOUR((V328+W328)-(B328+C328)), "00") &amp; ":" &amp;
TEXT(MINUTE((V328+W328)-(B328+C328)), "00")</f>
        <v>48:04:52</v>
      </c>
      <c r="AE328" s="1" t="n">
        <f aca="false">IFERROR(
LEFT(AD328,FIND(":",AD328)-1)
+ MID(AD328,FIND(":",AD328)+1,2)/24
+ RIGHT(AD328,2)/1440,
"")</f>
        <v>48.2027777777778</v>
      </c>
      <c r="AF328" s="4" t="str">
        <f aca="false">INT((X328+Y328)-(B328+C328)) &amp; ":" &amp;
TEXT(HOUR((X328+Y328)-(B328+C328)), "00") &amp; ":" &amp;
TEXT(MINUTE((X328+Y328)-(B328+C328)), "00")</f>
        <v>48:04:52</v>
      </c>
      <c r="AG328" s="4" t="str">
        <f aca="false" t="array" ref="AG328:AG328">INT(_xlfn.XLOOKUP(J328,{"Low","Medium","High","Urgent"},{48,24,12,8})/24) &amp; ":" &amp;
TEXT(MOD(_xlfn.XLOOKUP(J328,{"Low","Medium","High","Urgent"},{48,24,12,8}),24)/24,"hh:mm")</f>
        <v>2:00:00</v>
      </c>
      <c r="AH328" s="4" t="str">
        <f aca="false">IF(AD328&gt;AG328,"Not Met","Met")</f>
        <v>Not Met</v>
      </c>
      <c r="AI328" s="4" t="e">
        <f aca="false">IF(AB328&lt;TIME(0,30,0),"Met","Not Met")</f>
        <v>#VALUE!</v>
      </c>
      <c r="AN328" s="1" t="str">
        <f aca="false">TEXT(B328,"dd")</f>
        <v>12</v>
      </c>
      <c r="AO328" s="1" t="str">
        <f aca="false">TEXT(X328,"dd")</f>
        <v>30</v>
      </c>
      <c r="AP328" s="16" t="str">
        <f aca="false">INT(
  NETWORKDAYS(B328,V328)-1
  + IF(WEEKDAY(V328,2)&lt;6,MOD(V328+W328,1),0)
  - IF(WEEKDAY(B328,2)&lt;6,MOD(B328+C328,1),0)
)
&amp; ":" &amp;
TEXT(HOUR(
  NETWORKDAYS(B328,V328)-1
  + IF(WEEKDAY(V328,2)&lt;6,MOD(V328+W328,1),0)
  - IF(WEEKDAY(B328,2)&lt;6,MOD(B328+C328,1),0)
),"00")
&amp; ":" &amp;
TEXT(MINUTE(
  NETWORKDAYS(B328,V328)-1
  + IF(WEEKDAY(V328,2)&lt;6,MOD(V328+W328,1),0)
  - IF(WEEKDAY(B328,2)&lt;6,MOD(B328+C328,1),0)
),"00")</f>
        <v>34:04:51</v>
      </c>
      <c r="AQ328" s="0" t="n">
        <f aca="false">IFERROR(
LEFT(AP328,FIND(":",AP328)-1)
+ MID(AP328,FIND(":",AP328)+1,2)/24
+ RIGHT(AP328,2)/1440,
"")</f>
        <v>34.2020833333333</v>
      </c>
      <c r="AR328" s="0" t="n">
        <f aca="false">WEEKNUM(B328,1)</f>
        <v>20</v>
      </c>
      <c r="AS328" s="17" t="n">
        <f aca="false">IF(B328&gt;0, (B328+C328)-TIME(13,30,0), "")</f>
        <v>46154.3770833333</v>
      </c>
      <c r="AT328" s="18" t="n">
        <f aca="false">IF(B328&gt;0, (B328+C328)-TIME(13,30,0), "")</f>
        <v>46154.3770833333</v>
      </c>
      <c r="AU328" s="17" t="n">
        <f aca="false">IF(V328&gt;0, (V328+W328)-TIME(13,30,0), "")</f>
        <v>46202.5798611111</v>
      </c>
      <c r="AV328" s="18" t="n">
        <f aca="false">IF(V328&gt;0, (V328+W328)-TIME(13,30,0), "")</f>
        <v>46202.5798611111</v>
      </c>
      <c r="AW328" s="19" t="n">
        <f aca="false">24*(
MAX(0,
IF(NETWORKDAYS(AS328,AU328)=1,
MIN(MOD(AV328,1),TIME(17,30,0)) - MAX(MOD(AT328,1),TIME(8,30,0)),
(TIME(17,30,0)-MAX(MOD(AT328,1),TIME(8,30,0)))
+ (MIN(MOD(AV328,1),TIME(17,30,0))-TIME(8,30,0))
+ (NETWORKDAYS(AS328,AU328)-2)*9/24
)
)
)</f>
        <v>310.866666666667</v>
      </c>
      <c r="AX328" s="19" t="n">
        <f aca="false">24*(
MAX(0,
IF(NETWORKDAYS(AS328,AU328)=1,
MIN(MOD(AV328,1),TIME(17,30,0)) - MAX(MOD(AT328,1),TIME(8,30,0)),
(TIME(17,30,0)-MAX(MOD(AT328,1),TIME(8,30,0)))
+ (MIN(MOD(AV328,1),TIME(17,30,0))-TIME(8,30,0))
+ (NETWORKDAYS(AS328,AU328)-2)* (TIME(17,30,0)-TIME(8,30,0))
)
)
)</f>
        <v>310.866666666667</v>
      </c>
      <c r="AY328" s="20" t="n">
        <f aca="false">ROUND(
IF(AS328=AU328,
MAX(0,
(MIN(MOD(AV328,1),TIME(17,30,0))-
MAX(MOD(AT328,1),TIME(8,30,0)))*24
),
(
(MAX(0,TIME(17,30,0)-MAX(MOD(AT328,1),TIME(8,30,0)))*24)
+
(MAX(0,MIN(MOD(AV328,1),TIME(17,30,0))-TIME(8,30,0))*24)
+
(MAX(0,NETWORKDAYS(AS328+1,AU328-1))*9)
)
),
2)</f>
        <v>310.87</v>
      </c>
      <c r="AZ328" s="0" t="n">
        <f aca="false" t="array" ref="AZ328:AZ328">_xlfn.XLOOKUP(J328,{"Low","Medium","High"},{270,72,24})</f>
        <v>270</v>
      </c>
      <c r="BA328" s="0" t="str">
        <f aca="false">IF(AW328&gt;AZ328,"Not Met","Met")</f>
        <v>Not Met</v>
      </c>
      <c r="BB328" s="21" t="str">
        <f aca="false">IF(AS328="","",TEXT(AS328,"MMM")&amp;"'"&amp;TEXT(AS328,"yy"))</f>
        <v>May'26</v>
      </c>
      <c r="BC328" s="0" t="str">
        <f aca="false">IF(AU328="","",TEXT(AU328,"MMM")&amp;"'"&amp;TEXT(AU328,"yy"))</f>
        <v>Jun'26</v>
      </c>
    </row>
    <row r="329" customFormat="false" ht="15" hidden="false" customHeight="false" outlineLevel="0" collapsed="false">
      <c r="A329" s="1" t="s">
        <v>1116</v>
      </c>
      <c r="B329" s="11" t="n">
        <v>46155</v>
      </c>
      <c r="C329" s="12" t="n">
        <v>0.106944444444444</v>
      </c>
      <c r="D329" s="13" t="str">
        <f aca="false">IF(B329="","",TEXT(B329,"MMM")&amp;"'"&amp;TEXT(B329,"yy"))</f>
        <v>May'26</v>
      </c>
      <c r="E329" s="1" t="s">
        <v>55</v>
      </c>
      <c r="F329" s="1" t="s">
        <v>39</v>
      </c>
      <c r="G329" s="1" t="str">
        <f aca="false">IF(F329="Closed","Closed","Pending")</f>
        <v>Closed</v>
      </c>
      <c r="H329" s="1" t="s">
        <v>81</v>
      </c>
      <c r="I329" s="42" t="s">
        <v>82</v>
      </c>
      <c r="J329" s="1" t="s">
        <v>74</v>
      </c>
      <c r="K329" s="1" t="s">
        <v>59</v>
      </c>
      <c r="L329" s="1" t="s">
        <v>559</v>
      </c>
      <c r="M329" s="1" t="s">
        <v>752</v>
      </c>
      <c r="N329" s="1" t="s">
        <v>65</v>
      </c>
      <c r="O329" s="1" t="s">
        <v>106</v>
      </c>
      <c r="Q329" s="1" t="s">
        <v>65</v>
      </c>
      <c r="R329" s="1" t="s">
        <v>490</v>
      </c>
      <c r="U329" s="12" t="n">
        <v>0.108333333333333</v>
      </c>
      <c r="V329" s="11" t="n">
        <v>46160</v>
      </c>
      <c r="W329" s="12" t="n">
        <v>0.865277777777778</v>
      </c>
      <c r="X329" s="11" t="n">
        <v>46160</v>
      </c>
      <c r="Y329" s="12" t="n">
        <v>0.877777777777778</v>
      </c>
      <c r="Z329" s="1" t="s">
        <v>67</v>
      </c>
      <c r="AA329" s="1" t="s">
        <v>68</v>
      </c>
      <c r="AB329" s="2" t="e">
        <f aca="false">U329-F329</f>
        <v>#VALUE!</v>
      </c>
      <c r="AC329" s="14" t="n">
        <f aca="false">(V329+W329)-(B329+C329)</f>
        <v>5.75833333333333</v>
      </c>
      <c r="AD329" s="4" t="str">
        <f aca="false">INT((V329+W329)-(B329+C329)) &amp; ":" &amp;
TEXT(HOUR((V329+W329)-(B329+C329)), "00") &amp; ":" &amp;
TEXT(MINUTE((V329+W329)-(B329+C329)), "00")</f>
        <v>5:18:12</v>
      </c>
      <c r="AE329" s="1" t="n">
        <f aca="false">IFERROR(
LEFT(AD329,FIND(":",AD329)-1)
+ MID(AD329,FIND(":",AD329)+1,2)/24
+ RIGHT(AD329,2)/1440,
"")</f>
        <v>5.75833333333333</v>
      </c>
      <c r="AF329" s="4" t="str">
        <f aca="false">INT((X329+Y329)-(B329+C329)) &amp; ":" &amp;
TEXT(HOUR((X329+Y329)-(B329+C329)), "00") &amp; ":" &amp;
TEXT(MINUTE((X329+Y329)-(B329+C329)), "00")</f>
        <v>5:18:30</v>
      </c>
      <c r="AG329" s="4" t="str">
        <f aca="false" t="array" ref="AG329:AG329">INT(_xlfn.XLOOKUP(J329,{"Low","Medium","High","Urgent"},{48,24,12,8})/24) &amp; ":" &amp;
TEXT(MOD(_xlfn.XLOOKUP(J329,{"Low","Medium","High","Urgent"},{48,24,12,8}),24)/24,"hh:mm")</f>
        <v>2:00:00</v>
      </c>
      <c r="AH329" s="4" t="str">
        <f aca="false">IF(AD329&gt;AG329,"Not Met","Met")</f>
        <v>Not Met</v>
      </c>
      <c r="AI329" s="4" t="e">
        <f aca="false">IF(AB329&lt;TIME(0,30,0),"Met","Not Met")</f>
        <v>#VALUE!</v>
      </c>
      <c r="AN329" s="1" t="str">
        <f aca="false">TEXT(B329,"dd")</f>
        <v>13</v>
      </c>
      <c r="AO329" s="1" t="str">
        <f aca="false">TEXT(X329,"dd")</f>
        <v>18</v>
      </c>
      <c r="AP329" s="16" t="str">
        <f aca="false">INT(
  NETWORKDAYS(B329,V329)-1
  + IF(WEEKDAY(V329,2)&lt;6,MOD(V329+W329,1),0)
  - IF(WEEKDAY(B329,2)&lt;6,MOD(B329+C329,1),0)
)
&amp; ":" &amp;
TEXT(HOUR(
  NETWORKDAYS(B329,V329)-1
  + IF(WEEKDAY(V329,2)&lt;6,MOD(V329+W329,1),0)
  - IF(WEEKDAY(B329,2)&lt;6,MOD(B329+C329,1),0)
),"00")
&amp; ":" &amp;
TEXT(MINUTE(
  NETWORKDAYS(B329,V329)-1
  + IF(WEEKDAY(V329,2)&lt;6,MOD(V329+W329,1),0)
  - IF(WEEKDAY(B329,2)&lt;6,MOD(B329+C329,1),0)
),"00")</f>
        <v>3:18:11</v>
      </c>
      <c r="AQ329" s="0" t="n">
        <f aca="false">IFERROR(
LEFT(AP329,FIND(":",AP329)-1)
+ MID(AP329,FIND(":",AP329)+1,2)/24
+ RIGHT(AP329,2)/1440,
"")</f>
        <v>3.75763888888889</v>
      </c>
      <c r="AR329" s="0" t="n">
        <f aca="false">WEEKNUM(B329,1)</f>
        <v>20</v>
      </c>
      <c r="AS329" s="17" t="n">
        <f aca="false">IF(B329&gt;0, (B329+C329)-TIME(13,30,0), "")</f>
        <v>46154.5444444444</v>
      </c>
      <c r="AT329" s="18" t="n">
        <f aca="false">IF(B329&gt;0, (B329+C329)-TIME(13,30,0), "")</f>
        <v>46154.5444444444</v>
      </c>
      <c r="AU329" s="17" t="n">
        <f aca="false">IF(V329&gt;0, (V329+W329)-TIME(13,30,0), "")</f>
        <v>46160.3027777778</v>
      </c>
      <c r="AV329" s="18" t="n">
        <f aca="false">IF(V329&gt;0, (V329+W329)-TIME(13,30,0), "")</f>
        <v>46160.3027777778</v>
      </c>
      <c r="AW329" s="19" t="n">
        <f aca="false">24*(
MAX(0,
IF(NETWORKDAYS(AS329,AU329)=1,
MIN(MOD(AV329,1),TIME(17,30,0)) - MAX(MOD(AT329,1),TIME(8,30,0)),
(TIME(17,30,0)-MAX(MOD(AT329,1),TIME(8,30,0)))
+ (MIN(MOD(AV329,1),TIME(17,30,0))-TIME(8,30,0))
+ (NETWORKDAYS(AS329,AU329)-2)*9/24
)
)
)</f>
        <v>30.2</v>
      </c>
      <c r="AX329" s="19" t="n">
        <f aca="false">24*(
MAX(0,
IF(NETWORKDAYS(AS329,AU329)=1,
MIN(MOD(AV329,1),TIME(17,30,0)) - MAX(MOD(AT329,1),TIME(8,30,0)),
(TIME(17,30,0)-MAX(MOD(AT329,1),TIME(8,30,0)))
+ (MIN(MOD(AV329,1),TIME(17,30,0))-TIME(8,30,0))
+ (NETWORKDAYS(AS329,AU329)-2)* (TIME(17,30,0)-TIME(8,30,0))
)
)
)</f>
        <v>30.2</v>
      </c>
      <c r="AY329" s="20" t="n">
        <f aca="false">ROUND(
IF(AS329=AU329,
MAX(0,
(MIN(MOD(AV329,1),TIME(17,30,0))-
MAX(MOD(AT329,1),TIME(8,30,0)))*24
),
(
(MAX(0,TIME(17,30,0)-MAX(MOD(AT329,1),TIME(8,30,0)))*24)
+
(MAX(0,MIN(MOD(AV329,1),TIME(17,30,0))-TIME(8,30,0))*24)
+
(MAX(0,NETWORKDAYS(AS329+1,AU329-1))*9)
)
),
2)</f>
        <v>31.43</v>
      </c>
      <c r="AZ329" s="0" t="n">
        <f aca="false" t="array" ref="AZ329:AZ329">_xlfn.XLOOKUP(J329,{"Low","Medium","High"},{270,72,24})</f>
        <v>270</v>
      </c>
      <c r="BA329" s="0" t="str">
        <f aca="false">IF(AW329&gt;AZ329,"Not Met","Met")</f>
        <v>Met</v>
      </c>
      <c r="BB329" s="21" t="str">
        <f aca="false">IF(AS329="","",TEXT(AS329,"MMM")&amp;"'"&amp;TEXT(AS329,"yy"))</f>
        <v>May'26</v>
      </c>
      <c r="BC329" s="0" t="str">
        <f aca="false">IF(AU329="","",TEXT(AU329,"MMM")&amp;"'"&amp;TEXT(AU329,"yy"))</f>
        <v>May'26</v>
      </c>
    </row>
    <row r="330" customFormat="false" ht="15" hidden="false" customHeight="false" outlineLevel="0" collapsed="false">
      <c r="A330" s="1" t="s">
        <v>1117</v>
      </c>
      <c r="B330" s="11" t="n">
        <v>46155</v>
      </c>
      <c r="C330" s="12" t="n">
        <v>0.859027777777778</v>
      </c>
      <c r="D330" s="13" t="str">
        <f aca="false">IF(B330="","",TEXT(B330,"MMM")&amp;"'"&amp;TEXT(B330,"yy"))</f>
        <v>May'26</v>
      </c>
      <c r="E330" s="1" t="s">
        <v>55</v>
      </c>
      <c r="F330" s="1" t="s">
        <v>140</v>
      </c>
      <c r="G330" s="1" t="str">
        <f aca="false">IF(F330="Closed","Closed","Pending")</f>
        <v>Pending</v>
      </c>
      <c r="H330" s="27" t="s">
        <v>263</v>
      </c>
      <c r="I330" s="1" t="s">
        <v>639</v>
      </c>
      <c r="J330" s="35" t="s">
        <v>74</v>
      </c>
      <c r="K330" s="1" t="s">
        <v>59</v>
      </c>
      <c r="L330" s="1" t="s">
        <v>1118</v>
      </c>
      <c r="M330" s="1" t="s">
        <v>1119</v>
      </c>
      <c r="N330" s="1" t="s">
        <v>143</v>
      </c>
      <c r="O330" s="1" t="s">
        <v>77</v>
      </c>
      <c r="Q330" s="1" t="s">
        <v>143</v>
      </c>
      <c r="R330" s="1" t="s">
        <v>87</v>
      </c>
      <c r="U330" s="12" t="n">
        <v>0.877083333333333</v>
      </c>
      <c r="Z330" s="1" t="s">
        <v>913</v>
      </c>
      <c r="AA330" s="1" t="s">
        <v>68</v>
      </c>
      <c r="AB330" s="2" t="e">
        <f aca="false">U330-F330</f>
        <v>#VALUE!</v>
      </c>
      <c r="AC330" s="14" t="n">
        <f aca="false">(V330+W330)-(B330+C330)</f>
        <v>-46155.8590277778</v>
      </c>
      <c r="AD330" s="4" t="str">
        <f aca="false">INT((V330+W330)-(B330+C330)) &amp; ":" &amp;
TEXT(HOUR((V330+W330)-(B330+C330)), "00") &amp; ":" &amp;
TEXT(MINUTE((V330+W330)-(B330+C330)), "00")</f>
        <v>-46156:03:23</v>
      </c>
      <c r="AE330" s="1" t="n">
        <f aca="false">IFERROR(
LEFT(AD330,FIND(":",AD330)-1)
+ MID(AD330,FIND(":",AD330)+1,2)/24
+ RIGHT(AD330,2)/1440,
"")</f>
        <v>-46155.8590277778</v>
      </c>
      <c r="AF330" s="4" t="str">
        <f aca="false">INT((X330+Y330)-(B330+C330)) &amp; ":" &amp;
TEXT(HOUR((X330+Y330)-(B330+C330)), "00") &amp; ":" &amp;
TEXT(MINUTE((X330+Y330)-(B330+C330)), "00")</f>
        <v>-46156:03:23</v>
      </c>
      <c r="AG330" s="4" t="str">
        <f aca="false" t="array" ref="AG330:AG330">INT(_xlfn.XLOOKUP(J330,{"Low","Medium","High","Urgent"},{48,24,12,8})/24) &amp; ":" &amp;
TEXT(MOD(_xlfn.XLOOKUP(J330,{"Low","Medium","High","Urgent"},{48,24,12,8}),24)/24,"hh:mm")</f>
        <v>2:00:00</v>
      </c>
      <c r="AH330" s="4" t="str">
        <f aca="false">IF(AD330&gt;AG330,"Not Met","Met")</f>
        <v>Met</v>
      </c>
      <c r="AI330" s="4" t="e">
        <f aca="false">IF(AB330&lt;TIME(0,30,0),"Met","Not Met")</f>
        <v>#VALUE!</v>
      </c>
      <c r="AN330" s="1" t="str">
        <f aca="false">TEXT(B330,"dd")</f>
        <v>13</v>
      </c>
      <c r="AO330" s="1" t="str">
        <f aca="false">TEXT(X330,"dd")</f>
        <v>30</v>
      </c>
      <c r="AP330" s="16" t="str">
        <f aca="false">INT(
  NETWORKDAYS(B330,V330)-1
  + IF(WEEKDAY(V330,2)&lt;6,MOD(V330+W330,1),0)
  - IF(WEEKDAY(B330,2)&lt;6,MOD(B330+C330,1),0)
)
&amp; ":" &amp;
TEXT(HOUR(
  NETWORKDAYS(B330,V330)-1
  + IF(WEEKDAY(V330,2)&lt;6,MOD(V330+W330,1),0)
  - IF(WEEKDAY(B330,2)&lt;6,MOD(B330+C330,1),0)
),"00")
&amp; ":" &amp;
TEXT(MINUTE(
  NETWORKDAYS(B330,V330)-1
  + IF(WEEKDAY(V330,2)&lt;6,MOD(V330+W330,1),0)
  - IF(WEEKDAY(B330,2)&lt;6,MOD(B330+C330,1),0)
),"00")</f>
        <v>-32970:03:23</v>
      </c>
      <c r="AQ330" s="0" t="n">
        <f aca="false">IFERROR(
LEFT(AP330,FIND(":",AP330)-1)
+ MID(AP330,FIND(":",AP330)+1,2)/24
+ RIGHT(AP330,2)/1440,
"")</f>
        <v>-32969.8590277778</v>
      </c>
      <c r="AR330" s="0" t="n">
        <f aca="false">WEEKNUM(B330,1)</f>
        <v>20</v>
      </c>
      <c r="AS330" s="17" t="n">
        <f aca="false">IF(B330&gt;0, (B330+C330)-TIME(13,30,0), "")</f>
        <v>46155.2965277778</v>
      </c>
      <c r="AT330" s="18" t="n">
        <f aca="false">IF(B330&gt;0, (B330+C330)-TIME(13,30,0), "")</f>
        <v>46155.2965277778</v>
      </c>
      <c r="AU330" s="17" t="str">
        <f aca="false">IF(V330&gt;0, (V330+W330)-TIME(13,30,0), "")</f>
        <v/>
      </c>
      <c r="AV330" s="18" t="str">
        <f aca="false">IF(V330&gt;0, (V330+W330)-TIME(13,30,0), "")</f>
        <v/>
      </c>
      <c r="AW330" s="19" t="e">
        <f aca="false">24*(
MAX(0,
IF(NETWORKDAYS(AS330,AU330)=1,
MIN(MOD(AV330,1),TIME(17,30,0)) - MAX(MOD(AT330,1),TIME(8,30,0)),
(TIME(17,30,0)-MAX(MOD(AT330,1),TIME(8,30,0)))
+ (MIN(MOD(AV330,1),TIME(17,30,0))-TIME(8,30,0))
+ (NETWORKDAYS(AS330,AU330)-2)*9/24
)
)
)</f>
        <v>#VALUE!</v>
      </c>
      <c r="AX330" s="19" t="e">
        <f aca="false">24*(
MAX(0,
IF(NETWORKDAYS(AS330,AU330)=1,
MIN(MOD(AV330,1),TIME(17,30,0)) - MAX(MOD(AT330,1),TIME(8,30,0)),
(TIME(17,30,0)-MAX(MOD(AT330,1),TIME(8,30,0)))
+ (MIN(MOD(AV330,1),TIME(17,30,0))-TIME(8,30,0))
+ (NETWORKDAYS(AS330,AU330)-2)* (TIME(17,30,0)-TIME(8,30,0))
)
)
)</f>
        <v>#VALUE!</v>
      </c>
      <c r="AY330" s="20" t="e">
        <f aca="false">ROUND(
IF(AS330=AU330,
MAX(0,
(MIN(MOD(AV330,1),TIME(17,30,0))-
MAX(MOD(AT330,1),TIME(8,30,0)))*24
),
(
(MAX(0,TIME(17,30,0)-MAX(MOD(AT330,1),TIME(8,30,0)))*24)
+
(MAX(0,MIN(MOD(AV330,1),TIME(17,30,0))-TIME(8,30,0))*24)
+
(MAX(0,NETWORKDAYS(AS330+1,AU330-1))*9)
)
),
2)</f>
        <v>#VALUE!</v>
      </c>
      <c r="AZ330" s="0" t="n">
        <f aca="false" t="array" ref="AZ330:AZ330">_xlfn.XLOOKUP(J330,{"Low","Medium","High"},{270,72,24})</f>
        <v>270</v>
      </c>
      <c r="BA330" s="0" t="e">
        <f aca="false">IF(AW330&gt;AZ330,"Not Met","Met")</f>
        <v>#VALUE!</v>
      </c>
      <c r="BB330" s="21" t="str">
        <f aca="false">IF(AS330="","",TEXT(AS330,"MMM")&amp;"'"&amp;TEXT(AS330,"yy"))</f>
        <v>May'26</v>
      </c>
      <c r="BC330" s="0" t="str">
        <f aca="false">IF(AU330="","",TEXT(AU330,"MMM")&amp;"'"&amp;TEXT(AU330,"yy"))</f>
        <v/>
      </c>
    </row>
    <row r="331" customFormat="false" ht="15" hidden="false" customHeight="false" outlineLevel="0" collapsed="false">
      <c r="A331" s="1" t="s">
        <v>1120</v>
      </c>
      <c r="B331" s="11" t="n">
        <v>46156</v>
      </c>
      <c r="C331" s="12" t="n">
        <v>0.0131944444444444</v>
      </c>
      <c r="D331" s="13" t="str">
        <f aca="false">IF(B331="","",TEXT(B331,"MMM")&amp;"'"&amp;TEXT(B331,"yy"))</f>
        <v>May'26</v>
      </c>
      <c r="E331" s="1" t="s">
        <v>55</v>
      </c>
      <c r="F331" s="34" t="s">
        <v>539</v>
      </c>
      <c r="G331" s="1" t="str">
        <f aca="false">IF(F331="Closed","Closed","Pending")</f>
        <v>Pending</v>
      </c>
      <c r="H331" s="27" t="s">
        <v>72</v>
      </c>
      <c r="I331" s="1" t="s">
        <v>73</v>
      </c>
      <c r="J331" s="35" t="s">
        <v>74</v>
      </c>
      <c r="K331" s="1" t="s">
        <v>59</v>
      </c>
      <c r="L331" s="1" t="s">
        <v>1121</v>
      </c>
      <c r="M331" s="1" t="s">
        <v>1122</v>
      </c>
      <c r="N331" s="1" t="s">
        <v>143</v>
      </c>
      <c r="O331" s="1" t="s">
        <v>143</v>
      </c>
      <c r="Q331" s="1" t="s">
        <v>143</v>
      </c>
      <c r="R331" s="1" t="s">
        <v>87</v>
      </c>
      <c r="U331" s="12" t="n">
        <v>0.0368055555555556</v>
      </c>
      <c r="Z331" s="1" t="s">
        <v>67</v>
      </c>
      <c r="AB331" s="2" t="e">
        <f aca="false">U331-F331</f>
        <v>#VALUE!</v>
      </c>
      <c r="AC331" s="14" t="n">
        <f aca="false">(V331+W331)-(B331+C331)</f>
        <v>-46156.0131944444</v>
      </c>
      <c r="AD331" s="4" t="str">
        <f aca="false">INT((V331+W331)-(B331+C331)) &amp; ":" &amp;
TEXT(HOUR((V331+W331)-(B331+C331)), "00") &amp; ":" &amp;
TEXT(MINUTE((V331+W331)-(B331+C331)), "00")</f>
        <v>-46157:23:41</v>
      </c>
      <c r="AE331" s="1" t="n">
        <f aca="false">IFERROR(
LEFT(AD331,FIND(":",AD331)-1)
+ MID(AD331,FIND(":",AD331)+1,2)/24
+ RIGHT(AD331,2)/1440,
"")</f>
        <v>-46156.0131944444</v>
      </c>
      <c r="AF331" s="4" t="str">
        <f aca="false">INT((X331+Y331)-(B331+C331)) &amp; ":" &amp;
TEXT(HOUR((X331+Y331)-(B331+C331)), "00") &amp; ":" &amp;
TEXT(MINUTE((X331+Y331)-(B331+C331)), "00")</f>
        <v>-46157:23:41</v>
      </c>
      <c r="AG331" s="4" t="str">
        <f aca="false" t="array" ref="AG331:AG331">INT(_xlfn.XLOOKUP(J331,{"Low","Medium","High","Urgent"},{48,24,12,8})/24) &amp; ":" &amp;
TEXT(MOD(_xlfn.XLOOKUP(J331,{"Low","Medium","High","Urgent"},{48,24,12,8}),24)/24,"hh:mm")</f>
        <v>2:00:00</v>
      </c>
      <c r="AH331" s="4" t="str">
        <f aca="false">IF(AD331&gt;AG331,"Not Met","Met")</f>
        <v>Met</v>
      </c>
      <c r="AI331" s="4" t="e">
        <f aca="false">IF(AB331&lt;TIME(0,30,0),"Met","Not Met")</f>
        <v>#VALUE!</v>
      </c>
      <c r="AN331" s="1" t="str">
        <f aca="false">TEXT(B331,"dd")</f>
        <v>14</v>
      </c>
      <c r="AO331" s="1" t="str">
        <f aca="false">TEXT(X331,"dd")</f>
        <v>30</v>
      </c>
      <c r="AP331" s="16" t="str">
        <f aca="false">INT(
  NETWORKDAYS(B331,V331)-1
  + IF(WEEKDAY(V331,2)&lt;6,MOD(V331+W331,1),0)
  - IF(WEEKDAY(B331,2)&lt;6,MOD(B331+C331,1),0)
)
&amp; ":" &amp;
TEXT(HOUR(
  NETWORKDAYS(B331,V331)-1
  + IF(WEEKDAY(V331,2)&lt;6,MOD(V331+W331,1),0)
  - IF(WEEKDAY(B331,2)&lt;6,MOD(B331+C331,1),0)
),"00")
&amp; ":" &amp;
TEXT(MINUTE(
  NETWORKDAYS(B331,V331)-1
  + IF(WEEKDAY(V331,2)&lt;6,MOD(V331+W331,1),0)
  - IF(WEEKDAY(B331,2)&lt;6,MOD(B331+C331,1),0)
),"00")</f>
        <v>-32971:23:41</v>
      </c>
      <c r="AQ331" s="0" t="n">
        <f aca="false">IFERROR(
LEFT(AP331,FIND(":",AP331)-1)
+ MID(AP331,FIND(":",AP331)+1,2)/24
+ RIGHT(AP331,2)/1440,
"")</f>
        <v>-32970.0131944444</v>
      </c>
      <c r="AR331" s="0" t="n">
        <f aca="false">WEEKNUM(B331,1)</f>
        <v>20</v>
      </c>
      <c r="AS331" s="17" t="n">
        <f aca="false">IF(B331&gt;0, (B331+C331)-TIME(13,30,0), "")</f>
        <v>46155.4506944444</v>
      </c>
      <c r="AT331" s="18" t="n">
        <f aca="false">IF(B331&gt;0, (B331+C331)-TIME(13,30,0), "")</f>
        <v>46155.4506944444</v>
      </c>
      <c r="AU331" s="17" t="str">
        <f aca="false">IF(V331&gt;0, (V331+W331)-TIME(13,30,0), "")</f>
        <v/>
      </c>
      <c r="AV331" s="18" t="str">
        <f aca="false">IF(V331&gt;0, (V331+W331)-TIME(13,30,0), "")</f>
        <v/>
      </c>
      <c r="AW331" s="19" t="e">
        <f aca="false">24*(
MAX(0,
IF(NETWORKDAYS(AS331,AU331)=1,
MIN(MOD(AV331,1),TIME(17,30,0)) - MAX(MOD(AT331,1),TIME(8,30,0)),
(TIME(17,30,0)-MAX(MOD(AT331,1),TIME(8,30,0)))
+ (MIN(MOD(AV331,1),TIME(17,30,0))-TIME(8,30,0))
+ (NETWORKDAYS(AS331,AU331)-2)*9/24
)
)
)</f>
        <v>#VALUE!</v>
      </c>
      <c r="AX331" s="19" t="e">
        <f aca="false">24*(
MAX(0,
IF(NETWORKDAYS(AS331,AU331)=1,
MIN(MOD(AV331,1),TIME(17,30,0)) - MAX(MOD(AT331,1),TIME(8,30,0)),
(TIME(17,30,0)-MAX(MOD(AT331,1),TIME(8,30,0)))
+ (MIN(MOD(AV331,1),TIME(17,30,0))-TIME(8,30,0))
+ (NETWORKDAYS(AS331,AU331)-2)* (TIME(17,30,0)-TIME(8,30,0))
)
)
)</f>
        <v>#VALUE!</v>
      </c>
      <c r="AY331" s="20" t="e">
        <f aca="false">ROUND(
IF(AS331=AU331,
MAX(0,
(MIN(MOD(AV331,1),TIME(17,30,0))-
MAX(MOD(AT331,1),TIME(8,30,0)))*24
),
(
(MAX(0,TIME(17,30,0)-MAX(MOD(AT331,1),TIME(8,30,0)))*24)
+
(MAX(0,MIN(MOD(AV331,1),TIME(17,30,0))-TIME(8,30,0))*24)
+
(MAX(0,NETWORKDAYS(AS331+1,AU331-1))*9)
)
),
2)</f>
        <v>#VALUE!</v>
      </c>
      <c r="AZ331" s="0" t="n">
        <f aca="false" t="array" ref="AZ331:AZ331">_xlfn.XLOOKUP(J331,{"Low","Medium","High"},{270,72,24})</f>
        <v>270</v>
      </c>
      <c r="BA331" s="0" t="e">
        <f aca="false">IF(AW331&gt;AZ331,"Not Met","Met")</f>
        <v>#VALUE!</v>
      </c>
      <c r="BB331" s="21" t="str">
        <f aca="false">IF(AS331="","",TEXT(AS331,"MMM")&amp;"'"&amp;TEXT(AS331,"yy"))</f>
        <v>May'26</v>
      </c>
      <c r="BC331" s="0" t="str">
        <f aca="false">IF(AU331="","",TEXT(AU331,"MMM")&amp;"'"&amp;TEXT(AU331,"yy"))</f>
        <v/>
      </c>
    </row>
    <row r="332" customFormat="false" ht="15" hidden="false" customHeight="false" outlineLevel="0" collapsed="false">
      <c r="A332" s="1" t="s">
        <v>1123</v>
      </c>
      <c r="B332" s="11" t="n">
        <v>46156</v>
      </c>
      <c r="C332" s="12" t="n">
        <v>0.186805555555556</v>
      </c>
      <c r="D332" s="13" t="str">
        <f aca="false">IF(B332="","",TEXT(B332,"MMM")&amp;"'"&amp;TEXT(B332,"yy"))</f>
        <v>May'26</v>
      </c>
      <c r="E332" s="1" t="s">
        <v>55</v>
      </c>
      <c r="F332" s="1" t="s">
        <v>39</v>
      </c>
      <c r="G332" s="1" t="str">
        <f aca="false">IF(F332="Closed","Closed","Pending")</f>
        <v>Closed</v>
      </c>
      <c r="H332" s="27" t="s">
        <v>72</v>
      </c>
      <c r="I332" s="1" t="s">
        <v>323</v>
      </c>
      <c r="J332" s="35" t="s">
        <v>74</v>
      </c>
      <c r="K332" s="1" t="s">
        <v>59</v>
      </c>
      <c r="L332" s="1" t="s">
        <v>1124</v>
      </c>
      <c r="M332" s="1" t="s">
        <v>1125</v>
      </c>
      <c r="N332" s="1" t="s">
        <v>143</v>
      </c>
      <c r="O332" s="1" t="s">
        <v>77</v>
      </c>
      <c r="Q332" s="1" t="s">
        <v>143</v>
      </c>
      <c r="R332" s="1" t="s">
        <v>87</v>
      </c>
      <c r="U332" s="12" t="n">
        <v>0.223611111111111</v>
      </c>
      <c r="V332" s="11" t="n">
        <v>46161</v>
      </c>
      <c r="W332" s="12" t="n">
        <v>0.890972222222222</v>
      </c>
      <c r="X332" s="11" t="n">
        <v>46161</v>
      </c>
      <c r="Y332" s="12" t="n">
        <v>0.975</v>
      </c>
      <c r="Z332" s="1" t="s">
        <v>108</v>
      </c>
      <c r="AA332" s="1" t="s">
        <v>68</v>
      </c>
      <c r="AB332" s="2" t="e">
        <f aca="false">U332-F332</f>
        <v>#VALUE!</v>
      </c>
      <c r="AC332" s="14" t="n">
        <f aca="false">(V332+W332)-(B332+C332)</f>
        <v>5.70416666666667</v>
      </c>
      <c r="AD332" s="4" t="str">
        <f aca="false">INT((V332+W332)-(B332+C332)) &amp; ":" &amp;
TEXT(HOUR((V332+W332)-(B332+C332)), "00") &amp; ":" &amp;
TEXT(MINUTE((V332+W332)-(B332+C332)), "00")</f>
        <v>5:16:54</v>
      </c>
      <c r="AE332" s="1" t="n">
        <f aca="false">IFERROR(
LEFT(AD332,FIND(":",AD332)-1)
+ MID(AD332,FIND(":",AD332)+1,2)/24
+ RIGHT(AD332,2)/1440,
"")</f>
        <v>5.70416666666667</v>
      </c>
      <c r="AF332" s="4" t="str">
        <f aca="false">INT((X332+Y332)-(B332+C332)) &amp; ":" &amp;
TEXT(HOUR((X332+Y332)-(B332+C332)), "00") &amp; ":" &amp;
TEXT(MINUTE((X332+Y332)-(B332+C332)), "00")</f>
        <v>5:18:55</v>
      </c>
      <c r="AG332" s="4" t="str">
        <f aca="false" t="array" ref="AG332:AG332">INT(_xlfn.XLOOKUP(J332,{"Low","Medium","High","Urgent"},{48,24,12,8})/24) &amp; ":" &amp;
TEXT(MOD(_xlfn.XLOOKUP(J332,{"Low","Medium","High","Urgent"},{48,24,12,8}),24)/24,"hh:mm")</f>
        <v>2:00:00</v>
      </c>
      <c r="AH332" s="4" t="str">
        <f aca="false">IF(AD332&gt;AG332,"Not Met","Met")</f>
        <v>Not Met</v>
      </c>
      <c r="AI332" s="4" t="e">
        <f aca="false">IF(AB332&lt;TIME(0,30,0),"Met","Not Met")</f>
        <v>#VALUE!</v>
      </c>
      <c r="AN332" s="1" t="str">
        <f aca="false">TEXT(B332,"dd")</f>
        <v>14</v>
      </c>
      <c r="AO332" s="1" t="str">
        <f aca="false">TEXT(X332,"dd")</f>
        <v>19</v>
      </c>
      <c r="AP332" s="16" t="str">
        <f aca="false">INT(
  NETWORKDAYS(B332,V332)-1
  + IF(WEEKDAY(V332,2)&lt;6,MOD(V332+W332,1),0)
  - IF(WEEKDAY(B332,2)&lt;6,MOD(B332+C332,1),0)
)
&amp; ":" &amp;
TEXT(HOUR(
  NETWORKDAYS(B332,V332)-1
  + IF(WEEKDAY(V332,2)&lt;6,MOD(V332+W332,1),0)
  - IF(WEEKDAY(B332,2)&lt;6,MOD(B332+C332,1),0)
),"00")
&amp; ":" &amp;
TEXT(MINUTE(
  NETWORKDAYS(B332,V332)-1
  + IF(WEEKDAY(V332,2)&lt;6,MOD(V332+W332,1),0)
  - IF(WEEKDAY(B332,2)&lt;6,MOD(B332+C332,1),0)
),"00")</f>
        <v>3:16:54</v>
      </c>
      <c r="AQ332" s="0" t="n">
        <f aca="false">IFERROR(
LEFT(AP332,FIND(":",AP332)-1)
+ MID(AP332,FIND(":",AP332)+1,2)/24
+ RIGHT(AP332,2)/1440,
"")</f>
        <v>3.70416666666667</v>
      </c>
      <c r="AR332" s="0" t="n">
        <f aca="false">WEEKNUM(B332,1)</f>
        <v>20</v>
      </c>
      <c r="AS332" s="17" t="n">
        <f aca="false">IF(B332&gt;0, (B332+C332)-TIME(13,30,0), "")</f>
        <v>46155.6243055556</v>
      </c>
      <c r="AT332" s="18" t="n">
        <f aca="false">IF(B332&gt;0, (B332+C332)-TIME(13,30,0), "")</f>
        <v>46155.6243055556</v>
      </c>
      <c r="AU332" s="17" t="n">
        <f aca="false">IF(V332&gt;0, (V332+W332)-TIME(13,30,0), "")</f>
        <v>46161.3284722222</v>
      </c>
      <c r="AV332" s="18" t="n">
        <f aca="false">IF(V332&gt;0, (V332+W332)-TIME(13,30,0), "")</f>
        <v>46161.3284722222</v>
      </c>
      <c r="AW332" s="19" t="n">
        <f aca="false">24*(
MAX(0,
IF(NETWORKDAYS(AS332,AU332)=1,
MIN(MOD(AV332,1),TIME(17,30,0)) - MAX(MOD(AT332,1),TIME(8,30,0)),
(TIME(17,30,0)-MAX(MOD(AT332,1),TIME(8,30,0)))
+ (MIN(MOD(AV332,1),TIME(17,30,0))-TIME(8,30,0))
+ (NETWORKDAYS(AS332,AU332)-2)*9/24
)
)
)</f>
        <v>28.9</v>
      </c>
      <c r="AX332" s="19" t="n">
        <f aca="false">24*(
MAX(0,
IF(NETWORKDAYS(AS332,AU332)=1,
MIN(MOD(AV332,1),TIME(17,30,0)) - MAX(MOD(AT332,1),TIME(8,30,0)),
(TIME(17,30,0)-MAX(MOD(AT332,1),TIME(8,30,0)))
+ (MIN(MOD(AV332,1),TIME(17,30,0))-TIME(8,30,0))
+ (NETWORKDAYS(AS332,AU332)-2)* (TIME(17,30,0)-TIME(8,30,0))
)
)
)</f>
        <v>28.9</v>
      </c>
      <c r="AY332" s="20" t="n">
        <f aca="false">ROUND(
IF(AS332=AU332,
MAX(0,
(MIN(MOD(AV332,1),TIME(17,30,0))-
MAX(MOD(AT332,1),TIME(8,30,0)))*24
),
(
(MAX(0,TIME(17,30,0)-MAX(MOD(AT332,1),TIME(8,30,0)))*24)
+
(MAX(0,MIN(MOD(AV332,1),TIME(17,30,0))-TIME(8,30,0))*24)
+
(MAX(0,NETWORKDAYS(AS332+1,AU332-1))*9)
)
),
2)</f>
        <v>29.52</v>
      </c>
      <c r="AZ332" s="0" t="n">
        <f aca="false" t="array" ref="AZ332:AZ332">_xlfn.XLOOKUP(J332,{"Low","Medium","High"},{270,72,24})</f>
        <v>270</v>
      </c>
      <c r="BA332" s="0" t="str">
        <f aca="false">IF(AW332&gt;AZ332,"Not Met","Met")</f>
        <v>Met</v>
      </c>
      <c r="BB332" s="21" t="str">
        <f aca="false">IF(AS332="","",TEXT(AS332,"MMM")&amp;"'"&amp;TEXT(AS332,"yy"))</f>
        <v>May'26</v>
      </c>
      <c r="BC332" s="0" t="str">
        <f aca="false">IF(AU332="","",TEXT(AU332,"MMM")&amp;"'"&amp;TEXT(AU332,"yy"))</f>
        <v>May'26</v>
      </c>
    </row>
    <row r="333" customFormat="false" ht="15" hidden="false" customHeight="false" outlineLevel="0" collapsed="false">
      <c r="A333" s="1" t="s">
        <v>1126</v>
      </c>
      <c r="B333" s="11" t="n">
        <v>46156</v>
      </c>
      <c r="C333" s="12" t="n">
        <v>0.193055555555556</v>
      </c>
      <c r="D333" s="13" t="str">
        <f aca="false">IF(B333="","",TEXT(B333,"MMM")&amp;"'"&amp;TEXT(B333,"yy"))</f>
        <v>May'26</v>
      </c>
      <c r="E333" s="1" t="s">
        <v>55</v>
      </c>
      <c r="F333" s="34" t="s">
        <v>539</v>
      </c>
      <c r="G333" s="1" t="str">
        <f aca="false">IF(F333="Closed","Closed","Pending")</f>
        <v>Pending</v>
      </c>
      <c r="H333" s="27" t="s">
        <v>72</v>
      </c>
      <c r="I333" s="1" t="s">
        <v>323</v>
      </c>
      <c r="J333" s="35" t="s">
        <v>74</v>
      </c>
      <c r="K333" s="1" t="s">
        <v>59</v>
      </c>
      <c r="L333" s="1" t="s">
        <v>1127</v>
      </c>
      <c r="M333" s="1" t="s">
        <v>1128</v>
      </c>
      <c r="N333" s="1" t="s">
        <v>143</v>
      </c>
      <c r="O333" s="1" t="s">
        <v>143</v>
      </c>
      <c r="Q333" s="1" t="s">
        <v>143</v>
      </c>
      <c r="R333" s="1" t="s">
        <v>66</v>
      </c>
      <c r="U333" s="12" t="n">
        <v>0.223611111111111</v>
      </c>
      <c r="Z333" s="1" t="s">
        <v>67</v>
      </c>
      <c r="AB333" s="2" t="e">
        <f aca="false">U333-F333</f>
        <v>#VALUE!</v>
      </c>
      <c r="AC333" s="14" t="n">
        <f aca="false">(V333+W333)-(B333+C333)</f>
        <v>-46156.1930555556</v>
      </c>
      <c r="AD333" s="4" t="str">
        <f aca="false">INT((V333+W333)-(B333+C333)) &amp; ":" &amp;
TEXT(HOUR((V333+W333)-(B333+C333)), "00") &amp; ":" &amp;
TEXT(MINUTE((V333+W333)-(B333+C333)), "00")</f>
        <v>-46157:19:22</v>
      </c>
      <c r="AE333" s="1" t="n">
        <f aca="false">IFERROR(
LEFT(AD333,FIND(":",AD333)-1)
+ MID(AD333,FIND(":",AD333)+1,2)/24
+ RIGHT(AD333,2)/1440,
"")</f>
        <v>-46156.1930555556</v>
      </c>
      <c r="AF333" s="4" t="str">
        <f aca="false">INT((X333+Y333)-(B333+C333)) &amp; ":" &amp;
TEXT(HOUR((X333+Y333)-(B333+C333)), "00") &amp; ":" &amp;
TEXT(MINUTE((X333+Y333)-(B333+C333)), "00")</f>
        <v>-46157:19:22</v>
      </c>
      <c r="AG333" s="4" t="str">
        <f aca="false" t="array" ref="AG333:AG333">INT(_xlfn.XLOOKUP(J333,{"Low","Medium","High","Urgent"},{48,24,12,8})/24) &amp; ":" &amp;
TEXT(MOD(_xlfn.XLOOKUP(J333,{"Low","Medium","High","Urgent"},{48,24,12,8}),24)/24,"hh:mm")</f>
        <v>2:00:00</v>
      </c>
      <c r="AH333" s="4" t="str">
        <f aca="false">IF(AD333&gt;AG333,"Not Met","Met")</f>
        <v>Met</v>
      </c>
      <c r="AI333" s="4" t="e">
        <f aca="false">IF(AB333&lt;TIME(0,30,0),"Met","Not Met")</f>
        <v>#VALUE!</v>
      </c>
      <c r="AN333" s="1" t="str">
        <f aca="false">TEXT(B333,"dd")</f>
        <v>14</v>
      </c>
      <c r="AO333" s="1" t="str">
        <f aca="false">TEXT(X333,"dd")</f>
        <v>30</v>
      </c>
      <c r="AP333" s="16" t="str">
        <f aca="false">INT(
  NETWORKDAYS(B333,V333)-1
  + IF(WEEKDAY(V333,2)&lt;6,MOD(V333+W333,1),0)
  - IF(WEEKDAY(B333,2)&lt;6,MOD(B333+C333,1),0)
)
&amp; ":" &amp;
TEXT(HOUR(
  NETWORKDAYS(B333,V333)-1
  + IF(WEEKDAY(V333,2)&lt;6,MOD(V333+W333,1),0)
  - IF(WEEKDAY(B333,2)&lt;6,MOD(B333+C333,1),0)
),"00")
&amp; ":" &amp;
TEXT(MINUTE(
  NETWORKDAYS(B333,V333)-1
  + IF(WEEKDAY(V333,2)&lt;6,MOD(V333+W333,1),0)
  - IF(WEEKDAY(B333,2)&lt;6,MOD(B333+C333,1),0)
),"00")</f>
        <v>-32971:19:22</v>
      </c>
      <c r="AQ333" s="0" t="n">
        <f aca="false">IFERROR(
LEFT(AP333,FIND(":",AP333)-1)
+ MID(AP333,FIND(":",AP333)+1,2)/24
+ RIGHT(AP333,2)/1440,
"")</f>
        <v>-32970.1930555556</v>
      </c>
      <c r="AR333" s="0" t="n">
        <f aca="false">WEEKNUM(B333,1)</f>
        <v>20</v>
      </c>
      <c r="AS333" s="17" t="n">
        <f aca="false">IF(B333&gt;0, (B333+C333)-TIME(13,30,0), "")</f>
        <v>46155.6305555556</v>
      </c>
      <c r="AT333" s="18" t="n">
        <f aca="false">IF(B333&gt;0, (B333+C333)-TIME(13,30,0), "")</f>
        <v>46155.6305555556</v>
      </c>
      <c r="AU333" s="17" t="str">
        <f aca="false">IF(V333&gt;0, (V333+W333)-TIME(13,30,0), "")</f>
        <v/>
      </c>
      <c r="AV333" s="18" t="str">
        <f aca="false">IF(V333&gt;0, (V333+W333)-TIME(13,30,0), "")</f>
        <v/>
      </c>
      <c r="AW333" s="19" t="e">
        <f aca="false">24*(
MAX(0,
IF(NETWORKDAYS(AS333,AU333)=1,
MIN(MOD(AV333,1),TIME(17,30,0)) - MAX(MOD(AT333,1),TIME(8,30,0)),
(TIME(17,30,0)-MAX(MOD(AT333,1),TIME(8,30,0)))
+ (MIN(MOD(AV333,1),TIME(17,30,0))-TIME(8,30,0))
+ (NETWORKDAYS(AS333,AU333)-2)*9/24
)
)
)</f>
        <v>#VALUE!</v>
      </c>
      <c r="AX333" s="19" t="e">
        <f aca="false">24*(
MAX(0,
IF(NETWORKDAYS(AS333,AU333)=1,
MIN(MOD(AV333,1),TIME(17,30,0)) - MAX(MOD(AT333,1),TIME(8,30,0)),
(TIME(17,30,0)-MAX(MOD(AT333,1),TIME(8,30,0)))
+ (MIN(MOD(AV333,1),TIME(17,30,0))-TIME(8,30,0))
+ (NETWORKDAYS(AS333,AU333)-2)* (TIME(17,30,0)-TIME(8,30,0))
)
)
)</f>
        <v>#VALUE!</v>
      </c>
      <c r="AY333" s="20" t="e">
        <f aca="false">ROUND(
IF(AS333=AU333,
MAX(0,
(MIN(MOD(AV333,1),TIME(17,30,0))-
MAX(MOD(AT333,1),TIME(8,30,0)))*24
),
(
(MAX(0,TIME(17,30,0)-MAX(MOD(AT333,1),TIME(8,30,0)))*24)
+
(MAX(0,MIN(MOD(AV333,1),TIME(17,30,0))-TIME(8,30,0))*24)
+
(MAX(0,NETWORKDAYS(AS333+1,AU333-1))*9)
)
),
2)</f>
        <v>#VALUE!</v>
      </c>
      <c r="AZ333" s="0" t="n">
        <f aca="false" t="array" ref="AZ333:AZ333">_xlfn.XLOOKUP(J333,{"Low","Medium","High"},{270,72,24})</f>
        <v>270</v>
      </c>
      <c r="BA333" s="0" t="e">
        <f aca="false">IF(AW333&gt;AZ333,"Not Met","Met")</f>
        <v>#VALUE!</v>
      </c>
      <c r="BB333" s="21" t="str">
        <f aca="false">IF(AS333="","",TEXT(AS333,"MMM")&amp;"'"&amp;TEXT(AS333,"yy"))</f>
        <v>May'26</v>
      </c>
      <c r="BC333" s="0" t="str">
        <f aca="false">IF(AU333="","",TEXT(AU333,"MMM")&amp;"'"&amp;TEXT(AU333,"yy"))</f>
        <v/>
      </c>
    </row>
    <row r="334" customFormat="false" ht="15" hidden="false" customHeight="false" outlineLevel="0" collapsed="false">
      <c r="A334" s="1" t="s">
        <v>1129</v>
      </c>
      <c r="B334" s="11" t="n">
        <v>46156</v>
      </c>
      <c r="C334" s="12" t="n">
        <v>0.928472222222222</v>
      </c>
      <c r="D334" s="13" t="str">
        <f aca="false">IF(B334="","",TEXT(B334,"MMM")&amp;"'"&amp;TEXT(B334,"yy"))</f>
        <v>May'26</v>
      </c>
      <c r="E334" s="1" t="s">
        <v>55</v>
      </c>
      <c r="F334" s="1" t="s">
        <v>1130</v>
      </c>
      <c r="G334" s="1" t="str">
        <f aca="false">IF(F334="Closed","Closed","Pending")</f>
        <v>Pending</v>
      </c>
      <c r="H334" s="27" t="s">
        <v>120</v>
      </c>
      <c r="I334" s="1" t="s">
        <v>401</v>
      </c>
      <c r="J334" s="35" t="s">
        <v>74</v>
      </c>
      <c r="K334" s="1" t="s">
        <v>59</v>
      </c>
      <c r="L334" s="1" t="s">
        <v>1131</v>
      </c>
      <c r="M334" s="1" t="s">
        <v>1132</v>
      </c>
      <c r="N334" s="1" t="s">
        <v>143</v>
      </c>
      <c r="O334" s="1" t="s">
        <v>143</v>
      </c>
      <c r="Q334" s="1" t="s">
        <v>143</v>
      </c>
      <c r="R334" s="1" t="s">
        <v>87</v>
      </c>
      <c r="U334" s="12" t="n">
        <v>0.954861111111111</v>
      </c>
      <c r="Z334" s="1" t="s">
        <v>108</v>
      </c>
      <c r="AB334" s="2" t="e">
        <f aca="false">U334-F334</f>
        <v>#VALUE!</v>
      </c>
      <c r="AC334" s="14" t="n">
        <f aca="false">(V334+W334)-(B334+C334)</f>
        <v>-46156.9284722222</v>
      </c>
      <c r="AD334" s="4" t="str">
        <f aca="false">INT((V334+W334)-(B334+C334)) &amp; ":" &amp;
TEXT(HOUR((V334+W334)-(B334+C334)), "00") &amp; ":" &amp;
TEXT(MINUTE((V334+W334)-(B334+C334)), "00")</f>
        <v>-46157:01:43</v>
      </c>
      <c r="AE334" s="1" t="n">
        <f aca="false">IFERROR(
LEFT(AD334,FIND(":",AD334)-1)
+ MID(AD334,FIND(":",AD334)+1,2)/24
+ RIGHT(AD334,2)/1440,
"")</f>
        <v>-46156.9284722222</v>
      </c>
      <c r="AF334" s="4" t="str">
        <f aca="false">INT((X334+Y334)-(B334+C334)) &amp; ":" &amp;
TEXT(HOUR((X334+Y334)-(B334+C334)), "00") &amp; ":" &amp;
TEXT(MINUTE((X334+Y334)-(B334+C334)), "00")</f>
        <v>-46157:01:43</v>
      </c>
      <c r="AG334" s="4" t="str">
        <f aca="false" t="array" ref="AG334:AG334">INT(_xlfn.XLOOKUP(J334,{"Low","Medium","High","Urgent"},{48,24,12,8})/24) &amp; ":" &amp;
TEXT(MOD(_xlfn.XLOOKUP(J334,{"Low","Medium","High","Urgent"},{48,24,12,8}),24)/24,"hh:mm")</f>
        <v>2:00:00</v>
      </c>
      <c r="AH334" s="4" t="str">
        <f aca="false">IF(AD334&gt;AG334,"Not Met","Met")</f>
        <v>Met</v>
      </c>
      <c r="AI334" s="4" t="e">
        <f aca="false">IF(AB334&lt;TIME(0,30,0),"Met","Not Met")</f>
        <v>#VALUE!</v>
      </c>
      <c r="AN334" s="1" t="str">
        <f aca="false">TEXT(B334,"dd")</f>
        <v>14</v>
      </c>
      <c r="AO334" s="1" t="str">
        <f aca="false">TEXT(X334,"dd")</f>
        <v>30</v>
      </c>
      <c r="AP334" s="16" t="str">
        <f aca="false">INT(
  NETWORKDAYS(B334,V334)-1
  + IF(WEEKDAY(V334,2)&lt;6,MOD(V334+W334,1),0)
  - IF(WEEKDAY(B334,2)&lt;6,MOD(B334+C334,1),0)
)
&amp; ":" &amp;
TEXT(HOUR(
  NETWORKDAYS(B334,V334)-1
  + IF(WEEKDAY(V334,2)&lt;6,MOD(V334+W334,1),0)
  - IF(WEEKDAY(B334,2)&lt;6,MOD(B334+C334,1),0)
),"00")
&amp; ":" &amp;
TEXT(MINUTE(
  NETWORKDAYS(B334,V334)-1
  + IF(WEEKDAY(V334,2)&lt;6,MOD(V334+W334,1),0)
  - IF(WEEKDAY(B334,2)&lt;6,MOD(B334+C334,1),0)
),"00")</f>
        <v>-32971:01:43</v>
      </c>
      <c r="AQ334" s="0" t="n">
        <f aca="false">IFERROR(
LEFT(AP334,FIND(":",AP334)-1)
+ MID(AP334,FIND(":",AP334)+1,2)/24
+ RIGHT(AP334,2)/1440,
"")</f>
        <v>-32970.9284722222</v>
      </c>
      <c r="AR334" s="0" t="n">
        <f aca="false">WEEKNUM(B334,1)</f>
        <v>20</v>
      </c>
      <c r="AS334" s="17" t="n">
        <f aca="false">IF(B334&gt;0, (B334+C334)-TIME(13,30,0), "")</f>
        <v>46156.3659722222</v>
      </c>
      <c r="AT334" s="18" t="n">
        <f aca="false">IF(B334&gt;0, (B334+C334)-TIME(13,30,0), "")</f>
        <v>46156.3659722222</v>
      </c>
      <c r="AU334" s="17" t="str">
        <f aca="false">IF(V334&gt;0, (V334+W334)-TIME(13,30,0), "")</f>
        <v/>
      </c>
      <c r="AV334" s="18" t="str">
        <f aca="false">IF(V334&gt;0, (V334+W334)-TIME(13,30,0), "")</f>
        <v/>
      </c>
      <c r="AW334" s="19" t="e">
        <f aca="false">24*(
MAX(0,
IF(NETWORKDAYS(AS334,AU334)=1,
MIN(MOD(AV334,1),TIME(17,30,0)) - MAX(MOD(AT334,1),TIME(8,30,0)),
(TIME(17,30,0)-MAX(MOD(AT334,1),TIME(8,30,0)))
+ (MIN(MOD(AV334,1),TIME(17,30,0))-TIME(8,30,0))
+ (NETWORKDAYS(AS334,AU334)-2)*9/24
)
)
)</f>
        <v>#VALUE!</v>
      </c>
      <c r="AX334" s="19" t="e">
        <f aca="false">24*(
MAX(0,
IF(NETWORKDAYS(AS334,AU334)=1,
MIN(MOD(AV334,1),TIME(17,30,0)) - MAX(MOD(AT334,1),TIME(8,30,0)),
(TIME(17,30,0)-MAX(MOD(AT334,1),TIME(8,30,0)))
+ (MIN(MOD(AV334,1),TIME(17,30,0))-TIME(8,30,0))
+ (NETWORKDAYS(AS334,AU334)-2)* (TIME(17,30,0)-TIME(8,30,0))
)
)
)</f>
        <v>#VALUE!</v>
      </c>
      <c r="AY334" s="20" t="e">
        <f aca="false">ROUND(
IF(AS334=AU334,
MAX(0,
(MIN(MOD(AV334,1),TIME(17,30,0))-
MAX(MOD(AT334,1),TIME(8,30,0)))*24
),
(
(MAX(0,TIME(17,30,0)-MAX(MOD(AT334,1),TIME(8,30,0)))*24)
+
(MAX(0,MIN(MOD(AV334,1),TIME(17,30,0))-TIME(8,30,0))*24)
+
(MAX(0,NETWORKDAYS(AS334+1,AU334-1))*9)
)
),
2)</f>
        <v>#VALUE!</v>
      </c>
      <c r="AZ334" s="0" t="n">
        <f aca="false" t="array" ref="AZ334:AZ334">_xlfn.XLOOKUP(J334,{"Low","Medium","High"},{270,72,24})</f>
        <v>270</v>
      </c>
      <c r="BA334" s="0" t="e">
        <f aca="false">IF(AW334&gt;AZ334,"Not Met","Met")</f>
        <v>#VALUE!</v>
      </c>
      <c r="BB334" s="21" t="str">
        <f aca="false">IF(AS334="","",TEXT(AS334,"MMM")&amp;"'"&amp;TEXT(AS334,"yy"))</f>
        <v>May'26</v>
      </c>
      <c r="BC334" s="0" t="str">
        <f aca="false">IF(AU334="","",TEXT(AU334,"MMM")&amp;"'"&amp;TEXT(AU334,"yy"))</f>
        <v/>
      </c>
    </row>
    <row r="335" customFormat="false" ht="15" hidden="false" customHeight="false" outlineLevel="0" collapsed="false">
      <c r="A335" s="1" t="s">
        <v>1133</v>
      </c>
      <c r="B335" s="11" t="n">
        <v>46157</v>
      </c>
      <c r="C335" s="12" t="n">
        <v>0.0201388888888889</v>
      </c>
      <c r="D335" s="13" t="str">
        <f aca="false">IF(B335="","",TEXT(B335,"MMM")&amp;"'"&amp;TEXT(B335,"yy"))</f>
        <v>May'26</v>
      </c>
      <c r="E335" s="1" t="s">
        <v>55</v>
      </c>
      <c r="F335" s="1" t="s">
        <v>140</v>
      </c>
      <c r="G335" s="1" t="str">
        <f aca="false">IF(F335="Closed","Closed","Pending")</f>
        <v>Pending</v>
      </c>
      <c r="H335" s="27" t="s">
        <v>72</v>
      </c>
      <c r="I335" s="1" t="s">
        <v>298</v>
      </c>
      <c r="J335" s="35" t="s">
        <v>74</v>
      </c>
      <c r="K335" s="1" t="s">
        <v>59</v>
      </c>
      <c r="L335" s="1" t="s">
        <v>1134</v>
      </c>
      <c r="M335" s="1" t="s">
        <v>1135</v>
      </c>
      <c r="N335" s="1" t="s">
        <v>65</v>
      </c>
      <c r="O335" s="1" t="s">
        <v>106</v>
      </c>
      <c r="Q335" s="1" t="s">
        <v>65</v>
      </c>
      <c r="R335" s="1" t="s">
        <v>87</v>
      </c>
      <c r="U335" s="12" t="n">
        <v>0.0375</v>
      </c>
      <c r="Z335" s="1" t="s">
        <v>67</v>
      </c>
      <c r="AB335" s="2" t="e">
        <f aca="false">U335-F335</f>
        <v>#VALUE!</v>
      </c>
      <c r="AC335" s="14" t="n">
        <f aca="false">(V335+W335)-(B335+C335)</f>
        <v>-46157.0201388889</v>
      </c>
      <c r="AD335" s="4" t="str">
        <f aca="false">INT((V335+W335)-(B335+C335)) &amp; ":" &amp;
TEXT(HOUR((V335+W335)-(B335+C335)), "00") &amp; ":" &amp;
TEXT(MINUTE((V335+W335)-(B335+C335)), "00")</f>
        <v>-46158:23:31</v>
      </c>
      <c r="AE335" s="1" t="n">
        <f aca="false">IFERROR(
LEFT(AD335,FIND(":",AD335)-1)
+ MID(AD335,FIND(":",AD335)+1,2)/24
+ RIGHT(AD335,2)/1440,
"")</f>
        <v>-46157.0201388889</v>
      </c>
      <c r="AF335" s="4" t="str">
        <f aca="false">INT((X335+Y335)-(B335+C335)) &amp; ":" &amp;
TEXT(HOUR((X335+Y335)-(B335+C335)), "00") &amp; ":" &amp;
TEXT(MINUTE((X335+Y335)-(B335+C335)), "00")</f>
        <v>-46158:23:31</v>
      </c>
      <c r="AG335" s="4" t="str">
        <f aca="false" t="array" ref="AG335:AG335">INT(_xlfn.XLOOKUP(J335,{"Low","Medium","High","Urgent"},{48,24,12,8})/24) &amp; ":" &amp;
TEXT(MOD(_xlfn.XLOOKUP(J335,{"Low","Medium","High","Urgent"},{48,24,12,8}),24)/24,"hh:mm")</f>
        <v>2:00:00</v>
      </c>
      <c r="AH335" s="4" t="str">
        <f aca="false">IF(AD335&gt;AG335,"Not Met","Met")</f>
        <v>Met</v>
      </c>
      <c r="AI335" s="4" t="e">
        <f aca="false">IF(AB335&lt;TIME(0,30,0),"Met","Not Met")</f>
        <v>#VALUE!</v>
      </c>
      <c r="AN335" s="1" t="str">
        <f aca="false">TEXT(B335,"dd")</f>
        <v>15</v>
      </c>
      <c r="AO335" s="1" t="str">
        <f aca="false">TEXT(X335,"dd")</f>
        <v>30</v>
      </c>
      <c r="AP335" s="16" t="str">
        <f aca="false">INT(
  NETWORKDAYS(B335,V335)-1
  + IF(WEEKDAY(V335,2)&lt;6,MOD(V335+W335,1),0)
  - IF(WEEKDAY(B335,2)&lt;6,MOD(B335+C335,1),0)
)
&amp; ":" &amp;
TEXT(HOUR(
  NETWORKDAYS(B335,V335)-1
  + IF(WEEKDAY(V335,2)&lt;6,MOD(V335+W335,1),0)
  - IF(WEEKDAY(B335,2)&lt;6,MOD(B335+C335,1),0)
),"00")
&amp; ":" &amp;
TEXT(MINUTE(
  NETWORKDAYS(B335,V335)-1
  + IF(WEEKDAY(V335,2)&lt;6,MOD(V335+W335,1),0)
  - IF(WEEKDAY(B335,2)&lt;6,MOD(B335+C335,1),0)
),"00")</f>
        <v>-32972:23:31</v>
      </c>
      <c r="AQ335" s="0" t="n">
        <f aca="false">IFERROR(
LEFT(AP335,FIND(":",AP335)-1)
+ MID(AP335,FIND(":",AP335)+1,2)/24
+ RIGHT(AP335,2)/1440,
"")</f>
        <v>-32971.0201388889</v>
      </c>
      <c r="AR335" s="0" t="n">
        <f aca="false">WEEKNUM(B335,1)</f>
        <v>20</v>
      </c>
      <c r="AS335" s="17" t="n">
        <f aca="false">IF(B335&gt;0, (B335+C335)-TIME(13,30,0), "")</f>
        <v>46156.4576388889</v>
      </c>
      <c r="AT335" s="18" t="n">
        <f aca="false">IF(B335&gt;0, (B335+C335)-TIME(13,30,0), "")</f>
        <v>46156.4576388889</v>
      </c>
      <c r="AU335" s="17" t="str">
        <f aca="false">IF(V335&gt;0, (V335+W335)-TIME(13,30,0), "")</f>
        <v/>
      </c>
      <c r="AV335" s="18" t="str">
        <f aca="false">IF(V335&gt;0, (V335+W335)-TIME(13,30,0), "")</f>
        <v/>
      </c>
      <c r="AW335" s="19" t="e">
        <f aca="false">24*(
MAX(0,
IF(NETWORKDAYS(AS335,AU335)=1,
MIN(MOD(AV335,1),TIME(17,30,0)) - MAX(MOD(AT335,1),TIME(8,30,0)),
(TIME(17,30,0)-MAX(MOD(AT335,1),TIME(8,30,0)))
+ (MIN(MOD(AV335,1),TIME(17,30,0))-TIME(8,30,0))
+ (NETWORKDAYS(AS335,AU335)-2)*9/24
)
)
)</f>
        <v>#VALUE!</v>
      </c>
      <c r="AX335" s="19" t="e">
        <f aca="false">24*(
MAX(0,
IF(NETWORKDAYS(AS335,AU335)=1,
MIN(MOD(AV335,1),TIME(17,30,0)) - MAX(MOD(AT335,1),TIME(8,30,0)),
(TIME(17,30,0)-MAX(MOD(AT335,1),TIME(8,30,0)))
+ (MIN(MOD(AV335,1),TIME(17,30,0))-TIME(8,30,0))
+ (NETWORKDAYS(AS335,AU335)-2)* (TIME(17,30,0)-TIME(8,30,0))
)
)
)</f>
        <v>#VALUE!</v>
      </c>
      <c r="AY335" s="20" t="e">
        <f aca="false">ROUND(
IF(AS335=AU335,
MAX(0,
(MIN(MOD(AV335,1),TIME(17,30,0))-
MAX(MOD(AT335,1),TIME(8,30,0)))*24
),
(
(MAX(0,TIME(17,30,0)-MAX(MOD(AT335,1),TIME(8,30,0)))*24)
+
(MAX(0,MIN(MOD(AV335,1),TIME(17,30,0))-TIME(8,30,0))*24)
+
(MAX(0,NETWORKDAYS(AS335+1,AU335-1))*9)
)
),
2)</f>
        <v>#VALUE!</v>
      </c>
      <c r="AZ335" s="0" t="n">
        <f aca="false" t="array" ref="AZ335:AZ335">_xlfn.XLOOKUP(J335,{"Low","Medium","High"},{270,72,24})</f>
        <v>270</v>
      </c>
      <c r="BA335" s="0" t="e">
        <f aca="false">IF(AW335&gt;AZ335,"Not Met","Met")</f>
        <v>#VALUE!</v>
      </c>
      <c r="BB335" s="21" t="str">
        <f aca="false">IF(AS335="","",TEXT(AS335,"MMM")&amp;"'"&amp;TEXT(AS335,"yy"))</f>
        <v>May'26</v>
      </c>
      <c r="BC335" s="0" t="str">
        <f aca="false">IF(AU335="","",TEXT(AU335,"MMM")&amp;"'"&amp;TEXT(AU335,"yy"))</f>
        <v/>
      </c>
    </row>
    <row r="336" customFormat="false" ht="15" hidden="false" customHeight="false" outlineLevel="0" collapsed="false">
      <c r="A336" s="1" t="s">
        <v>1136</v>
      </c>
      <c r="B336" s="11" t="n">
        <v>46157</v>
      </c>
      <c r="C336" s="12" t="n">
        <v>0.0701388888888889</v>
      </c>
      <c r="D336" s="13" t="str">
        <f aca="false">IF(B336="","",TEXT(B336,"MMM")&amp;"'"&amp;TEXT(B336,"yy"))</f>
        <v>May'26</v>
      </c>
      <c r="E336" s="1" t="s">
        <v>55</v>
      </c>
      <c r="F336" s="1" t="s">
        <v>39</v>
      </c>
      <c r="G336" s="1" t="str">
        <f aca="false">IF(F336="Closed","Closed","Pending")</f>
        <v>Closed</v>
      </c>
      <c r="H336" s="27" t="s">
        <v>81</v>
      </c>
      <c r="I336" s="1" t="s">
        <v>82</v>
      </c>
      <c r="J336" s="35" t="s">
        <v>74</v>
      </c>
      <c r="K336" s="1" t="s">
        <v>59</v>
      </c>
      <c r="L336" s="1" t="s">
        <v>1137</v>
      </c>
      <c r="M336" s="1" t="s">
        <v>1138</v>
      </c>
      <c r="N336" s="1" t="s">
        <v>65</v>
      </c>
      <c r="O336" s="1" t="s">
        <v>106</v>
      </c>
      <c r="Q336" s="1" t="s">
        <v>65</v>
      </c>
      <c r="R336" s="1" t="s">
        <v>87</v>
      </c>
      <c r="U336" s="12" t="n">
        <v>0.0798611111111111</v>
      </c>
      <c r="V336" s="11" t="n">
        <v>46168</v>
      </c>
      <c r="W336" s="12" t="n">
        <v>0.876388888888889</v>
      </c>
      <c r="X336" s="11" t="n">
        <v>46168</v>
      </c>
      <c r="Y336" s="12" t="n">
        <v>0.909027777777778</v>
      </c>
      <c r="Z336" s="1" t="s">
        <v>67</v>
      </c>
      <c r="AA336" s="1" t="s">
        <v>68</v>
      </c>
      <c r="AB336" s="2" t="e">
        <f aca="false">U336-F336</f>
        <v>#VALUE!</v>
      </c>
      <c r="AC336" s="14" t="n">
        <f aca="false">(V336+W336)-(B336+C336)</f>
        <v>11.80625</v>
      </c>
      <c r="AD336" s="4" t="str">
        <f aca="false">INT((V336+W336)-(B336+C336)) &amp; ":" &amp;
TEXT(HOUR((V336+W336)-(B336+C336)), "00") &amp; ":" &amp;
TEXT(MINUTE((V336+W336)-(B336+C336)), "00")</f>
        <v>11:19:21</v>
      </c>
      <c r="AE336" s="1" t="n">
        <f aca="false">IFERROR(
LEFT(AD336,FIND(":",AD336)-1)
+ MID(AD336,FIND(":",AD336)+1,2)/24
+ RIGHT(AD336,2)/1440,
"")</f>
        <v>11.80625</v>
      </c>
      <c r="AF336" s="4" t="str">
        <f aca="false">INT((X336+Y336)-(B336+C336)) &amp; ":" &amp;
TEXT(HOUR((X336+Y336)-(B336+C336)), "00") &amp; ":" &amp;
TEXT(MINUTE((X336+Y336)-(B336+C336)), "00")</f>
        <v>11:20:08</v>
      </c>
      <c r="AG336" s="4" t="str">
        <f aca="false" t="array" ref="AG336:AG336">INT(_xlfn.XLOOKUP(J336,{"Low","Medium","High","Urgent"},{48,24,12,8})/24) &amp; ":" &amp;
TEXT(MOD(_xlfn.XLOOKUP(J336,{"Low","Medium","High","Urgent"},{48,24,12,8}),24)/24,"hh:mm")</f>
        <v>2:00:00</v>
      </c>
      <c r="AH336" s="4" t="str">
        <f aca="false">IF(AD336&gt;AG336,"Not Met","Met")</f>
        <v>Met</v>
      </c>
      <c r="AI336" s="4" t="e">
        <f aca="false">IF(AB336&lt;TIME(0,30,0),"Met","Not Met")</f>
        <v>#VALUE!</v>
      </c>
      <c r="AN336" s="1" t="str">
        <f aca="false">TEXT(B336,"dd")</f>
        <v>15</v>
      </c>
      <c r="AO336" s="1" t="str">
        <f aca="false">TEXT(X336,"dd")</f>
        <v>26</v>
      </c>
      <c r="AP336" s="16" t="str">
        <f aca="false">INT(
  NETWORKDAYS(B336,V336)-1
  + IF(WEEKDAY(V336,2)&lt;6,MOD(V336+W336,1),0)
  - IF(WEEKDAY(B336,2)&lt;6,MOD(B336+C336,1),0)
)
&amp; ":" &amp;
TEXT(HOUR(
  NETWORKDAYS(B336,V336)-1
  + IF(WEEKDAY(V336,2)&lt;6,MOD(V336+W336,1),0)
  - IF(WEEKDAY(B336,2)&lt;6,MOD(B336+C336,1),0)
),"00")
&amp; ":" &amp;
TEXT(MINUTE(
  NETWORKDAYS(B336,V336)-1
  + IF(WEEKDAY(V336,2)&lt;6,MOD(V336+W336,1),0)
  - IF(WEEKDAY(B336,2)&lt;6,MOD(B336+C336,1),0)
),"00")</f>
        <v>7:19:20</v>
      </c>
      <c r="AQ336" s="0" t="n">
        <f aca="false">IFERROR(
LEFT(AP336,FIND(":",AP336)-1)
+ MID(AP336,FIND(":",AP336)+1,2)/24
+ RIGHT(AP336,2)/1440,
"")</f>
        <v>7.80555555555556</v>
      </c>
      <c r="AR336" s="0" t="n">
        <f aca="false">WEEKNUM(B336,1)</f>
        <v>20</v>
      </c>
      <c r="AS336" s="17" t="n">
        <f aca="false">IF(B336&gt;0, (B336+C336)-TIME(13,30,0), "")</f>
        <v>46156.5076388889</v>
      </c>
      <c r="AT336" s="18" t="n">
        <f aca="false">IF(B336&gt;0, (B336+C336)-TIME(13,30,0), "")</f>
        <v>46156.5076388889</v>
      </c>
      <c r="AU336" s="17" t="n">
        <f aca="false">IF(V336&gt;0, (V336+W336)-TIME(13,30,0), "")</f>
        <v>46168.3138888889</v>
      </c>
      <c r="AV336" s="18" t="n">
        <f aca="false">IF(V336&gt;0, (V336+W336)-TIME(13,30,0), "")</f>
        <v>46168.3138888889</v>
      </c>
      <c r="AW336" s="19" t="n">
        <f aca="false">24*(
MAX(0,
IF(NETWORKDAYS(AS336,AU336)=1,
MIN(MOD(AV336,1),TIME(17,30,0)) - MAX(MOD(AT336,1),TIME(8,30,0)),
(TIME(17,30,0)-MAX(MOD(AT336,1),TIME(8,30,0)))
+ (MIN(MOD(AV336,1),TIME(17,30,0))-TIME(8,30,0))
+ (NETWORKDAYS(AS336,AU336)-2)*9/24
)
)
)</f>
        <v>67.35</v>
      </c>
      <c r="AX336" s="19" t="n">
        <f aca="false">24*(
MAX(0,
IF(NETWORKDAYS(AS336,AU336)=1,
MIN(MOD(AV336,1),TIME(17,30,0)) - MAX(MOD(AT336,1),TIME(8,30,0)),
(TIME(17,30,0)-MAX(MOD(AT336,1),TIME(8,30,0)))
+ (MIN(MOD(AV336,1),TIME(17,30,0))-TIME(8,30,0))
+ (NETWORKDAYS(AS336,AU336)-2)* (TIME(17,30,0)-TIME(8,30,0))
)
)
)</f>
        <v>67.35</v>
      </c>
      <c r="AY336" s="20" t="n">
        <f aca="false">ROUND(
IF(AS336=AU336,
MAX(0,
(MIN(MOD(AV336,1),TIME(17,30,0))-
MAX(MOD(AT336,1),TIME(8,30,0)))*24
),
(
(MAX(0,TIME(17,30,0)-MAX(MOD(AT336,1),TIME(8,30,0)))*24)
+
(MAX(0,MIN(MOD(AV336,1),TIME(17,30,0))-TIME(8,30,0))*24)
+
(MAX(0,NETWORKDAYS(AS336+1,AU336-1))*9)
)
),
2)</f>
        <v>68.32</v>
      </c>
      <c r="AZ336" s="0" t="n">
        <f aca="false" t="array" ref="AZ336:AZ336">_xlfn.XLOOKUP(J336,{"Low","Medium","High"},{270,72,24})</f>
        <v>270</v>
      </c>
      <c r="BA336" s="0" t="str">
        <f aca="false">IF(AW336&gt;AZ336,"Not Met","Met")</f>
        <v>Met</v>
      </c>
      <c r="BB336" s="21" t="str">
        <f aca="false">IF(AS336="","",TEXT(AS336,"MMM")&amp;"'"&amp;TEXT(AS336,"yy"))</f>
        <v>May'26</v>
      </c>
      <c r="BC336" s="0" t="str">
        <f aca="false">IF(AU336="","",TEXT(AU336,"MMM")&amp;"'"&amp;TEXT(AU336,"yy"))</f>
        <v>May'26</v>
      </c>
    </row>
    <row r="337" customFormat="false" ht="15" hidden="false" customHeight="false" outlineLevel="0" collapsed="false">
      <c r="A337" s="1" t="s">
        <v>1139</v>
      </c>
      <c r="B337" s="11" t="n">
        <v>46158</v>
      </c>
      <c r="C337" s="12" t="n">
        <v>0.0319444444444444</v>
      </c>
      <c r="D337" s="13" t="str">
        <f aca="false">IF(B337="","",TEXT(B337,"MMM")&amp;"'"&amp;TEXT(B337,"yy"))</f>
        <v>May'26</v>
      </c>
      <c r="E337" s="1" t="s">
        <v>55</v>
      </c>
      <c r="F337" s="1" t="s">
        <v>39</v>
      </c>
      <c r="G337" s="1" t="str">
        <f aca="false">IF(F337="Closed","Closed","Pending")</f>
        <v>Closed</v>
      </c>
      <c r="H337" s="27" t="s">
        <v>72</v>
      </c>
      <c r="I337" s="1" t="s">
        <v>1140</v>
      </c>
      <c r="J337" s="35" t="s">
        <v>58</v>
      </c>
      <c r="K337" s="1" t="s">
        <v>59</v>
      </c>
      <c r="L337" s="1" t="s">
        <v>1141</v>
      </c>
      <c r="M337" s="1" t="s">
        <v>1142</v>
      </c>
      <c r="N337" s="1" t="s">
        <v>62</v>
      </c>
      <c r="O337" s="1" t="s">
        <v>63</v>
      </c>
      <c r="Q337" s="1" t="s">
        <v>229</v>
      </c>
      <c r="R337" s="1" t="s">
        <v>87</v>
      </c>
      <c r="U337" s="12" t="n">
        <v>0.0472222222222222</v>
      </c>
      <c r="V337" s="11" t="n">
        <v>46168</v>
      </c>
      <c r="W337" s="12" t="n">
        <v>0.879861111111111</v>
      </c>
      <c r="X337" s="11" t="n">
        <v>46170</v>
      </c>
      <c r="Y337" s="12" t="n">
        <v>0.902777777777778</v>
      </c>
      <c r="Z337" s="1" t="s">
        <v>108</v>
      </c>
      <c r="AA337" s="1" t="s">
        <v>68</v>
      </c>
      <c r="AB337" s="2" t="e">
        <f aca="false">U337-F337</f>
        <v>#VALUE!</v>
      </c>
      <c r="AC337" s="14" t="n">
        <f aca="false">(V337+W337)-(B337+C337)</f>
        <v>10.8479166666667</v>
      </c>
      <c r="AD337" s="4" t="str">
        <f aca="false">INT((V337+W337)-(B337+C337)) &amp; ":" &amp;
TEXT(HOUR((V337+W337)-(B337+C337)), "00") &amp; ":" &amp;
TEXT(MINUTE((V337+W337)-(B337+C337)), "00")</f>
        <v>10:20:21</v>
      </c>
      <c r="AE337" s="1" t="n">
        <f aca="false">IFERROR(
LEFT(AD337,FIND(":",AD337)-1)
+ MID(AD337,FIND(":",AD337)+1,2)/24
+ RIGHT(AD337,2)/1440,
"")</f>
        <v>10.8479166666667</v>
      </c>
      <c r="AF337" s="4" t="str">
        <f aca="false">INT((X337+Y337)-(B337+C337)) &amp; ":" &amp;
TEXT(HOUR((X337+Y337)-(B337+C337)), "00") &amp; ":" &amp;
TEXT(MINUTE((X337+Y337)-(B337+C337)), "00")</f>
        <v>12:20:54</v>
      </c>
      <c r="AG337" s="4" t="str">
        <f aca="false" t="array" ref="AG337:AG337">INT(_xlfn.XLOOKUP(J337,{"Low","Medium","High","Urgent"},{48,24,12,8})/24) &amp; ":" &amp;
TEXT(MOD(_xlfn.XLOOKUP(J337,{"Low","Medium","High","Urgent"},{48,24,12,8}),24)/24,"hh:mm")</f>
        <v>1:00:00</v>
      </c>
      <c r="AH337" s="4" t="str">
        <f aca="false">IF(AD337&gt;AG337,"Not Met","Met")</f>
        <v>Not Met</v>
      </c>
      <c r="AI337" s="4" t="e">
        <f aca="false">IF(AB337&lt;TIME(0,30,0),"Met","Not Met")</f>
        <v>#VALUE!</v>
      </c>
      <c r="AN337" s="1" t="str">
        <f aca="false">TEXT(B337,"dd")</f>
        <v>16</v>
      </c>
      <c r="AO337" s="1" t="str">
        <f aca="false">TEXT(X337,"dd")</f>
        <v>28</v>
      </c>
      <c r="AP337" s="16" t="str">
        <f aca="false">INT(
  NETWORKDAYS(B337,V337)-1
  + IF(WEEKDAY(V337,2)&lt;6,MOD(V337+W337,1),0)
  - IF(WEEKDAY(B337,2)&lt;6,MOD(B337+C337,1),0)
)
&amp; ":" &amp;
TEXT(HOUR(
  NETWORKDAYS(B337,V337)-1
  + IF(WEEKDAY(V337,2)&lt;6,MOD(V337+W337,1),0)
  - IF(WEEKDAY(B337,2)&lt;6,MOD(B337+C337,1),0)
),"00")
&amp; ":" &amp;
TEXT(MINUTE(
  NETWORKDAYS(B337,V337)-1
  + IF(WEEKDAY(V337,2)&lt;6,MOD(V337+W337,1),0)
  - IF(WEEKDAY(B337,2)&lt;6,MOD(B337+C337,1),0)
),"00")</f>
        <v>6:21:07</v>
      </c>
      <c r="AQ337" s="0" t="n">
        <f aca="false">IFERROR(
LEFT(AP337,FIND(":",AP337)-1)
+ MID(AP337,FIND(":",AP337)+1,2)/24
+ RIGHT(AP337,2)/1440,
"")</f>
        <v>6.87986111111111</v>
      </c>
      <c r="AR337" s="0" t="n">
        <f aca="false">WEEKNUM(B337,1)</f>
        <v>20</v>
      </c>
      <c r="AS337" s="17" t="n">
        <f aca="false">IF(B337&gt;0, (B337+C337)-TIME(13,30,0), "")</f>
        <v>46157.4694444445</v>
      </c>
      <c r="AT337" s="18" t="n">
        <f aca="false">IF(B337&gt;0, (B337+C337)-TIME(13,30,0), "")</f>
        <v>46157.4694444445</v>
      </c>
      <c r="AU337" s="17" t="n">
        <f aca="false">IF(V337&gt;0, (V337+W337)-TIME(13,30,0), "")</f>
        <v>46168.3173611111</v>
      </c>
      <c r="AV337" s="18" t="n">
        <f aca="false">IF(V337&gt;0, (V337+W337)-TIME(13,30,0), "")</f>
        <v>46168.3173611111</v>
      </c>
      <c r="AW337" s="19" t="n">
        <f aca="false">24*(
MAX(0,
IF(NETWORKDAYS(AS337,AU337)=1,
MIN(MOD(AV337,1),TIME(17,30,0)) - MAX(MOD(AT337,1),TIME(8,30,0)),
(TIME(17,30,0)-MAX(MOD(AT337,1),TIME(8,30,0)))
+ (MIN(MOD(AV337,1),TIME(17,30,0))-TIME(8,30,0))
+ (NETWORKDAYS(AS337,AU337)-2)*9/24
)
)
)</f>
        <v>59.35</v>
      </c>
      <c r="AX337" s="19" t="n">
        <f aca="false">24*(
MAX(0,
IF(NETWORKDAYS(AS337,AU337)=1,
MIN(MOD(AV337,1),TIME(17,30,0)) - MAX(MOD(AT337,1),TIME(8,30,0)),
(TIME(17,30,0)-MAX(MOD(AT337,1),TIME(8,30,0)))
+ (MIN(MOD(AV337,1),TIME(17,30,0))-TIME(8,30,0))
+ (NETWORKDAYS(AS337,AU337)-2)* (TIME(17,30,0)-TIME(8,30,0))
)
)
)</f>
        <v>59.35</v>
      </c>
      <c r="AY337" s="20" t="n">
        <f aca="false">ROUND(
IF(AS337=AU337,
MAX(0,
(MIN(MOD(AV337,1),TIME(17,30,0))-
MAX(MOD(AT337,1),TIME(8,30,0)))*24
),
(
(MAX(0,TIME(17,30,0)-MAX(MOD(AT337,1),TIME(8,30,0)))*24)
+
(MAX(0,MIN(MOD(AV337,1),TIME(17,30,0))-TIME(8,30,0))*24)
+
(MAX(0,NETWORKDAYS(AS337+1,AU337-1))*9)
)
),
2)</f>
        <v>60.23</v>
      </c>
      <c r="AZ337" s="0" t="n">
        <f aca="false" t="array" ref="AZ337:AZ337">_xlfn.XLOOKUP(J337,{"Low","Medium","High"},{270,72,24})</f>
        <v>72</v>
      </c>
      <c r="BA337" s="0" t="str">
        <f aca="false">IF(AW337&gt;AZ337,"Not Met","Met")</f>
        <v>Met</v>
      </c>
      <c r="BB337" s="21" t="str">
        <f aca="false">IF(AS337="","",TEXT(AS337,"MMM")&amp;"'"&amp;TEXT(AS337,"yy"))</f>
        <v>May'26</v>
      </c>
      <c r="BC337" s="0" t="str">
        <f aca="false">IF(AU337="","",TEXT(AU337,"MMM")&amp;"'"&amp;TEXT(AU337,"yy"))</f>
        <v>May'26</v>
      </c>
    </row>
    <row r="338" customFormat="false" ht="15" hidden="false" customHeight="false" outlineLevel="0" collapsed="false">
      <c r="A338" s="1" t="s">
        <v>1143</v>
      </c>
      <c r="B338" s="11" t="n">
        <v>46160</v>
      </c>
      <c r="C338" s="12" t="n">
        <v>0.803472222222222</v>
      </c>
      <c r="D338" s="13" t="str">
        <f aca="false">IF(B338="","",TEXT(B338,"MMM")&amp;"'"&amp;TEXT(B338,"yy"))</f>
        <v>May'26</v>
      </c>
      <c r="E338" s="1" t="s">
        <v>55</v>
      </c>
      <c r="F338" s="1" t="s">
        <v>39</v>
      </c>
      <c r="G338" s="1" t="str">
        <f aca="false">IF(F338="Closed","Closed","Pending")</f>
        <v>Closed</v>
      </c>
      <c r="H338" s="27" t="s">
        <v>120</v>
      </c>
      <c r="I338" s="1" t="s">
        <v>349</v>
      </c>
      <c r="J338" s="35" t="s">
        <v>74</v>
      </c>
      <c r="K338" s="1" t="s">
        <v>59</v>
      </c>
      <c r="L338" s="1" t="s">
        <v>1144</v>
      </c>
      <c r="M338" s="1" t="s">
        <v>1145</v>
      </c>
      <c r="N338" s="1" t="s">
        <v>62</v>
      </c>
      <c r="O338" s="1" t="s">
        <v>77</v>
      </c>
      <c r="Q338" s="1" t="s">
        <v>65</v>
      </c>
      <c r="R338" s="1" t="s">
        <v>87</v>
      </c>
      <c r="U338" s="12" t="n">
        <v>0.867361111111111</v>
      </c>
      <c r="V338" s="11" t="n">
        <v>46168</v>
      </c>
      <c r="W338" s="12" t="n">
        <v>0.765972222222222</v>
      </c>
      <c r="X338" s="11" t="n">
        <v>46168</v>
      </c>
      <c r="Y338" s="12" t="n">
        <v>0.765972222222222</v>
      </c>
      <c r="Z338" s="1" t="s">
        <v>67</v>
      </c>
      <c r="AA338" s="1" t="s">
        <v>68</v>
      </c>
      <c r="AB338" s="2" t="e">
        <f aca="false">U338-F338</f>
        <v>#VALUE!</v>
      </c>
      <c r="AC338" s="14" t="n">
        <f aca="false">(V338+W338)-(B338+C338)</f>
        <v>7.9625</v>
      </c>
      <c r="AD338" s="4" t="str">
        <f aca="false">INT((V338+W338)-(B338+C338)) &amp; ":" &amp;
TEXT(HOUR((V338+W338)-(B338+C338)), "00") &amp; ":" &amp;
TEXT(MINUTE((V338+W338)-(B338+C338)), "00")</f>
        <v>7:23:06</v>
      </c>
      <c r="AE338" s="1" t="n">
        <f aca="false">IFERROR(
LEFT(AD338,FIND(":",AD338)-1)
+ MID(AD338,FIND(":",AD338)+1,2)/24
+ RIGHT(AD338,2)/1440,
"")</f>
        <v>7.9625</v>
      </c>
      <c r="AF338" s="4" t="str">
        <f aca="false">INT((X338+Y338)-(B338+C338)) &amp; ":" &amp;
TEXT(HOUR((X338+Y338)-(B338+C338)), "00") &amp; ":" &amp;
TEXT(MINUTE((X338+Y338)-(B338+C338)), "00")</f>
        <v>7:23:06</v>
      </c>
      <c r="AG338" s="4" t="str">
        <f aca="false" t="array" ref="AG338:AG338">INT(_xlfn.XLOOKUP(J338,{"Low","Medium","High","Urgent"},{48,24,12,8})/24) &amp; ":" &amp;
TEXT(MOD(_xlfn.XLOOKUP(J338,{"Low","Medium","High","Urgent"},{48,24,12,8}),24)/24,"hh:mm")</f>
        <v>2:00:00</v>
      </c>
      <c r="AH338" s="4" t="str">
        <f aca="false">IF(AD338&gt;AG338,"Not Met","Met")</f>
        <v>Not Met</v>
      </c>
      <c r="AI338" s="4" t="e">
        <f aca="false">IF(AB338&lt;TIME(0,30,0),"Met","Not Met")</f>
        <v>#VALUE!</v>
      </c>
      <c r="AN338" s="1" t="str">
        <f aca="false">TEXT(B338,"dd")</f>
        <v>18</v>
      </c>
      <c r="AO338" s="1" t="str">
        <f aca="false">TEXT(X338,"dd")</f>
        <v>26</v>
      </c>
      <c r="AP338" s="16" t="str">
        <f aca="false">INT(
  NETWORKDAYS(B338,V338)-1
  + IF(WEEKDAY(V338,2)&lt;6,MOD(V338+W338,1),0)
  - IF(WEEKDAY(B338,2)&lt;6,MOD(B338+C338,1),0)
)
&amp; ":" &amp;
TEXT(HOUR(
  NETWORKDAYS(B338,V338)-1
  + IF(WEEKDAY(V338,2)&lt;6,MOD(V338+W338,1),0)
  - IF(WEEKDAY(B338,2)&lt;6,MOD(B338+C338,1),0)
),"00")
&amp; ":" &amp;
TEXT(MINUTE(
  NETWORKDAYS(B338,V338)-1
  + IF(WEEKDAY(V338,2)&lt;6,MOD(V338+W338,1),0)
  - IF(WEEKDAY(B338,2)&lt;6,MOD(B338+C338,1),0)
),"00")</f>
        <v>5:23:06</v>
      </c>
      <c r="AQ338" s="0" t="n">
        <f aca="false">IFERROR(
LEFT(AP338,FIND(":",AP338)-1)
+ MID(AP338,FIND(":",AP338)+1,2)/24
+ RIGHT(AP338,2)/1440,
"")</f>
        <v>5.9625</v>
      </c>
      <c r="AR338" s="0" t="n">
        <f aca="false">WEEKNUM(B338,1)</f>
        <v>21</v>
      </c>
      <c r="AS338" s="17" t="n">
        <f aca="false">IF(B338&gt;0, (B338+C338)-TIME(13,30,0), "")</f>
        <v>46160.2409722222</v>
      </c>
      <c r="AT338" s="18" t="n">
        <f aca="false">IF(B338&gt;0, (B338+C338)-TIME(13,30,0), "")</f>
        <v>46160.2409722222</v>
      </c>
      <c r="AU338" s="17" t="n">
        <f aca="false">IF(V338&gt;0, (V338+W338)-TIME(13,30,0), "")</f>
        <v>46168.2034722222</v>
      </c>
      <c r="AV338" s="18" t="n">
        <f aca="false">IF(V338&gt;0, (V338+W338)-TIME(13,30,0), "")</f>
        <v>46168.2034722222</v>
      </c>
      <c r="AW338" s="19" t="n">
        <f aca="false">24*(
MAX(0,
IF(NETWORKDAYS(AS338,AU338)=1,
MIN(MOD(AV338,1),TIME(17,30,0)) - MAX(MOD(AT338,1),TIME(8,30,0)),
(TIME(17,30,0)-MAX(MOD(AT338,1),TIME(8,30,0)))
+ (MIN(MOD(AV338,1),TIME(17,30,0))-TIME(8,30,0))
+ (NETWORKDAYS(AS338,AU338)-2)*9/24
)
)
)</f>
        <v>50.3833333333333</v>
      </c>
      <c r="AX338" s="19" t="n">
        <f aca="false">24*(
MAX(0,
IF(NETWORKDAYS(AS338,AU338)=1,
MIN(MOD(AV338,1),TIME(17,30,0)) - MAX(MOD(AT338,1),TIME(8,30,0)),
(TIME(17,30,0)-MAX(MOD(AT338,1),TIME(8,30,0)))
+ (MIN(MOD(AV338,1),TIME(17,30,0))-TIME(8,30,0))
+ (NETWORKDAYS(AS338,AU338)-2)* (TIME(17,30,0)-TIME(8,30,0))
)
)
)</f>
        <v>50.3833333333333</v>
      </c>
      <c r="AY338" s="20" t="n">
        <f aca="false">ROUND(
IF(AS338=AU338,
MAX(0,
(MIN(MOD(AV338,1),TIME(17,30,0))-
MAX(MOD(AT338,1),TIME(8,30,0)))*24
),
(
(MAX(0,TIME(17,30,0)-MAX(MOD(AT338,1),TIME(8,30,0)))*24)
+
(MAX(0,MIN(MOD(AV338,1),TIME(17,30,0))-TIME(8,30,0))*24)
+
(MAX(0,NETWORKDAYS(AS338+1,AU338-1))*9)
)
),
2)</f>
        <v>54</v>
      </c>
      <c r="AZ338" s="0" t="n">
        <f aca="false" t="array" ref="AZ338:AZ338">_xlfn.XLOOKUP(J338,{"Low","Medium","High"},{270,72,24})</f>
        <v>270</v>
      </c>
      <c r="BA338" s="0" t="str">
        <f aca="false">IF(AW338&gt;AZ338,"Not Met","Met")</f>
        <v>Met</v>
      </c>
      <c r="BB338" s="21" t="str">
        <f aca="false">IF(AS338="","",TEXT(AS338,"MMM")&amp;"'"&amp;TEXT(AS338,"yy"))</f>
        <v>May'26</v>
      </c>
      <c r="BC338" s="0" t="str">
        <f aca="false">IF(AU338="","",TEXT(AU338,"MMM")&amp;"'"&amp;TEXT(AU338,"yy"))</f>
        <v>May'26</v>
      </c>
    </row>
    <row r="339" customFormat="false" ht="15" hidden="false" customHeight="false" outlineLevel="0" collapsed="false">
      <c r="A339" s="1" t="s">
        <v>1146</v>
      </c>
      <c r="B339" s="11" t="n">
        <v>46161</v>
      </c>
      <c r="C339" s="12" t="n">
        <v>0.0659722222222222</v>
      </c>
      <c r="D339" s="13" t="str">
        <f aca="false">IF(B339="","",TEXT(B339,"MMM")&amp;"'"&amp;TEXT(B339,"yy"))</f>
        <v>May'26</v>
      </c>
      <c r="E339" s="1" t="s">
        <v>55</v>
      </c>
      <c r="F339" s="1" t="s">
        <v>140</v>
      </c>
      <c r="G339" s="1" t="str">
        <f aca="false">IF(F339="Closed","Closed","Pending")</f>
        <v>Pending</v>
      </c>
      <c r="H339" s="27" t="s">
        <v>120</v>
      </c>
      <c r="I339" s="1" t="s">
        <v>349</v>
      </c>
      <c r="J339" s="35" t="s">
        <v>74</v>
      </c>
      <c r="K339" s="1" t="s">
        <v>59</v>
      </c>
      <c r="L339" s="1" t="s">
        <v>1147</v>
      </c>
      <c r="M339" s="1" t="s">
        <v>1148</v>
      </c>
      <c r="N339" s="1" t="s">
        <v>62</v>
      </c>
      <c r="O339" s="1" t="s">
        <v>143</v>
      </c>
      <c r="Q339" s="1" t="s">
        <v>143</v>
      </c>
      <c r="R339" s="1" t="s">
        <v>87</v>
      </c>
      <c r="U339" s="12" t="n">
        <v>0.0854166666666667</v>
      </c>
      <c r="Z339" s="1" t="s">
        <v>108</v>
      </c>
      <c r="AB339" s="2" t="e">
        <f aca="false">U339-F339</f>
        <v>#VALUE!</v>
      </c>
      <c r="AC339" s="14" t="n">
        <f aca="false">(V339+W339)-(B339+C339)</f>
        <v>-46161.0659722222</v>
      </c>
      <c r="AD339" s="4" t="str">
        <f aca="false">INT((V339+W339)-(B339+C339)) &amp; ":" &amp;
TEXT(HOUR((V339+W339)-(B339+C339)), "00") &amp; ":" &amp;
TEXT(MINUTE((V339+W339)-(B339+C339)), "00")</f>
        <v>-46162:22:25</v>
      </c>
      <c r="AE339" s="1" t="n">
        <f aca="false">IFERROR(
LEFT(AD339,FIND(":",AD339)-1)
+ MID(AD339,FIND(":",AD339)+1,2)/24
+ RIGHT(AD339,2)/1440,
"")</f>
        <v>-46161.0659722222</v>
      </c>
      <c r="AF339" s="4" t="str">
        <f aca="false">INT((X339+Y339)-(B339+C339)) &amp; ":" &amp;
TEXT(HOUR((X339+Y339)-(B339+C339)), "00") &amp; ":" &amp;
TEXT(MINUTE((X339+Y339)-(B339+C339)), "00")</f>
        <v>-46162:22:25</v>
      </c>
      <c r="AG339" s="4" t="str">
        <f aca="false" t="array" ref="AG339:AG339">INT(_xlfn.XLOOKUP(J339,{"Low","Medium","High","Urgent"},{48,24,12,8})/24) &amp; ":" &amp;
TEXT(MOD(_xlfn.XLOOKUP(J339,{"Low","Medium","High","Urgent"},{48,24,12,8}),24)/24,"hh:mm")</f>
        <v>2:00:00</v>
      </c>
      <c r="AH339" s="4" t="str">
        <f aca="false">IF(AD339&gt;AG339,"Not Met","Met")</f>
        <v>Met</v>
      </c>
      <c r="AI339" s="4" t="e">
        <f aca="false">IF(AB339&lt;TIME(0,30,0),"Met","Not Met")</f>
        <v>#VALUE!</v>
      </c>
      <c r="AN339" s="1" t="str">
        <f aca="false">TEXT(B339,"dd")</f>
        <v>19</v>
      </c>
      <c r="AO339" s="1" t="str">
        <f aca="false">TEXT(X339,"dd")</f>
        <v>30</v>
      </c>
      <c r="AP339" s="16" t="str">
        <f aca="false">INT(
  NETWORKDAYS(B339,V339)-1
  + IF(WEEKDAY(V339,2)&lt;6,MOD(V339+W339,1),0)
  - IF(WEEKDAY(B339,2)&lt;6,MOD(B339+C339,1),0)
)
&amp; ":" &amp;
TEXT(HOUR(
  NETWORKDAYS(B339,V339)-1
  + IF(WEEKDAY(V339,2)&lt;6,MOD(V339+W339,1),0)
  - IF(WEEKDAY(B339,2)&lt;6,MOD(B339+C339,1),0)
),"00")
&amp; ":" &amp;
TEXT(MINUTE(
  NETWORKDAYS(B339,V339)-1
  + IF(WEEKDAY(V339,2)&lt;6,MOD(V339+W339,1),0)
  - IF(WEEKDAY(B339,2)&lt;6,MOD(B339+C339,1),0)
),"00")</f>
        <v>-32974:22:25</v>
      </c>
      <c r="AQ339" s="0" t="n">
        <f aca="false">IFERROR(
LEFT(AP339,FIND(":",AP339)-1)
+ MID(AP339,FIND(":",AP339)+1,2)/24
+ RIGHT(AP339,2)/1440,
"")</f>
        <v>-32973.0659722222</v>
      </c>
      <c r="AR339" s="0" t="n">
        <f aca="false">WEEKNUM(B339,1)</f>
        <v>21</v>
      </c>
      <c r="AS339" s="17" t="n">
        <f aca="false">IF(B339&gt;0, (B339+C339)-TIME(13,30,0), "")</f>
        <v>46160.5034722222</v>
      </c>
      <c r="AT339" s="18" t="n">
        <f aca="false">IF(B339&gt;0, (B339+C339)-TIME(13,30,0), "")</f>
        <v>46160.5034722222</v>
      </c>
      <c r="AU339" s="17" t="str">
        <f aca="false">IF(V339&gt;0, (V339+W339)-TIME(13,30,0), "")</f>
        <v/>
      </c>
      <c r="AV339" s="18" t="str">
        <f aca="false">IF(V339&gt;0, (V339+W339)-TIME(13,30,0), "")</f>
        <v/>
      </c>
      <c r="AW339" s="19" t="e">
        <f aca="false">24*(
MAX(0,
IF(NETWORKDAYS(AS339,AU339)=1,
MIN(MOD(AV339,1),TIME(17,30,0)) - MAX(MOD(AT339,1),TIME(8,30,0)),
(TIME(17,30,0)-MAX(MOD(AT339,1),TIME(8,30,0)))
+ (MIN(MOD(AV339,1),TIME(17,30,0))-TIME(8,30,0))
+ (NETWORKDAYS(AS339,AU339)-2)*9/24
)
)
)</f>
        <v>#VALUE!</v>
      </c>
      <c r="AX339" s="19" t="e">
        <f aca="false">24*(
MAX(0,
IF(NETWORKDAYS(AS339,AU339)=1,
MIN(MOD(AV339,1),TIME(17,30,0)) - MAX(MOD(AT339,1),TIME(8,30,0)),
(TIME(17,30,0)-MAX(MOD(AT339,1),TIME(8,30,0)))
+ (MIN(MOD(AV339,1),TIME(17,30,0))-TIME(8,30,0))
+ (NETWORKDAYS(AS339,AU339)-2)* (TIME(17,30,0)-TIME(8,30,0))
)
)
)</f>
        <v>#VALUE!</v>
      </c>
      <c r="AY339" s="20" t="e">
        <f aca="false">ROUND(
IF(AS339=AU339,
MAX(0,
(MIN(MOD(AV339,1),TIME(17,30,0))-
MAX(MOD(AT339,1),TIME(8,30,0)))*24
),
(
(MAX(0,TIME(17,30,0)-MAX(MOD(AT339,1),TIME(8,30,0)))*24)
+
(MAX(0,MIN(MOD(AV339,1),TIME(17,30,0))-TIME(8,30,0))*24)
+
(MAX(0,NETWORKDAYS(AS339+1,AU339-1))*9)
)
),
2)</f>
        <v>#VALUE!</v>
      </c>
      <c r="AZ339" s="0" t="n">
        <f aca="false" t="array" ref="AZ339:AZ339">_xlfn.XLOOKUP(J339,{"Low","Medium","High"},{270,72,24})</f>
        <v>270</v>
      </c>
      <c r="BA339" s="0" t="e">
        <f aca="false">IF(AW339&gt;AZ339,"Not Met","Met")</f>
        <v>#VALUE!</v>
      </c>
      <c r="BB339" s="21" t="str">
        <f aca="false">IF(AS339="","",TEXT(AS339,"MMM")&amp;"'"&amp;TEXT(AS339,"yy"))</f>
        <v>May'26</v>
      </c>
      <c r="BC339" s="0" t="str">
        <f aca="false">IF(AU339="","",TEXT(AU339,"MMM")&amp;"'"&amp;TEXT(AU339,"yy"))</f>
        <v/>
      </c>
    </row>
    <row r="340" customFormat="false" ht="15" hidden="false" customHeight="false" outlineLevel="0" collapsed="false">
      <c r="A340" s="1" t="s">
        <v>1149</v>
      </c>
      <c r="B340" s="11" t="n">
        <v>46161</v>
      </c>
      <c r="C340" s="12" t="n">
        <v>0.836111111111111</v>
      </c>
      <c r="D340" s="13" t="str">
        <f aca="false">IF(B340="","",TEXT(B340,"MMM")&amp;"'"&amp;TEXT(B340,"yy"))</f>
        <v>May'26</v>
      </c>
      <c r="E340" s="1" t="s">
        <v>55</v>
      </c>
      <c r="F340" s="1" t="s">
        <v>39</v>
      </c>
      <c r="G340" s="1" t="str">
        <f aca="false">IF(F340="Closed","Closed","Pending")</f>
        <v>Closed</v>
      </c>
      <c r="H340" s="27" t="s">
        <v>185</v>
      </c>
      <c r="I340" s="1" t="s">
        <v>302</v>
      </c>
      <c r="J340" s="35" t="s">
        <v>74</v>
      </c>
      <c r="K340" s="1" t="s">
        <v>59</v>
      </c>
      <c r="L340" s="1" t="s">
        <v>1150</v>
      </c>
      <c r="M340" s="1" t="s">
        <v>1151</v>
      </c>
      <c r="N340" s="1" t="s">
        <v>143</v>
      </c>
      <c r="O340" s="1" t="s">
        <v>1152</v>
      </c>
      <c r="Q340" s="1" t="s">
        <v>143</v>
      </c>
      <c r="R340" s="1" t="s">
        <v>230</v>
      </c>
      <c r="U340" s="12" t="n">
        <v>0.873611111111111</v>
      </c>
      <c r="V340" s="11" t="n">
        <v>46162</v>
      </c>
      <c r="W340" s="12" t="n">
        <v>0.891666666666667</v>
      </c>
      <c r="X340" s="11" t="n">
        <v>46162</v>
      </c>
      <c r="Y340" s="12" t="n">
        <v>0.891666666666667</v>
      </c>
      <c r="Z340" s="23" t="s">
        <v>67</v>
      </c>
      <c r="AA340" s="1" t="s">
        <v>68</v>
      </c>
      <c r="AB340" s="2" t="e">
        <f aca="false">U340-F340</f>
        <v>#VALUE!</v>
      </c>
      <c r="AC340" s="14" t="n">
        <f aca="false">(V340+W340)-(B340+C340)</f>
        <v>1.05555555555556</v>
      </c>
      <c r="AD340" s="4" t="str">
        <f aca="false">INT((V340+W340)-(B340+C340)) &amp; ":" &amp;
TEXT(HOUR((V340+W340)-(B340+C340)), "00") &amp; ":" &amp;
TEXT(MINUTE((V340+W340)-(B340+C340)), "00")</f>
        <v>1:01:20</v>
      </c>
      <c r="AE340" s="1" t="n">
        <f aca="false">IFERROR(
LEFT(AD340,FIND(":",AD340)-1)
+ MID(AD340,FIND(":",AD340)+1,2)/24
+ RIGHT(AD340,2)/1440,
"")</f>
        <v>1.05555555555556</v>
      </c>
      <c r="AF340" s="4" t="str">
        <f aca="false">INT((X340+Y340)-(B340+C340)) &amp; ":" &amp;
TEXT(HOUR((X340+Y340)-(B340+C340)), "00") &amp; ":" &amp;
TEXT(MINUTE((X340+Y340)-(B340+C340)), "00")</f>
        <v>1:01:20</v>
      </c>
      <c r="AG340" s="4" t="str">
        <f aca="false" t="array" ref="AG340:AG340">INT(_xlfn.XLOOKUP(J340,{"Low","Medium","High","Urgent"},{48,24,12,8})/24) &amp; ":" &amp;
TEXT(MOD(_xlfn.XLOOKUP(J340,{"Low","Medium","High","Urgent"},{48,24,12,8}),24)/24,"hh:mm")</f>
        <v>2:00:00</v>
      </c>
      <c r="AH340" s="4" t="str">
        <f aca="false">IF(AD340&gt;AG340,"Not Met","Met")</f>
        <v>Met</v>
      </c>
      <c r="AI340" s="4" t="e">
        <f aca="false">IF(AB340&lt;TIME(0,30,0),"Met","Not Met")</f>
        <v>#VALUE!</v>
      </c>
      <c r="AN340" s="1" t="str">
        <f aca="false">TEXT(B340,"dd")</f>
        <v>19</v>
      </c>
      <c r="AO340" s="1" t="str">
        <f aca="false">TEXT(X340,"dd")</f>
        <v>20</v>
      </c>
      <c r="AP340" s="16" t="str">
        <f aca="false">INT(
  NETWORKDAYS(B340,V340)-1
  + IF(WEEKDAY(V340,2)&lt;6,MOD(V340+W340,1),0)
  - IF(WEEKDAY(B340,2)&lt;6,MOD(B340+C340,1),0)
)
&amp; ":" &amp;
TEXT(HOUR(
  NETWORKDAYS(B340,V340)-1
  + IF(WEEKDAY(V340,2)&lt;6,MOD(V340+W340,1),0)
  - IF(WEEKDAY(B340,2)&lt;6,MOD(B340+C340,1),0)
),"00")
&amp; ":" &amp;
TEXT(MINUTE(
  NETWORKDAYS(B340,V340)-1
  + IF(WEEKDAY(V340,2)&lt;6,MOD(V340+W340,1),0)
  - IF(WEEKDAY(B340,2)&lt;6,MOD(B340+C340,1),0)
),"00")</f>
        <v>1:01:20</v>
      </c>
      <c r="AQ340" s="0" t="n">
        <f aca="false">IFERROR(
LEFT(AP340,FIND(":",AP340)-1)
+ MID(AP340,FIND(":",AP340)+1,2)/24
+ RIGHT(AP340,2)/1440,
"")</f>
        <v>1.05555555555556</v>
      </c>
      <c r="AR340" s="0" t="n">
        <f aca="false">WEEKNUM(B340,1)</f>
        <v>21</v>
      </c>
      <c r="AS340" s="17" t="n">
        <f aca="false">IF(B340&gt;0, (B340+C340)-TIME(13,30,0), "")</f>
        <v>46161.2736111111</v>
      </c>
      <c r="AT340" s="18" t="n">
        <f aca="false">IF(B340&gt;0, (B340+C340)-TIME(13,30,0), "")</f>
        <v>46161.2736111111</v>
      </c>
      <c r="AU340" s="17" t="n">
        <f aca="false">IF(V340&gt;0, (V340+W340)-TIME(13,30,0), "")</f>
        <v>46162.3291666667</v>
      </c>
      <c r="AV340" s="18" t="n">
        <f aca="false">IF(V340&gt;0, (V340+W340)-TIME(13,30,0), "")</f>
        <v>46162.3291666667</v>
      </c>
      <c r="AW340" s="19" t="n">
        <f aca="false">24*(
MAX(0,
IF(NETWORKDAYS(AS340,AU340)=1,
MIN(MOD(AV340,1),TIME(17,30,0)) - MAX(MOD(AT340,1),TIME(8,30,0)),
(TIME(17,30,0)-MAX(MOD(AT340,1),TIME(8,30,0)))
+ (MIN(MOD(AV340,1),TIME(17,30,0))-TIME(8,30,0))
+ (NETWORKDAYS(AS340,AU340)-2)*9/24
)
)
)</f>
        <v>8.4</v>
      </c>
      <c r="AX340" s="19" t="n">
        <f aca="false">24*(
MAX(0,
IF(NETWORKDAYS(AS340,AU340)=1,
MIN(MOD(AV340,1),TIME(17,30,0)) - MAX(MOD(AT340,1),TIME(8,30,0)),
(TIME(17,30,0)-MAX(MOD(AT340,1),TIME(8,30,0)))
+ (MIN(MOD(AV340,1),TIME(17,30,0))-TIME(8,30,0))
+ (NETWORKDAYS(AS340,AU340)-2)* (TIME(17,30,0)-TIME(8,30,0))
)
)
)</f>
        <v>8.4</v>
      </c>
      <c r="AY340" s="20" t="n">
        <f aca="false">ROUND(
IF(AS340=AU340,
MAX(0,
(MIN(MOD(AV340,1),TIME(17,30,0))-
MAX(MOD(AT340,1),TIME(8,30,0)))*24
),
(
(MAX(0,TIME(17,30,0)-MAX(MOD(AT340,1),TIME(8,30,0)))*24)
+
(MAX(0,MIN(MOD(AV340,1),TIME(17,30,0))-TIME(8,30,0))*24)
+
(MAX(0,NETWORKDAYS(AS340+1,AU340-1))*9)
)
),
2)</f>
        <v>9</v>
      </c>
      <c r="AZ340" s="0" t="n">
        <f aca="false" t="array" ref="AZ340:AZ340">_xlfn.XLOOKUP(J340,{"Low","Medium","High"},{270,72,24})</f>
        <v>270</v>
      </c>
      <c r="BA340" s="0" t="str">
        <f aca="false">IF(AW340&gt;AZ340,"Not Met","Met")</f>
        <v>Met</v>
      </c>
      <c r="BB340" s="21" t="str">
        <f aca="false">IF(AS340="","",TEXT(AS340,"MMM")&amp;"'"&amp;TEXT(AS340,"yy"))</f>
        <v>May'26</v>
      </c>
      <c r="BC340" s="0" t="str">
        <f aca="false">IF(AU340="","",TEXT(AU340,"MMM")&amp;"'"&amp;TEXT(AU340,"yy"))</f>
        <v>May'26</v>
      </c>
    </row>
    <row r="341" customFormat="false" ht="15" hidden="false" customHeight="false" outlineLevel="0" collapsed="false">
      <c r="A341" s="1" t="s">
        <v>1153</v>
      </c>
      <c r="B341" s="11" t="n">
        <v>46161</v>
      </c>
      <c r="C341" s="12" t="n">
        <v>0.86875</v>
      </c>
      <c r="D341" s="13" t="str">
        <f aca="false">IF(B341="","",TEXT(B341,"MMM")&amp;"'"&amp;TEXT(B341,"yy"))</f>
        <v>May'26</v>
      </c>
      <c r="E341" s="1" t="s">
        <v>55</v>
      </c>
      <c r="F341" s="1" t="s">
        <v>39</v>
      </c>
      <c r="G341" s="1" t="str">
        <f aca="false">IF(F341="Closed","Closed","Pending")</f>
        <v>Closed</v>
      </c>
      <c r="H341" s="27" t="s">
        <v>185</v>
      </c>
      <c r="I341" s="1" t="s">
        <v>302</v>
      </c>
      <c r="J341" s="35" t="s">
        <v>74</v>
      </c>
      <c r="K341" s="1" t="s">
        <v>59</v>
      </c>
      <c r="L341" s="1" t="s">
        <v>1154</v>
      </c>
      <c r="M341" s="1" t="s">
        <v>1155</v>
      </c>
      <c r="N341" s="1" t="s">
        <v>65</v>
      </c>
      <c r="O341" s="1" t="s">
        <v>77</v>
      </c>
      <c r="Q341" s="1" t="s">
        <v>65</v>
      </c>
      <c r="R341" s="1" t="s">
        <v>230</v>
      </c>
      <c r="U341" s="12" t="n">
        <v>0.873611111111111</v>
      </c>
      <c r="V341" s="11" t="n">
        <v>46209</v>
      </c>
      <c r="W341" s="12" t="n">
        <v>0.954166666666667</v>
      </c>
      <c r="X341" s="11" t="n">
        <v>46209</v>
      </c>
      <c r="Y341" s="12" t="n">
        <v>0.965277777777778</v>
      </c>
      <c r="Z341" s="23" t="s">
        <v>108</v>
      </c>
      <c r="AA341" s="1" t="s">
        <v>68</v>
      </c>
      <c r="AB341" s="2" t="e">
        <f aca="false">U341-F341</f>
        <v>#VALUE!</v>
      </c>
      <c r="AC341" s="14" t="n">
        <f aca="false">(V341+W341)-(B341+C341)</f>
        <v>48.0854166666667</v>
      </c>
      <c r="AD341" s="4" t="str">
        <f aca="false">INT((V341+W341)-(B341+C341)) &amp; ":" &amp;
TEXT(HOUR((V341+W341)-(B341+C341)), "00") &amp; ":" &amp;
TEXT(MINUTE((V341+W341)-(B341+C341)), "00")</f>
        <v>48:02:03</v>
      </c>
      <c r="AE341" s="1" t="n">
        <f aca="false">IFERROR(
LEFT(AD341,FIND(":",AD341)-1)
+ MID(AD341,FIND(":",AD341)+1,2)/24
+ RIGHT(AD341,2)/1440,
"")</f>
        <v>48.0854166666667</v>
      </c>
      <c r="AF341" s="4" t="str">
        <f aca="false">INT((X341+Y341)-(B341+C341)) &amp; ":" &amp;
TEXT(HOUR((X341+Y341)-(B341+C341)), "00") &amp; ":" &amp;
TEXT(MINUTE((X341+Y341)-(B341+C341)), "00")</f>
        <v>48:02:19</v>
      </c>
      <c r="AG341" s="4" t="str">
        <f aca="false" t="array" ref="AG341:AG341">INT(_xlfn.XLOOKUP(J341,{"Low","Medium","High","Urgent"},{48,24,12,8})/24) &amp; ":" &amp;
TEXT(MOD(_xlfn.XLOOKUP(J341,{"Low","Medium","High","Urgent"},{48,24,12,8}),24)/24,"hh:mm")</f>
        <v>2:00:00</v>
      </c>
      <c r="AH341" s="4" t="str">
        <f aca="false">IF(AD341&gt;AG341,"Not Met","Met")</f>
        <v>Not Met</v>
      </c>
      <c r="AI341" s="4" t="e">
        <f aca="false">IF(AB341&lt;TIME(0,30,0),"Met","Not Met")</f>
        <v>#VALUE!</v>
      </c>
      <c r="AN341" s="1" t="str">
        <f aca="false">TEXT(B341,"dd")</f>
        <v>19</v>
      </c>
      <c r="AO341" s="1" t="str">
        <f aca="false">TEXT(X341,"dd")</f>
        <v>06</v>
      </c>
      <c r="AP341" s="16" t="str">
        <f aca="false">INT(
  NETWORKDAYS(B341,V341)-1
  + IF(WEEKDAY(V341,2)&lt;6,MOD(V341+W341,1),0)
  - IF(WEEKDAY(B341,2)&lt;6,MOD(B341+C341,1),0)
)
&amp; ":" &amp;
TEXT(HOUR(
  NETWORKDAYS(B341,V341)-1
  + IF(WEEKDAY(V341,2)&lt;6,MOD(V341+W341,1),0)
  - IF(WEEKDAY(B341,2)&lt;6,MOD(B341+C341,1),0)
),"00")
&amp; ":" &amp;
TEXT(MINUTE(
  NETWORKDAYS(B341,V341)-1
  + IF(WEEKDAY(V341,2)&lt;6,MOD(V341+W341,1),0)
  - IF(WEEKDAY(B341,2)&lt;6,MOD(B341+C341,1),0)
),"00")</f>
        <v>34:02:03</v>
      </c>
      <c r="AQ341" s="0" t="n">
        <f aca="false">IFERROR(
LEFT(AP341,FIND(":",AP341)-1)
+ MID(AP341,FIND(":",AP341)+1,2)/24
+ RIGHT(AP341,2)/1440,
"")</f>
        <v>34.0854166666667</v>
      </c>
      <c r="AR341" s="0" t="n">
        <f aca="false">WEEKNUM(B341,1)</f>
        <v>21</v>
      </c>
      <c r="AS341" s="17" t="n">
        <f aca="false">IF(B341&gt;0, (B341+C341)-TIME(13,30,0), "")</f>
        <v>46161.30625</v>
      </c>
      <c r="AT341" s="18" t="n">
        <f aca="false">IF(B341&gt;0, (B341+C341)-TIME(13,30,0), "")</f>
        <v>46161.30625</v>
      </c>
      <c r="AU341" s="17" t="n">
        <f aca="false">IF(V341&gt;0, (V341+W341)-TIME(13,30,0), "")</f>
        <v>46209.3916666667</v>
      </c>
      <c r="AV341" s="18" t="n">
        <f aca="false">IF(V341&gt;0, (V341+W341)-TIME(13,30,0), "")</f>
        <v>46209.3916666667</v>
      </c>
      <c r="AW341" s="19" t="n">
        <f aca="false">24*(
MAX(0,
IF(NETWORKDAYS(AS341,AU341)=1,
MIN(MOD(AV341,1),TIME(17,30,0)) - MAX(MOD(AT341,1),TIME(8,30,0)),
(TIME(17,30,0)-MAX(MOD(AT341,1),TIME(8,30,0)))
+ (MIN(MOD(AV341,1),TIME(17,30,0))-TIME(8,30,0))
+ (NETWORKDAYS(AS341,AU341)-2)*9/24
)
)
)</f>
        <v>306.9</v>
      </c>
      <c r="AX341" s="19" t="n">
        <f aca="false">24*(
MAX(0,
IF(NETWORKDAYS(AS341,AU341)=1,
MIN(MOD(AV341,1),TIME(17,30,0)) - MAX(MOD(AT341,1),TIME(8,30,0)),
(TIME(17,30,0)-MAX(MOD(AT341,1),TIME(8,30,0)))
+ (MIN(MOD(AV341,1),TIME(17,30,0))-TIME(8,30,0))
+ (NETWORKDAYS(AS341,AU341)-2)* (TIME(17,30,0)-TIME(8,30,0))
)
)
)</f>
        <v>306.9</v>
      </c>
      <c r="AY341" s="20" t="n">
        <f aca="false">ROUND(
IF(AS341=AU341,
MAX(0,
(MIN(MOD(AV341,1),TIME(17,30,0))-
MAX(MOD(AT341,1),TIME(8,30,0)))*24
),
(
(MAX(0,TIME(17,30,0)-MAX(MOD(AT341,1),TIME(8,30,0)))*24)
+
(MAX(0,MIN(MOD(AV341,1),TIME(17,30,0))-TIME(8,30,0))*24)
+
(MAX(0,NETWORKDAYS(AS341+1,AU341-1))*9)
)
),
2)</f>
        <v>306.9</v>
      </c>
      <c r="AZ341" s="0" t="n">
        <f aca="false" t="array" ref="AZ341:AZ341">_xlfn.XLOOKUP(J341,{"Low","Medium","High"},{270,72,24})</f>
        <v>270</v>
      </c>
      <c r="BA341" s="0" t="str">
        <f aca="false">IF(AW341&gt;AZ341,"Not Met","Met")</f>
        <v>Not Met</v>
      </c>
      <c r="BB341" s="21" t="str">
        <f aca="false">IF(AS341="","",TEXT(AS341,"MMM")&amp;"'"&amp;TEXT(AS341,"yy"))</f>
        <v>May'26</v>
      </c>
      <c r="BC341" s="0" t="str">
        <f aca="false">IF(AU341="","",TEXT(AU341,"MMM")&amp;"'"&amp;TEXT(AU341,"yy"))</f>
        <v>Jul'26</v>
      </c>
    </row>
    <row r="342" customFormat="false" ht="15" hidden="false" customHeight="false" outlineLevel="0" collapsed="false">
      <c r="A342" s="1" t="s">
        <v>1156</v>
      </c>
      <c r="B342" s="11" t="n">
        <v>46161</v>
      </c>
      <c r="C342" s="12" t="n">
        <v>0.872222222222222</v>
      </c>
      <c r="D342" s="13" t="str">
        <f aca="false">IF(B342="","",TEXT(B342,"MMM")&amp;"'"&amp;TEXT(B342,"yy"))</f>
        <v>May'26</v>
      </c>
      <c r="E342" s="1" t="s">
        <v>55</v>
      </c>
      <c r="F342" s="1" t="s">
        <v>39</v>
      </c>
      <c r="G342" s="1" t="str">
        <f aca="false">IF(F342="Closed","Closed","Pending")</f>
        <v>Closed</v>
      </c>
      <c r="H342" s="27" t="s">
        <v>81</v>
      </c>
      <c r="I342" s="1" t="s">
        <v>386</v>
      </c>
      <c r="J342" s="35" t="s">
        <v>74</v>
      </c>
      <c r="K342" s="1" t="s">
        <v>59</v>
      </c>
      <c r="L342" s="1" t="s">
        <v>1157</v>
      </c>
      <c r="M342" s="1" t="s">
        <v>861</v>
      </c>
      <c r="N342" s="1" t="s">
        <v>65</v>
      </c>
      <c r="O342" s="1" t="s">
        <v>106</v>
      </c>
      <c r="Q342" s="1" t="s">
        <v>65</v>
      </c>
      <c r="R342" s="1" t="s">
        <v>87</v>
      </c>
      <c r="U342" s="12" t="n">
        <v>0.873611111111111</v>
      </c>
      <c r="V342" s="11" t="n">
        <v>46162</v>
      </c>
      <c r="W342" s="12" t="n">
        <v>0.9375</v>
      </c>
      <c r="X342" s="11" t="n">
        <v>46162</v>
      </c>
      <c r="Y342" s="12" t="n">
        <v>0.988194444444445</v>
      </c>
      <c r="Z342" s="23" t="s">
        <v>108</v>
      </c>
      <c r="AA342" s="1" t="s">
        <v>68</v>
      </c>
      <c r="AB342" s="2" t="e">
        <f aca="false">U342-F342</f>
        <v>#VALUE!</v>
      </c>
      <c r="AC342" s="14" t="n">
        <f aca="false">(V342+W342)-(B342+C342)</f>
        <v>1.06527777777778</v>
      </c>
      <c r="AD342" s="4" t="str">
        <f aca="false">INT((V342+W342)-(B342+C342)) &amp; ":" &amp;
TEXT(HOUR((V342+W342)-(B342+C342)), "00") &amp; ":" &amp;
TEXT(MINUTE((V342+W342)-(B342+C342)), "00")</f>
        <v>1:01:34</v>
      </c>
      <c r="AE342" s="1" t="n">
        <f aca="false">IFERROR(
LEFT(AD342,FIND(":",AD342)-1)
+ MID(AD342,FIND(":",AD342)+1,2)/24
+ RIGHT(AD342,2)/1440,
"")</f>
        <v>1.06527777777778</v>
      </c>
      <c r="AF342" s="4" t="str">
        <f aca="false">INT((X342+Y342)-(B342+C342)) &amp; ":" &amp;
TEXT(HOUR((X342+Y342)-(B342+C342)), "00") &amp; ":" &amp;
TEXT(MINUTE((X342+Y342)-(B342+C342)), "00")</f>
        <v>1:02:47</v>
      </c>
      <c r="AG342" s="4" t="str">
        <f aca="false" t="array" ref="AG342:AG342">INT(_xlfn.XLOOKUP(J342,{"Low","Medium","High","Urgent"},{48,24,12,8})/24) &amp; ":" &amp;
TEXT(MOD(_xlfn.XLOOKUP(J342,{"Low","Medium","High","Urgent"},{48,24,12,8}),24)/24,"hh:mm")</f>
        <v>2:00:00</v>
      </c>
      <c r="AH342" s="4" t="str">
        <f aca="false">IF(AD342&gt;AG342,"Not Met","Met")</f>
        <v>Met</v>
      </c>
      <c r="AI342" s="4" t="e">
        <f aca="false">IF(AB342&lt;TIME(0,30,0),"Met","Not Met")</f>
        <v>#VALUE!</v>
      </c>
      <c r="AN342" s="1" t="str">
        <f aca="false">TEXT(B342,"dd")</f>
        <v>19</v>
      </c>
      <c r="AO342" s="1" t="str">
        <f aca="false">TEXT(X342,"dd")</f>
        <v>20</v>
      </c>
      <c r="AP342" s="16" t="str">
        <f aca="false">INT(
  NETWORKDAYS(B342,V342)-1
  + IF(WEEKDAY(V342,2)&lt;6,MOD(V342+W342,1),0)
  - IF(WEEKDAY(B342,2)&lt;6,MOD(B342+C342,1),0)
)
&amp; ":" &amp;
TEXT(HOUR(
  NETWORKDAYS(B342,V342)-1
  + IF(WEEKDAY(V342,2)&lt;6,MOD(V342+W342,1),0)
  - IF(WEEKDAY(B342,2)&lt;6,MOD(B342+C342,1),0)
),"00")
&amp; ":" &amp;
TEXT(MINUTE(
  NETWORKDAYS(B342,V342)-1
  + IF(WEEKDAY(V342,2)&lt;6,MOD(V342+W342,1),0)
  - IF(WEEKDAY(B342,2)&lt;6,MOD(B342+C342,1),0)
),"00")</f>
        <v>1:01:34</v>
      </c>
      <c r="AQ342" s="0" t="n">
        <f aca="false">IFERROR(
LEFT(AP342,FIND(":",AP342)-1)
+ MID(AP342,FIND(":",AP342)+1,2)/24
+ RIGHT(AP342,2)/1440,
"")</f>
        <v>1.06527777777778</v>
      </c>
      <c r="AR342" s="0" t="n">
        <f aca="false">WEEKNUM(B342,1)</f>
        <v>21</v>
      </c>
      <c r="AS342" s="17" t="n">
        <f aca="false">IF(B342&gt;0, (B342+C342)-TIME(13,30,0), "")</f>
        <v>46161.3097222222</v>
      </c>
      <c r="AT342" s="18" t="n">
        <f aca="false">IF(B342&gt;0, (B342+C342)-TIME(13,30,0), "")</f>
        <v>46161.3097222222</v>
      </c>
      <c r="AU342" s="17" t="n">
        <f aca="false">IF(V342&gt;0, (V342+W342)-TIME(13,30,0), "")</f>
        <v>46162.375</v>
      </c>
      <c r="AV342" s="18" t="n">
        <f aca="false">IF(V342&gt;0, (V342+W342)-TIME(13,30,0), "")</f>
        <v>46162.375</v>
      </c>
      <c r="AW342" s="19" t="n">
        <f aca="false">24*(
MAX(0,
IF(NETWORKDAYS(AS342,AU342)=1,
MIN(MOD(AV342,1),TIME(17,30,0)) - MAX(MOD(AT342,1),TIME(8,30,0)),
(TIME(17,30,0)-MAX(MOD(AT342,1),TIME(8,30,0)))
+ (MIN(MOD(AV342,1),TIME(17,30,0))-TIME(8,30,0))
+ (NETWORKDAYS(AS342,AU342)-2)*9/24
)
)
)</f>
        <v>9.5</v>
      </c>
      <c r="AX342" s="19" t="n">
        <f aca="false">24*(
MAX(0,
IF(NETWORKDAYS(AS342,AU342)=1,
MIN(MOD(AV342,1),TIME(17,30,0)) - MAX(MOD(AT342,1),TIME(8,30,0)),
(TIME(17,30,0)-MAX(MOD(AT342,1),TIME(8,30,0)))
+ (MIN(MOD(AV342,1),TIME(17,30,0))-TIME(8,30,0))
+ (NETWORKDAYS(AS342,AU342)-2)* (TIME(17,30,0)-TIME(8,30,0))
)
)
)</f>
        <v>9.5</v>
      </c>
      <c r="AY342" s="20" t="n">
        <f aca="false">ROUND(
IF(AS342=AU342,
MAX(0,
(MIN(MOD(AV342,1),TIME(17,30,0))-
MAX(MOD(AT342,1),TIME(8,30,0)))*24
),
(
(MAX(0,TIME(17,30,0)-MAX(MOD(AT342,1),TIME(8,30,0)))*24)
+
(MAX(0,MIN(MOD(AV342,1),TIME(17,30,0))-TIME(8,30,0))*24)
+
(MAX(0,NETWORKDAYS(AS342+1,AU342-1))*9)
)
),
2)</f>
        <v>9.5</v>
      </c>
      <c r="AZ342" s="0" t="n">
        <f aca="false" t="array" ref="AZ342:AZ342">_xlfn.XLOOKUP(J342,{"Low","Medium","High"},{270,72,24})</f>
        <v>270</v>
      </c>
      <c r="BA342" s="0" t="str">
        <f aca="false">IF(AW342&gt;AZ342,"Not Met","Met")</f>
        <v>Met</v>
      </c>
      <c r="BB342" s="21" t="str">
        <f aca="false">IF(AS342="","",TEXT(AS342,"MMM")&amp;"'"&amp;TEXT(AS342,"yy"))</f>
        <v>May'26</v>
      </c>
      <c r="BC342" s="0" t="str">
        <f aca="false">IF(AU342="","",TEXT(AU342,"MMM")&amp;"'"&amp;TEXT(AU342,"yy"))</f>
        <v>May'26</v>
      </c>
    </row>
    <row r="343" customFormat="false" ht="15" hidden="false" customHeight="false" outlineLevel="0" collapsed="false">
      <c r="A343" s="1" t="s">
        <v>1158</v>
      </c>
      <c r="B343" s="11" t="n">
        <v>46161</v>
      </c>
      <c r="C343" s="12" t="n">
        <v>0.934722222222222</v>
      </c>
      <c r="D343" s="13" t="str">
        <f aca="false">IF(B343="","",TEXT(B343,"MMM")&amp;"'"&amp;TEXT(B343,"yy"))</f>
        <v>May'26</v>
      </c>
      <c r="E343" s="1" t="s">
        <v>55</v>
      </c>
      <c r="F343" s="1" t="s">
        <v>39</v>
      </c>
      <c r="G343" s="1" t="str">
        <f aca="false">IF(F343="Closed","Closed","Pending")</f>
        <v>Closed</v>
      </c>
      <c r="H343" s="27" t="s">
        <v>120</v>
      </c>
      <c r="I343" s="1" t="s">
        <v>121</v>
      </c>
      <c r="J343" s="35" t="s">
        <v>74</v>
      </c>
      <c r="K343" s="1" t="s">
        <v>59</v>
      </c>
      <c r="L343" s="1" t="s">
        <v>1159</v>
      </c>
      <c r="M343" s="1" t="s">
        <v>1160</v>
      </c>
      <c r="N343" s="1" t="s">
        <v>65</v>
      </c>
      <c r="O343" s="1" t="s">
        <v>106</v>
      </c>
      <c r="Q343" s="1" t="s">
        <v>65</v>
      </c>
      <c r="R343" s="1" t="s">
        <v>87</v>
      </c>
      <c r="U343" s="12" t="n">
        <v>0.938194444444444</v>
      </c>
      <c r="V343" s="11" t="n">
        <v>46168</v>
      </c>
      <c r="W343" s="12" t="n">
        <v>0.88125</v>
      </c>
      <c r="X343" s="11" t="n">
        <v>46168</v>
      </c>
      <c r="Y343" s="12" t="n">
        <v>0.891666666666667</v>
      </c>
      <c r="Z343" s="23" t="s">
        <v>67</v>
      </c>
      <c r="AA343" s="1" t="s">
        <v>68</v>
      </c>
      <c r="AB343" s="2" t="e">
        <f aca="false">U343-F343</f>
        <v>#VALUE!</v>
      </c>
      <c r="AC343" s="14" t="n">
        <f aca="false">(V343+W343)-(B343+C343)</f>
        <v>6.94652777777778</v>
      </c>
      <c r="AD343" s="4" t="str">
        <f aca="false">INT((V343+W343)-(B343+C343)) &amp; ":" &amp;
TEXT(HOUR((V343+W343)-(B343+C343)), "00") &amp; ":" &amp;
TEXT(MINUTE((V343+W343)-(B343+C343)), "00")</f>
        <v>6:22:43</v>
      </c>
      <c r="AE343" s="1" t="n">
        <f aca="false">IFERROR(
LEFT(AD343,FIND(":",AD343)-1)
+ MID(AD343,FIND(":",AD343)+1,2)/24
+ RIGHT(AD343,2)/1440,
"")</f>
        <v>6.94652777777778</v>
      </c>
      <c r="AF343" s="4" t="str">
        <f aca="false">INT((X343+Y343)-(B343+C343)) &amp; ":" &amp;
TEXT(HOUR((X343+Y343)-(B343+C343)), "00") &amp; ":" &amp;
TEXT(MINUTE((X343+Y343)-(B343+C343)), "00")</f>
        <v>6:22:58</v>
      </c>
      <c r="AG343" s="4" t="str">
        <f aca="false" t="array" ref="AG343:AG343">INT(_xlfn.XLOOKUP(J343,{"Low","Medium","High","Urgent"},{48,24,12,8})/24) &amp; ":" &amp;
TEXT(MOD(_xlfn.XLOOKUP(J343,{"Low","Medium","High","Urgent"},{48,24,12,8}),24)/24,"hh:mm")</f>
        <v>2:00:00</v>
      </c>
      <c r="AH343" s="4" t="str">
        <f aca="false">IF(AD343&gt;AG343,"Not Met","Met")</f>
        <v>Not Met</v>
      </c>
      <c r="AI343" s="4" t="e">
        <f aca="false">IF(AB343&lt;TIME(0,30,0),"Met","Not Met")</f>
        <v>#VALUE!</v>
      </c>
      <c r="AN343" s="1" t="str">
        <f aca="false">TEXT(B343,"dd")</f>
        <v>19</v>
      </c>
      <c r="AO343" s="1" t="str">
        <f aca="false">TEXT(X343,"dd")</f>
        <v>26</v>
      </c>
      <c r="AP343" s="16" t="str">
        <f aca="false">INT(
  NETWORKDAYS(B343,V343)-1
  + IF(WEEKDAY(V343,2)&lt;6,MOD(V343+W343,1),0)
  - IF(WEEKDAY(B343,2)&lt;6,MOD(B343+C343,1),0)
)
&amp; ":" &amp;
TEXT(HOUR(
  NETWORKDAYS(B343,V343)-1
  + IF(WEEKDAY(V343,2)&lt;6,MOD(V343+W343,1),0)
  - IF(WEEKDAY(B343,2)&lt;6,MOD(B343+C343,1),0)
),"00")
&amp; ":" &amp;
TEXT(MINUTE(
  NETWORKDAYS(B343,V343)-1
  + IF(WEEKDAY(V343,2)&lt;6,MOD(V343+W343,1),0)
  - IF(WEEKDAY(B343,2)&lt;6,MOD(B343+C343,1),0)
),"00")</f>
        <v>4:22:43</v>
      </c>
      <c r="AQ343" s="0" t="n">
        <f aca="false">IFERROR(
LEFT(AP343,FIND(":",AP343)-1)
+ MID(AP343,FIND(":",AP343)+1,2)/24
+ RIGHT(AP343,2)/1440,
"")</f>
        <v>4.94652777777778</v>
      </c>
      <c r="AR343" s="0" t="n">
        <f aca="false">WEEKNUM(B343,1)</f>
        <v>21</v>
      </c>
      <c r="AS343" s="17" t="n">
        <f aca="false">IF(B343&gt;0, (B343+C343)-TIME(13,30,0), "")</f>
        <v>46161.3722222222</v>
      </c>
      <c r="AT343" s="18" t="n">
        <f aca="false">IF(B343&gt;0, (B343+C343)-TIME(13,30,0), "")</f>
        <v>46161.3722222222</v>
      </c>
      <c r="AU343" s="17" t="n">
        <f aca="false">IF(V343&gt;0, (V343+W343)-TIME(13,30,0), "")</f>
        <v>46168.31875</v>
      </c>
      <c r="AV343" s="18" t="n">
        <f aca="false">IF(V343&gt;0, (V343+W343)-TIME(13,30,0), "")</f>
        <v>46168.31875</v>
      </c>
      <c r="AW343" s="19" t="n">
        <f aca="false">24*(
MAX(0,
IF(NETWORKDAYS(AS343,AU343)=1,
MIN(MOD(AV343,1),TIME(17,30,0)) - MAX(MOD(AT343,1),TIME(8,30,0)),
(TIME(17,30,0)-MAX(MOD(AT343,1),TIME(8,30,0)))
+ (MIN(MOD(AV343,1),TIME(17,30,0))-TIME(8,30,0))
+ (NETWORKDAYS(AS343,AU343)-2)*9/24
)
)
)</f>
        <v>43.7166666666667</v>
      </c>
      <c r="AX343" s="19" t="n">
        <f aca="false">24*(
MAX(0,
IF(NETWORKDAYS(AS343,AU343)=1,
MIN(MOD(AV343,1),TIME(17,30,0)) - MAX(MOD(AT343,1),TIME(8,30,0)),
(TIME(17,30,0)-MAX(MOD(AT343,1),TIME(8,30,0)))
+ (MIN(MOD(AV343,1),TIME(17,30,0))-TIME(8,30,0))
+ (NETWORKDAYS(AS343,AU343)-2)* (TIME(17,30,0)-TIME(8,30,0))
)
)
)</f>
        <v>43.7166666666667</v>
      </c>
      <c r="AY343" s="20" t="n">
        <f aca="false">ROUND(
IF(AS343=AU343,
MAX(0,
(MIN(MOD(AV343,1),TIME(17,30,0))-
MAX(MOD(AT343,1),TIME(8,30,0)))*24
),
(
(MAX(0,TIME(17,30,0)-MAX(MOD(AT343,1),TIME(8,30,0)))*24)
+
(MAX(0,MIN(MOD(AV343,1),TIME(17,30,0))-TIME(8,30,0))*24)
+
(MAX(0,NETWORKDAYS(AS343+1,AU343-1))*9)
)
),
2)</f>
        <v>44.57</v>
      </c>
      <c r="AZ343" s="0" t="n">
        <f aca="false" t="array" ref="AZ343:AZ343">_xlfn.XLOOKUP(J343,{"Low","Medium","High"},{270,72,24})</f>
        <v>270</v>
      </c>
      <c r="BA343" s="0" t="str">
        <f aca="false">IF(AW343&gt;AZ343,"Not Met","Met")</f>
        <v>Met</v>
      </c>
      <c r="BB343" s="21" t="str">
        <f aca="false">IF(AS343="","",TEXT(AS343,"MMM")&amp;"'"&amp;TEXT(AS343,"yy"))</f>
        <v>May'26</v>
      </c>
      <c r="BC343" s="0" t="str">
        <f aca="false">IF(AU343="","",TEXT(AU343,"MMM")&amp;"'"&amp;TEXT(AU343,"yy"))</f>
        <v>May'26</v>
      </c>
    </row>
    <row r="344" customFormat="false" ht="15" hidden="false" customHeight="false" outlineLevel="0" collapsed="false">
      <c r="A344" s="1" t="s">
        <v>1161</v>
      </c>
      <c r="B344" s="11" t="n">
        <v>46162</v>
      </c>
      <c r="C344" s="12" t="n">
        <v>0.120833333333333</v>
      </c>
      <c r="D344" s="13" t="str">
        <f aca="false">IF(B344="","",TEXT(B344,"MMM")&amp;"'"&amp;TEXT(B344,"yy"))</f>
        <v>May'26</v>
      </c>
      <c r="E344" s="1" t="s">
        <v>55</v>
      </c>
      <c r="F344" s="1" t="s">
        <v>39</v>
      </c>
      <c r="G344" s="1" t="str">
        <f aca="false">IF(F344="Closed","Closed","Pending")</f>
        <v>Closed</v>
      </c>
      <c r="H344" s="27" t="s">
        <v>72</v>
      </c>
      <c r="I344" s="1" t="s">
        <v>73</v>
      </c>
      <c r="J344" s="35" t="s">
        <v>74</v>
      </c>
      <c r="K344" s="1" t="s">
        <v>59</v>
      </c>
      <c r="L344" s="1" t="s">
        <v>1162</v>
      </c>
      <c r="M344" s="1" t="s">
        <v>1163</v>
      </c>
      <c r="N344" s="1" t="s">
        <v>65</v>
      </c>
      <c r="O344" s="1" t="s">
        <v>77</v>
      </c>
      <c r="Q344" s="1" t="s">
        <v>65</v>
      </c>
      <c r="R344" s="1" t="s">
        <v>87</v>
      </c>
      <c r="U344" s="12" t="n">
        <v>0.127777777777778</v>
      </c>
      <c r="V344" s="11" t="n">
        <v>46162</v>
      </c>
      <c r="W344" s="12" t="n">
        <v>0.870833333333333</v>
      </c>
      <c r="X344" s="11" t="n">
        <v>46162</v>
      </c>
      <c r="Y344" s="12" t="n">
        <v>0.976388888888889</v>
      </c>
      <c r="Z344" s="23" t="s">
        <v>108</v>
      </c>
      <c r="AA344" s="1" t="s">
        <v>68</v>
      </c>
      <c r="AB344" s="2" t="e">
        <f aca="false">U344-F344</f>
        <v>#VALUE!</v>
      </c>
      <c r="AC344" s="14" t="n">
        <f aca="false">(V344+W344)-(B344+C344)</f>
        <v>0.75</v>
      </c>
      <c r="AD344" s="4" t="str">
        <f aca="false">INT((V344+W344)-(B344+C344)) &amp; ":" &amp;
TEXT(HOUR((V344+W344)-(B344+C344)), "00") &amp; ":" &amp;
TEXT(MINUTE((V344+W344)-(B344+C344)), "00")</f>
        <v>0:18:00</v>
      </c>
      <c r="AE344" s="1" t="n">
        <f aca="false">IFERROR(
LEFT(AD344,FIND(":",AD344)-1)
+ MID(AD344,FIND(":",AD344)+1,2)/24
+ RIGHT(AD344,2)/1440,
"")</f>
        <v>0.75</v>
      </c>
      <c r="AF344" s="4" t="str">
        <f aca="false">INT((X344+Y344)-(B344+C344)) &amp; ":" &amp;
TEXT(HOUR((X344+Y344)-(B344+C344)), "00") &amp; ":" &amp;
TEXT(MINUTE((X344+Y344)-(B344+C344)), "00")</f>
        <v>0:20:32</v>
      </c>
      <c r="AG344" s="4" t="str">
        <f aca="false" t="array" ref="AG344:AG344">INT(_xlfn.XLOOKUP(J344,{"Low","Medium","High","Urgent"},{48,24,12,8})/24) &amp; ":" &amp;
TEXT(MOD(_xlfn.XLOOKUP(J344,{"Low","Medium","High","Urgent"},{48,24,12,8}),24)/24,"hh:mm")</f>
        <v>2:00:00</v>
      </c>
      <c r="AH344" s="4" t="str">
        <f aca="false">IF(AD344&gt;AG344,"Not Met","Met")</f>
        <v>Met</v>
      </c>
      <c r="AI344" s="4" t="e">
        <f aca="false">IF(AB344&lt;TIME(0,30,0),"Met","Not Met")</f>
        <v>#VALUE!</v>
      </c>
      <c r="AN344" s="1" t="str">
        <f aca="false">TEXT(B344,"dd")</f>
        <v>20</v>
      </c>
      <c r="AO344" s="1" t="str">
        <f aca="false">TEXT(X344,"dd")</f>
        <v>20</v>
      </c>
      <c r="AP344" s="16" t="str">
        <f aca="false">INT(
  NETWORKDAYS(B344,V344)-1
  + IF(WEEKDAY(V344,2)&lt;6,MOD(V344+W344,1),0)
  - IF(WEEKDAY(B344,2)&lt;6,MOD(B344+C344,1),0)
)
&amp; ":" &amp;
TEXT(HOUR(
  NETWORKDAYS(B344,V344)-1
  + IF(WEEKDAY(V344,2)&lt;6,MOD(V344+W344,1),0)
  - IF(WEEKDAY(B344,2)&lt;6,MOD(B344+C344,1),0)
),"00")
&amp; ":" &amp;
TEXT(MINUTE(
  NETWORKDAYS(B344,V344)-1
  + IF(WEEKDAY(V344,2)&lt;6,MOD(V344+W344,1),0)
  - IF(WEEKDAY(B344,2)&lt;6,MOD(B344+C344,1),0)
),"00")</f>
        <v>0:18:00</v>
      </c>
      <c r="AQ344" s="0" t="n">
        <f aca="false">IFERROR(
LEFT(AP344,FIND(":",AP344)-1)
+ MID(AP344,FIND(":",AP344)+1,2)/24
+ RIGHT(AP344,2)/1440,
"")</f>
        <v>0.75</v>
      </c>
      <c r="AR344" s="0" t="n">
        <f aca="false">WEEKNUM(B344,1)</f>
        <v>21</v>
      </c>
      <c r="AS344" s="17" t="n">
        <f aca="false">IF(B344&gt;0, (B344+C344)-TIME(13,30,0), "")</f>
        <v>46161.5583333333</v>
      </c>
      <c r="AT344" s="18" t="n">
        <f aca="false">IF(B344&gt;0, (B344+C344)-TIME(13,30,0), "")</f>
        <v>46161.5583333333</v>
      </c>
      <c r="AU344" s="17" t="n">
        <f aca="false">IF(V344&gt;0, (V344+W344)-TIME(13,30,0), "")</f>
        <v>46162.3083333333</v>
      </c>
      <c r="AV344" s="18" t="n">
        <f aca="false">IF(V344&gt;0, (V344+W344)-TIME(13,30,0), "")</f>
        <v>46162.3083333333</v>
      </c>
      <c r="AW344" s="19" t="n">
        <f aca="false">24*(
MAX(0,
IF(NETWORKDAYS(AS344,AU344)=1,
MIN(MOD(AV344,1),TIME(17,30,0)) - MAX(MOD(AT344,1),TIME(8,30,0)),
(TIME(17,30,0)-MAX(MOD(AT344,1),TIME(8,30,0)))
+ (MIN(MOD(AV344,1),TIME(17,30,0))-TIME(8,30,0))
+ (NETWORKDAYS(AS344,AU344)-2)*9/24
)
)
)</f>
        <v>3</v>
      </c>
      <c r="AX344" s="19" t="n">
        <f aca="false">24*(
MAX(0,
IF(NETWORKDAYS(AS344,AU344)=1,
MIN(MOD(AV344,1),TIME(17,30,0)) - MAX(MOD(AT344,1),TIME(8,30,0)),
(TIME(17,30,0)-MAX(MOD(AT344,1),TIME(8,30,0)))
+ (MIN(MOD(AV344,1),TIME(17,30,0))-TIME(8,30,0))
+ (NETWORKDAYS(AS344,AU344)-2)* (TIME(17,30,0)-TIME(8,30,0))
)
)
)</f>
        <v>3</v>
      </c>
      <c r="AY344" s="20" t="n">
        <f aca="false">ROUND(
IF(AS344=AU344,
MAX(0,
(MIN(MOD(AV344,1),TIME(17,30,0))-
MAX(MOD(AT344,1),TIME(8,30,0)))*24
),
(
(MAX(0,TIME(17,30,0)-MAX(MOD(AT344,1),TIME(8,30,0)))*24)
+
(MAX(0,MIN(MOD(AV344,1),TIME(17,30,0))-TIME(8,30,0))*24)
+
(MAX(0,NETWORKDAYS(AS344+1,AU344-1))*9)
)
),
2)</f>
        <v>4.1</v>
      </c>
      <c r="AZ344" s="0" t="n">
        <f aca="false" t="array" ref="AZ344:AZ344">_xlfn.XLOOKUP(J344,{"Low","Medium","High"},{270,72,24})</f>
        <v>270</v>
      </c>
      <c r="BA344" s="0" t="str">
        <f aca="false">IF(AW344&gt;AZ344,"Not Met","Met")</f>
        <v>Met</v>
      </c>
      <c r="BB344" s="21" t="str">
        <f aca="false">IF(AS344="","",TEXT(AS344,"MMM")&amp;"'"&amp;TEXT(AS344,"yy"))</f>
        <v>May'26</v>
      </c>
      <c r="BC344" s="0" t="str">
        <f aca="false">IF(AU344="","",TEXT(AU344,"MMM")&amp;"'"&amp;TEXT(AU344,"yy"))</f>
        <v>May'26</v>
      </c>
    </row>
    <row r="345" customFormat="false" ht="15" hidden="false" customHeight="false" outlineLevel="0" collapsed="false">
      <c r="A345" s="1" t="s">
        <v>1164</v>
      </c>
      <c r="B345" s="11" t="n">
        <v>46162</v>
      </c>
      <c r="C345" s="12" t="n">
        <v>0.23125</v>
      </c>
      <c r="D345" s="13" t="str">
        <f aca="false">IF(B345="","",TEXT(B345,"MMM")&amp;"'"&amp;TEXT(B345,"yy"))</f>
        <v>May'26</v>
      </c>
      <c r="E345" s="1" t="s">
        <v>55</v>
      </c>
      <c r="F345" s="1" t="s">
        <v>140</v>
      </c>
      <c r="G345" s="1" t="str">
        <f aca="false">IF(F345="Closed","Closed","Pending")</f>
        <v>Pending</v>
      </c>
      <c r="H345" s="27" t="s">
        <v>72</v>
      </c>
      <c r="I345" s="1" t="s">
        <v>73</v>
      </c>
      <c r="J345" s="35" t="s">
        <v>58</v>
      </c>
      <c r="K345" s="1" t="s">
        <v>59</v>
      </c>
      <c r="L345" s="1" t="s">
        <v>1165</v>
      </c>
      <c r="M345" s="1" t="s">
        <v>1166</v>
      </c>
      <c r="N345" s="1" t="s">
        <v>62</v>
      </c>
      <c r="O345" s="1" t="s">
        <v>143</v>
      </c>
      <c r="Q345" s="1" t="s">
        <v>143</v>
      </c>
      <c r="R345" s="1" t="s">
        <v>87</v>
      </c>
      <c r="U345" s="12" t="n">
        <v>0.870138888888889</v>
      </c>
      <c r="Z345" s="23" t="s">
        <v>67</v>
      </c>
      <c r="AB345" s="2" t="e">
        <f aca="false">U345-F345</f>
        <v>#VALUE!</v>
      </c>
      <c r="AC345" s="14" t="n">
        <f aca="false">(V345+W345)-(B345+C345)</f>
        <v>-46162.23125</v>
      </c>
      <c r="AD345" s="4" t="str">
        <f aca="false">INT((V345+W345)-(B345+C345)) &amp; ":" &amp;
TEXT(HOUR((V345+W345)-(B345+C345)), "00") &amp; ":" &amp;
TEXT(MINUTE((V345+W345)-(B345+C345)), "00")</f>
        <v>-46163:18:27</v>
      </c>
      <c r="AE345" s="1" t="n">
        <f aca="false">IFERROR(
LEFT(AD345,FIND(":",AD345)-1)
+ MID(AD345,FIND(":",AD345)+1,2)/24
+ RIGHT(AD345,2)/1440,
"")</f>
        <v>-46162.23125</v>
      </c>
      <c r="AF345" s="4" t="str">
        <f aca="false">INT((X345+Y345)-(B345+C345)) &amp; ":" &amp;
TEXT(HOUR((X345+Y345)-(B345+C345)), "00") &amp; ":" &amp;
TEXT(MINUTE((X345+Y345)-(B345+C345)), "00")</f>
        <v>-46163:18:27</v>
      </c>
      <c r="AG345" s="4" t="str">
        <f aca="false" t="array" ref="AG345:AG345">INT(_xlfn.XLOOKUP(J345,{"Low","Medium","High","Urgent"},{48,24,12,8})/24) &amp; ":" &amp;
TEXT(MOD(_xlfn.XLOOKUP(J345,{"Low","Medium","High","Urgent"},{48,24,12,8}),24)/24,"hh:mm")</f>
        <v>1:00:00</v>
      </c>
      <c r="AH345" s="4" t="str">
        <f aca="false">IF(AD345&gt;AG345,"Not Met","Met")</f>
        <v>Met</v>
      </c>
      <c r="AI345" s="4" t="e">
        <f aca="false">IF(AB345&lt;TIME(0,30,0),"Met","Not Met")</f>
        <v>#VALUE!</v>
      </c>
      <c r="AN345" s="1" t="str">
        <f aca="false">TEXT(B345,"dd")</f>
        <v>20</v>
      </c>
      <c r="AO345" s="1" t="str">
        <f aca="false">TEXT(X345,"dd")</f>
        <v>30</v>
      </c>
      <c r="AP345" s="16" t="str">
        <f aca="false">INT(
  NETWORKDAYS(B345,V345)-1
  + IF(WEEKDAY(V345,2)&lt;6,MOD(V345+W345,1),0)
  - IF(WEEKDAY(B345,2)&lt;6,MOD(B345+C345,1),0)
)
&amp; ":" &amp;
TEXT(HOUR(
  NETWORKDAYS(B345,V345)-1
  + IF(WEEKDAY(V345,2)&lt;6,MOD(V345+W345,1),0)
  - IF(WEEKDAY(B345,2)&lt;6,MOD(B345+C345,1),0)
),"00")
&amp; ":" &amp;
TEXT(MINUTE(
  NETWORKDAYS(B345,V345)-1
  + IF(WEEKDAY(V345,2)&lt;6,MOD(V345+W345,1),0)
  - IF(WEEKDAY(B345,2)&lt;6,MOD(B345+C345,1),0)
),"00")</f>
        <v>-32975:18:27</v>
      </c>
      <c r="AQ345" s="0" t="n">
        <f aca="false">IFERROR(
LEFT(AP345,FIND(":",AP345)-1)
+ MID(AP345,FIND(":",AP345)+1,2)/24
+ RIGHT(AP345,2)/1440,
"")</f>
        <v>-32974.23125</v>
      </c>
      <c r="AR345" s="0" t="n">
        <f aca="false">WEEKNUM(B345,1)</f>
        <v>21</v>
      </c>
      <c r="AS345" s="17" t="n">
        <f aca="false">IF(B345&gt;0, (B345+C345)-TIME(13,30,0), "")</f>
        <v>46161.66875</v>
      </c>
      <c r="AT345" s="18" t="n">
        <f aca="false">IF(B345&gt;0, (B345+C345)-TIME(13,30,0), "")</f>
        <v>46161.66875</v>
      </c>
      <c r="AU345" s="17" t="str">
        <f aca="false">IF(V345&gt;0, (V345+W345)-TIME(13,30,0), "")</f>
        <v/>
      </c>
      <c r="AV345" s="18" t="str">
        <f aca="false">IF(V345&gt;0, (V345+W345)-TIME(13,30,0), "")</f>
        <v/>
      </c>
      <c r="AW345" s="19" t="e">
        <f aca="false">24*(
MAX(0,
IF(NETWORKDAYS(AS345,AU345)=1,
MIN(MOD(AV345,1),TIME(17,30,0)) - MAX(MOD(AT345,1),TIME(8,30,0)),
(TIME(17,30,0)-MAX(MOD(AT345,1),TIME(8,30,0)))
+ (MIN(MOD(AV345,1),TIME(17,30,0))-TIME(8,30,0))
+ (NETWORKDAYS(AS345,AU345)-2)*9/24
)
)
)</f>
        <v>#VALUE!</v>
      </c>
      <c r="AX345" s="19" t="e">
        <f aca="false">24*(
MAX(0,
IF(NETWORKDAYS(AS345,AU345)=1,
MIN(MOD(AV345,1),TIME(17,30,0)) - MAX(MOD(AT345,1),TIME(8,30,0)),
(TIME(17,30,0)-MAX(MOD(AT345,1),TIME(8,30,0)))
+ (MIN(MOD(AV345,1),TIME(17,30,0))-TIME(8,30,0))
+ (NETWORKDAYS(AS345,AU345)-2)* (TIME(17,30,0)-TIME(8,30,0))
)
)
)</f>
        <v>#VALUE!</v>
      </c>
      <c r="AY345" s="20" t="e">
        <f aca="false">ROUND(
IF(AS345=AU345,
MAX(0,
(MIN(MOD(AV345,1),TIME(17,30,0))-
MAX(MOD(AT345,1),TIME(8,30,0)))*24
),
(
(MAX(0,TIME(17,30,0)-MAX(MOD(AT345,1),TIME(8,30,0)))*24)
+
(MAX(0,MIN(MOD(AV345,1),TIME(17,30,0))-TIME(8,30,0))*24)
+
(MAX(0,NETWORKDAYS(AS345+1,AU345-1))*9)
)
),
2)</f>
        <v>#VALUE!</v>
      </c>
      <c r="AZ345" s="0" t="n">
        <f aca="false" t="array" ref="AZ345:AZ345">_xlfn.XLOOKUP(J345,{"Low","Medium","High"},{270,72,24})</f>
        <v>72</v>
      </c>
      <c r="BA345" s="0" t="e">
        <f aca="false">IF(AW345&gt;AZ345,"Not Met","Met")</f>
        <v>#VALUE!</v>
      </c>
      <c r="BB345" s="21" t="str">
        <f aca="false">IF(AS345="","",TEXT(AS345,"MMM")&amp;"'"&amp;TEXT(AS345,"yy"))</f>
        <v>May'26</v>
      </c>
      <c r="BC345" s="0" t="str">
        <f aca="false">IF(AU345="","",TEXT(AU345,"MMM")&amp;"'"&amp;TEXT(AU345,"yy"))</f>
        <v/>
      </c>
    </row>
    <row r="346" customFormat="false" ht="15" hidden="false" customHeight="false" outlineLevel="0" collapsed="false">
      <c r="A346" s="1" t="s">
        <v>1167</v>
      </c>
      <c r="B346" s="11" t="n">
        <v>46162</v>
      </c>
      <c r="C346" s="12" t="n">
        <v>0.791666666666667</v>
      </c>
      <c r="D346" s="13" t="str">
        <f aca="false">IF(B346="","",TEXT(B346,"MMM")&amp;"'"&amp;TEXT(B346,"yy"))</f>
        <v>May'26</v>
      </c>
      <c r="E346" s="1" t="s">
        <v>55</v>
      </c>
      <c r="F346" s="1" t="s">
        <v>39</v>
      </c>
      <c r="G346" s="1" t="str">
        <f aca="false">IF(F346="Closed","Closed","Pending")</f>
        <v>Closed</v>
      </c>
      <c r="H346" s="27" t="s">
        <v>72</v>
      </c>
      <c r="I346" s="1" t="s">
        <v>73</v>
      </c>
      <c r="J346" s="1" t="s">
        <v>58</v>
      </c>
      <c r="K346" s="1" t="s">
        <v>59</v>
      </c>
      <c r="L346" s="1" t="s">
        <v>1168</v>
      </c>
      <c r="M346" s="1" t="s">
        <v>1169</v>
      </c>
      <c r="N346" s="1" t="s">
        <v>65</v>
      </c>
      <c r="O346" s="1" t="s">
        <v>1152</v>
      </c>
      <c r="Q346" s="1" t="s">
        <v>65</v>
      </c>
      <c r="R346" s="1" t="s">
        <v>87</v>
      </c>
      <c r="U346" s="12" t="n">
        <v>0.870833333333333</v>
      </c>
      <c r="V346" s="11" t="n">
        <v>46167</v>
      </c>
      <c r="W346" s="12" t="n">
        <v>0.4375</v>
      </c>
      <c r="X346" s="11" t="n">
        <v>46167</v>
      </c>
      <c r="Y346" s="12" t="n">
        <v>0.4375</v>
      </c>
      <c r="Z346" s="1" t="s">
        <v>67</v>
      </c>
      <c r="AA346" s="1" t="s">
        <v>68</v>
      </c>
      <c r="AB346" s="2" t="e">
        <f aca="false">U346-F346</f>
        <v>#VALUE!</v>
      </c>
      <c r="AC346" s="14" t="n">
        <f aca="false">(V346+W346)-(B346+C346)</f>
        <v>4.64583333333333</v>
      </c>
      <c r="AD346" s="4" t="str">
        <f aca="false">INT((V346+W346)-(B346+C346)) &amp; ":" &amp;
TEXT(HOUR((V346+W346)-(B346+C346)), "00") &amp; ":" &amp;
TEXT(MINUTE((V346+W346)-(B346+C346)), "00")</f>
        <v>4:15:30</v>
      </c>
      <c r="AE346" s="1" t="n">
        <f aca="false">IFERROR(
LEFT(AD346,FIND(":",AD346)-1)
+ MID(AD346,FIND(":",AD346)+1,2)/24
+ RIGHT(AD346,2)/1440,
"")</f>
        <v>4.64583333333333</v>
      </c>
      <c r="AF346" s="4" t="str">
        <f aca="false">INT((X346+Y346)-(B346+C346)) &amp; ":" &amp;
TEXT(HOUR((X346+Y346)-(B346+C346)), "00") &amp; ":" &amp;
TEXT(MINUTE((X346+Y346)-(B346+C346)), "00")</f>
        <v>4:15:30</v>
      </c>
      <c r="AG346" s="4" t="str">
        <f aca="false" t="array" ref="AG346:AG346">INT(_xlfn.XLOOKUP(J346,{"Low","Medium","High","Urgent"},{48,24,12,8})/24) &amp; ":" &amp;
TEXT(MOD(_xlfn.XLOOKUP(J346,{"Low","Medium","High","Urgent"},{48,24,12,8}),24)/24,"hh:mm")</f>
        <v>1:00:00</v>
      </c>
      <c r="AH346" s="4" t="str">
        <f aca="false">IF(AD346&gt;AG346,"Not Met","Met")</f>
        <v>Not Met</v>
      </c>
      <c r="AI346" s="4" t="e">
        <f aca="false">IF(AB346&lt;TIME(0,30,0),"Met","Not Met")</f>
        <v>#VALUE!</v>
      </c>
      <c r="AN346" s="1" t="str">
        <f aca="false">TEXT(B346,"dd")</f>
        <v>20</v>
      </c>
      <c r="AO346" s="1" t="str">
        <f aca="false">TEXT(X346,"dd")</f>
        <v>25</v>
      </c>
      <c r="AP346" s="16" t="str">
        <f aca="false">INT(
  NETWORKDAYS(B346,V346)-1
  + IF(WEEKDAY(V346,2)&lt;6,MOD(V346+W346,1),0)
  - IF(WEEKDAY(B346,2)&lt;6,MOD(B346+C346,1),0)
)
&amp; ":" &amp;
TEXT(HOUR(
  NETWORKDAYS(B346,V346)-1
  + IF(WEEKDAY(V346,2)&lt;6,MOD(V346+W346,1),0)
  - IF(WEEKDAY(B346,2)&lt;6,MOD(B346+C346,1),0)
),"00")
&amp; ":" &amp;
TEXT(MINUTE(
  NETWORKDAYS(B346,V346)-1
  + IF(WEEKDAY(V346,2)&lt;6,MOD(V346+W346,1),0)
  - IF(WEEKDAY(B346,2)&lt;6,MOD(B346+C346,1),0)
),"00")</f>
        <v>2:15:30</v>
      </c>
      <c r="AQ346" s="0" t="n">
        <f aca="false">IFERROR(
LEFT(AP346,FIND(":",AP346)-1)
+ MID(AP346,FIND(":",AP346)+1,2)/24
+ RIGHT(AP346,2)/1440,
"")</f>
        <v>2.64583333333333</v>
      </c>
      <c r="AR346" s="0" t="n">
        <f aca="false">WEEKNUM(B346,1)</f>
        <v>21</v>
      </c>
      <c r="AS346" s="17" t="n">
        <f aca="false">IF(B346&gt;0, (B346+C346)-TIME(13,30,0), "")</f>
        <v>46162.2291666667</v>
      </c>
      <c r="AT346" s="18" t="n">
        <f aca="false">IF(B346&gt;0, (B346+C346)-TIME(13,30,0), "")</f>
        <v>46162.2291666667</v>
      </c>
      <c r="AU346" s="17" t="n">
        <f aca="false">IF(V346&gt;0, (V346+W346)-TIME(13,30,0), "")</f>
        <v>46166.875</v>
      </c>
      <c r="AV346" s="18" t="n">
        <f aca="false">IF(V346&gt;0, (V346+W346)-TIME(13,30,0), "")</f>
        <v>46166.875</v>
      </c>
      <c r="AW346" s="19" t="n">
        <f aca="false">24*(
MAX(0,
IF(NETWORKDAYS(AS346,AU346)=1,
MIN(MOD(AV346,1),TIME(17,30,0)) - MAX(MOD(AT346,1),TIME(8,30,0)),
(TIME(17,30,0)-MAX(MOD(AT346,1),TIME(8,30,0)))
+ (MIN(MOD(AV346,1),TIME(17,30,0))-TIME(8,30,0))
+ (NETWORKDAYS(AS346,AU346)-2)*9/24
)
)
)</f>
        <v>27</v>
      </c>
      <c r="AX346" s="19" t="n">
        <f aca="false">24*(
MAX(0,
IF(NETWORKDAYS(AS346,AU346)=1,
MIN(MOD(AV346,1),TIME(17,30,0)) - MAX(MOD(AT346,1),TIME(8,30,0)),
(TIME(17,30,0)-MAX(MOD(AT346,1),TIME(8,30,0)))
+ (MIN(MOD(AV346,1),TIME(17,30,0))-TIME(8,30,0))
+ (NETWORKDAYS(AS346,AU346)-2)* (TIME(17,30,0)-TIME(8,30,0))
)
)
)</f>
        <v>27</v>
      </c>
      <c r="AY346" s="20" t="n">
        <f aca="false">ROUND(
IF(AS346=AU346,
MAX(0,
(MIN(MOD(AV346,1),TIME(17,30,0))-
MAX(MOD(AT346,1),TIME(8,30,0)))*24
),
(
(MAX(0,TIME(17,30,0)-MAX(MOD(AT346,1),TIME(8,30,0)))*24)
+
(MAX(0,MIN(MOD(AV346,1),TIME(17,30,0))-TIME(8,30,0))*24)
+
(MAX(0,NETWORKDAYS(AS346+1,AU346-1))*9)
)
),
2)</f>
        <v>36</v>
      </c>
      <c r="AZ346" s="0" t="n">
        <f aca="false" t="array" ref="AZ346:AZ346">_xlfn.XLOOKUP(J346,{"Low","Medium","High"},{270,72,24})</f>
        <v>72</v>
      </c>
      <c r="BA346" s="0" t="str">
        <f aca="false">IF(AW346&gt;AZ346,"Not Met","Met")</f>
        <v>Met</v>
      </c>
      <c r="BB346" s="21" t="str">
        <f aca="false">IF(AS346="","",TEXT(AS346,"MMM")&amp;"'"&amp;TEXT(AS346,"yy"))</f>
        <v>May'26</v>
      </c>
      <c r="BC346" s="0" t="str">
        <f aca="false">IF(AU346="","",TEXT(AU346,"MMM")&amp;"'"&amp;TEXT(AU346,"yy"))</f>
        <v>May'26</v>
      </c>
    </row>
    <row r="347" customFormat="false" ht="15" hidden="false" customHeight="false" outlineLevel="0" collapsed="false">
      <c r="A347" s="1" t="s">
        <v>1170</v>
      </c>
      <c r="B347" s="11" t="n">
        <v>46162</v>
      </c>
      <c r="C347" s="12" t="n">
        <v>0.880555555555556</v>
      </c>
      <c r="D347" s="13" t="str">
        <f aca="false">IF(B347="","",TEXT(B347,"MMM")&amp;"'"&amp;TEXT(B347,"yy"))</f>
        <v>May'26</v>
      </c>
      <c r="E347" s="1" t="s">
        <v>55</v>
      </c>
      <c r="F347" s="34" t="s">
        <v>39</v>
      </c>
      <c r="G347" s="1" t="str">
        <f aca="false">IF(F347="Closed","Closed","Pending")</f>
        <v>Closed</v>
      </c>
      <c r="H347" s="27" t="s">
        <v>185</v>
      </c>
      <c r="I347" s="26" t="s">
        <v>302</v>
      </c>
      <c r="J347" s="1" t="s">
        <v>74</v>
      </c>
      <c r="K347" s="1" t="s">
        <v>59</v>
      </c>
      <c r="L347" s="1" t="s">
        <v>1171</v>
      </c>
      <c r="M347" s="1" t="s">
        <v>1172</v>
      </c>
      <c r="N347" s="1" t="s">
        <v>143</v>
      </c>
      <c r="O347" s="1" t="s">
        <v>143</v>
      </c>
      <c r="Q347" s="1" t="s">
        <v>143</v>
      </c>
      <c r="R347" s="1" t="s">
        <v>230</v>
      </c>
      <c r="U347" s="12" t="n">
        <v>0.894444444444445</v>
      </c>
      <c r="V347" s="11" t="n">
        <v>46205</v>
      </c>
      <c r="W347" s="12" t="n">
        <v>0.921527777777778</v>
      </c>
      <c r="X347" s="11" t="n">
        <v>46209</v>
      </c>
      <c r="Y347" s="12" t="n">
        <v>0.877083333333333</v>
      </c>
      <c r="Z347" s="1" t="s">
        <v>67</v>
      </c>
      <c r="AA347" s="1" t="s">
        <v>68</v>
      </c>
      <c r="AB347" s="2" t="e">
        <f aca="false">U347-F347</f>
        <v>#VALUE!</v>
      </c>
      <c r="AC347" s="14" t="n">
        <f aca="false">(V347+W347)-(B347+C347)</f>
        <v>43.0409722222222</v>
      </c>
      <c r="AD347" s="4" t="str">
        <f aca="false">INT((V347+W347)-(B347+C347)) &amp; ":" &amp;
TEXT(HOUR((V347+W347)-(B347+C347)), "00") &amp; ":" &amp;
TEXT(MINUTE((V347+W347)-(B347+C347)), "00")</f>
        <v>43:00:59</v>
      </c>
      <c r="AE347" s="1" t="n">
        <f aca="false">IFERROR(
LEFT(AD347,FIND(":",AD347)-1)
+ MID(AD347,FIND(":",AD347)+1,2)/24
+ RIGHT(AD347,2)/1440,
"")</f>
        <v>43.0409722222222</v>
      </c>
      <c r="AF347" s="4" t="str">
        <f aca="false">INT((X347+Y347)-(B347+C347)) &amp; ":" &amp;
TEXT(HOUR((X347+Y347)-(B347+C347)), "00") &amp; ":" &amp;
TEXT(MINUTE((X347+Y347)-(B347+C347)), "00")</f>
        <v>46:23:55</v>
      </c>
      <c r="AG347" s="4" t="str">
        <f aca="false" t="array" ref="AG347:AG347">INT(_xlfn.XLOOKUP(J347,{"Low","Medium","High","Urgent"},{48,24,12,8})/24) &amp; ":" &amp;
TEXT(MOD(_xlfn.XLOOKUP(J347,{"Low","Medium","High","Urgent"},{48,24,12,8}),24)/24,"hh:mm")</f>
        <v>2:00:00</v>
      </c>
      <c r="AH347" s="4" t="str">
        <f aca="false">IF(AD347&gt;AG347,"Not Met","Met")</f>
        <v>Not Met</v>
      </c>
      <c r="AI347" s="4" t="e">
        <f aca="false">IF(AB347&lt;TIME(0,30,0),"Met","Not Met")</f>
        <v>#VALUE!</v>
      </c>
      <c r="AN347" s="1" t="str">
        <f aca="false">TEXT(B347,"dd")</f>
        <v>20</v>
      </c>
      <c r="AO347" s="1" t="str">
        <f aca="false">TEXT(X347,"dd")</f>
        <v>06</v>
      </c>
      <c r="AP347" s="16" t="str">
        <f aca="false">INT(
  NETWORKDAYS(B347,V347)-1
  + IF(WEEKDAY(V347,2)&lt;6,MOD(V347+W347,1),0)
  - IF(WEEKDAY(B347,2)&lt;6,MOD(B347+C347,1),0)
)
&amp; ":" &amp;
TEXT(HOUR(
  NETWORKDAYS(B347,V347)-1
  + IF(WEEKDAY(V347,2)&lt;6,MOD(V347+W347,1),0)
  - IF(WEEKDAY(B347,2)&lt;6,MOD(B347+C347,1),0)
),"00")
&amp; ":" &amp;
TEXT(MINUTE(
  NETWORKDAYS(B347,V347)-1
  + IF(WEEKDAY(V347,2)&lt;6,MOD(V347+W347,1),0)
  - IF(WEEKDAY(B347,2)&lt;6,MOD(B347+C347,1),0)
),"00")</f>
        <v>31:00:58</v>
      </c>
      <c r="AQ347" s="0" t="n">
        <f aca="false">IFERROR(
LEFT(AP347,FIND(":",AP347)-1)
+ MID(AP347,FIND(":",AP347)+1,2)/24
+ RIGHT(AP347,2)/1440,
"")</f>
        <v>31.0402777777778</v>
      </c>
      <c r="AR347" s="0" t="n">
        <f aca="false">WEEKNUM(B347,1)</f>
        <v>21</v>
      </c>
      <c r="AS347" s="17" t="n">
        <f aca="false">IF(B347&gt;0, (B347+C347)-TIME(13,30,0), "")</f>
        <v>46162.3180555556</v>
      </c>
      <c r="AT347" s="18" t="n">
        <f aca="false">IF(B347&gt;0, (B347+C347)-TIME(13,30,0), "")</f>
        <v>46162.3180555556</v>
      </c>
      <c r="AU347" s="17" t="n">
        <f aca="false">IF(V347&gt;0, (V347+W347)-TIME(13,30,0), "")</f>
        <v>46205.3590277778</v>
      </c>
      <c r="AV347" s="18" t="n">
        <f aca="false">IF(V347&gt;0, (V347+W347)-TIME(13,30,0), "")</f>
        <v>46205.3590277778</v>
      </c>
      <c r="AW347" s="19" t="n">
        <f aca="false">24*(
MAX(0,
IF(NETWORKDAYS(AS347,AU347)=1,
MIN(MOD(AV347,1),TIME(17,30,0)) - MAX(MOD(AT347,1),TIME(8,30,0)),
(TIME(17,30,0)-MAX(MOD(AT347,1),TIME(8,30,0)))
+ (MIN(MOD(AV347,1),TIME(17,30,0))-TIME(8,30,0))
+ (NETWORKDAYS(AS347,AU347)-2)*9/24
)
)
)</f>
        <v>279.116666666667</v>
      </c>
      <c r="AX347" s="19" t="n">
        <f aca="false">24*(
MAX(0,
IF(NETWORKDAYS(AS347,AU347)=1,
MIN(MOD(AV347,1),TIME(17,30,0)) - MAX(MOD(AT347,1),TIME(8,30,0)),
(TIME(17,30,0)-MAX(MOD(AT347,1),TIME(8,30,0)))
+ (MIN(MOD(AV347,1),TIME(17,30,0))-TIME(8,30,0))
+ (NETWORKDAYS(AS347,AU347)-2)* (TIME(17,30,0)-TIME(8,30,0))
)
)
)</f>
        <v>279.116666666667</v>
      </c>
      <c r="AY347" s="20" t="n">
        <f aca="false">ROUND(
IF(AS347=AU347,
MAX(0,
(MIN(MOD(AV347,1),TIME(17,30,0))-
MAX(MOD(AT347,1),TIME(8,30,0)))*24
),
(
(MAX(0,TIME(17,30,0)-MAX(MOD(AT347,1),TIME(8,30,0)))*24)
+
(MAX(0,MIN(MOD(AV347,1),TIME(17,30,0))-TIME(8,30,0))*24)
+
(MAX(0,NETWORKDAYS(AS347+1,AU347-1))*9)
)
),
2)</f>
        <v>279.12</v>
      </c>
      <c r="AZ347" s="0" t="n">
        <f aca="false" t="array" ref="AZ347:AZ347">_xlfn.XLOOKUP(J347,{"Low","Medium","High"},{270,72,24})</f>
        <v>270</v>
      </c>
      <c r="BA347" s="0" t="str">
        <f aca="false">IF(AW347&gt;AZ347,"Not Met","Met")</f>
        <v>Not Met</v>
      </c>
      <c r="BB347" s="21" t="str">
        <f aca="false">IF(AS347="","",TEXT(AS347,"MMM")&amp;"'"&amp;TEXT(AS347,"yy"))</f>
        <v>May'26</v>
      </c>
      <c r="BC347" s="0" t="str">
        <f aca="false">IF(AU347="","",TEXT(AU347,"MMM")&amp;"'"&amp;TEXT(AU347,"yy"))</f>
        <v>Jul'26</v>
      </c>
    </row>
    <row r="348" customFormat="false" ht="15" hidden="false" customHeight="false" outlineLevel="0" collapsed="false">
      <c r="A348" s="1" t="s">
        <v>1173</v>
      </c>
      <c r="B348" s="11" t="n">
        <v>46162</v>
      </c>
      <c r="C348" s="12" t="n">
        <v>0.904861111111111</v>
      </c>
      <c r="D348" s="13" t="str">
        <f aca="false">IF(B348="","",TEXT(B348,"MMM")&amp;"'"&amp;TEXT(B348,"yy"))</f>
        <v>May'26</v>
      </c>
      <c r="E348" s="1" t="s">
        <v>55</v>
      </c>
      <c r="F348" s="1" t="s">
        <v>140</v>
      </c>
      <c r="G348" s="1" t="str">
        <f aca="false">IF(F348="Closed","Closed","Pending")</f>
        <v>Pending</v>
      </c>
      <c r="H348" s="27" t="s">
        <v>263</v>
      </c>
      <c r="I348" s="1" t="s">
        <v>639</v>
      </c>
      <c r="J348" s="35" t="s">
        <v>74</v>
      </c>
      <c r="K348" s="1" t="s">
        <v>59</v>
      </c>
      <c r="L348" s="1" t="s">
        <v>1174</v>
      </c>
      <c r="M348" s="1" t="s">
        <v>1175</v>
      </c>
      <c r="N348" s="1" t="s">
        <v>143</v>
      </c>
      <c r="O348" s="1" t="s">
        <v>143</v>
      </c>
      <c r="Q348" s="1" t="s">
        <v>143</v>
      </c>
      <c r="R348" s="1" t="s">
        <v>87</v>
      </c>
      <c r="U348" s="12" t="n">
        <v>0.909722222222222</v>
      </c>
      <c r="Z348" s="1" t="s">
        <v>913</v>
      </c>
      <c r="AB348" s="2" t="e">
        <f aca="false">U348-F348</f>
        <v>#VALUE!</v>
      </c>
      <c r="AC348" s="14" t="n">
        <f aca="false">(V348+W348)-(B348+C348)</f>
        <v>-46162.9048611111</v>
      </c>
      <c r="AD348" s="4" t="str">
        <f aca="false">INT((V348+W348)-(B348+C348)) &amp; ":" &amp;
TEXT(HOUR((V348+W348)-(B348+C348)), "00") &amp; ":" &amp;
TEXT(MINUTE((V348+W348)-(B348+C348)), "00")</f>
        <v>-46163:02:17</v>
      </c>
      <c r="AE348" s="1" t="n">
        <f aca="false">IFERROR(
LEFT(AD348,FIND(":",AD348)-1)
+ MID(AD348,FIND(":",AD348)+1,2)/24
+ RIGHT(AD348,2)/1440,
"")</f>
        <v>-46162.9048611111</v>
      </c>
      <c r="AF348" s="4" t="str">
        <f aca="false">INT((X348+Y348)-(B348+C348)) &amp; ":" &amp;
TEXT(HOUR((X348+Y348)-(B348+C348)), "00") &amp; ":" &amp;
TEXT(MINUTE((X348+Y348)-(B348+C348)), "00")</f>
        <v>-46163:02:17</v>
      </c>
      <c r="AG348" s="4" t="str">
        <f aca="false" t="array" ref="AG348:AG348">INT(_xlfn.XLOOKUP(J348,{"Low","Medium","High","Urgent"},{48,24,12,8})/24) &amp; ":" &amp;
TEXT(MOD(_xlfn.XLOOKUP(J348,{"Low","Medium","High","Urgent"},{48,24,12,8}),24)/24,"hh:mm")</f>
        <v>2:00:00</v>
      </c>
      <c r="AH348" s="4" t="str">
        <f aca="false">IF(AD348&gt;AG348,"Not Met","Met")</f>
        <v>Met</v>
      </c>
      <c r="AI348" s="4" t="e">
        <f aca="false">IF(AB348&lt;TIME(0,30,0),"Met","Not Met")</f>
        <v>#VALUE!</v>
      </c>
      <c r="AN348" s="1" t="str">
        <f aca="false">TEXT(B348,"dd")</f>
        <v>20</v>
      </c>
      <c r="AO348" s="1" t="str">
        <f aca="false">TEXT(X348,"dd")</f>
        <v>30</v>
      </c>
      <c r="AP348" s="16" t="str">
        <f aca="false">INT(
  NETWORKDAYS(B348,V348)-1
  + IF(WEEKDAY(V348,2)&lt;6,MOD(V348+W348,1),0)
  - IF(WEEKDAY(B348,2)&lt;6,MOD(B348+C348,1),0)
)
&amp; ":" &amp;
TEXT(HOUR(
  NETWORKDAYS(B348,V348)-1
  + IF(WEEKDAY(V348,2)&lt;6,MOD(V348+W348,1),0)
  - IF(WEEKDAY(B348,2)&lt;6,MOD(B348+C348,1),0)
),"00")
&amp; ":" &amp;
TEXT(MINUTE(
  NETWORKDAYS(B348,V348)-1
  + IF(WEEKDAY(V348,2)&lt;6,MOD(V348+W348,1),0)
  - IF(WEEKDAY(B348,2)&lt;6,MOD(B348+C348,1),0)
),"00")</f>
        <v>-32975:02:17</v>
      </c>
      <c r="AQ348" s="0" t="n">
        <f aca="false">IFERROR(
LEFT(AP348,FIND(":",AP348)-1)
+ MID(AP348,FIND(":",AP348)+1,2)/24
+ RIGHT(AP348,2)/1440,
"")</f>
        <v>-32974.9048611111</v>
      </c>
      <c r="AR348" s="0" t="n">
        <f aca="false">WEEKNUM(B348,1)</f>
        <v>21</v>
      </c>
      <c r="AS348" s="17" t="n">
        <f aca="false">IF(B348&gt;0, (B348+C348)-TIME(13,30,0), "")</f>
        <v>46162.3423611111</v>
      </c>
      <c r="AT348" s="18" t="n">
        <f aca="false">IF(B348&gt;0, (B348+C348)-TIME(13,30,0), "")</f>
        <v>46162.3423611111</v>
      </c>
      <c r="AU348" s="17" t="str">
        <f aca="false">IF(V348&gt;0, (V348+W348)-TIME(13,30,0), "")</f>
        <v/>
      </c>
      <c r="AV348" s="18" t="str">
        <f aca="false">IF(V348&gt;0, (V348+W348)-TIME(13,30,0), "")</f>
        <v/>
      </c>
      <c r="AW348" s="19" t="e">
        <f aca="false">24*(
MAX(0,
IF(NETWORKDAYS(AS348,AU348)=1,
MIN(MOD(AV348,1),TIME(17,30,0)) - MAX(MOD(AT348,1),TIME(8,30,0)),
(TIME(17,30,0)-MAX(MOD(AT348,1),TIME(8,30,0)))
+ (MIN(MOD(AV348,1),TIME(17,30,0))-TIME(8,30,0))
+ (NETWORKDAYS(AS348,AU348)-2)*9/24
)
)
)</f>
        <v>#VALUE!</v>
      </c>
      <c r="AX348" s="19" t="e">
        <f aca="false">24*(
MAX(0,
IF(NETWORKDAYS(AS348,AU348)=1,
MIN(MOD(AV348,1),TIME(17,30,0)) - MAX(MOD(AT348,1),TIME(8,30,0)),
(TIME(17,30,0)-MAX(MOD(AT348,1),TIME(8,30,0)))
+ (MIN(MOD(AV348,1),TIME(17,30,0))-TIME(8,30,0))
+ (NETWORKDAYS(AS348,AU348)-2)* (TIME(17,30,0)-TIME(8,30,0))
)
)
)</f>
        <v>#VALUE!</v>
      </c>
      <c r="AY348" s="20" t="e">
        <f aca="false">ROUND(
IF(AS348=AU348,
MAX(0,
(MIN(MOD(AV348,1),TIME(17,30,0))-
MAX(MOD(AT348,1),TIME(8,30,0)))*24
),
(
(MAX(0,TIME(17,30,0)-MAX(MOD(AT348,1),TIME(8,30,0)))*24)
+
(MAX(0,MIN(MOD(AV348,1),TIME(17,30,0))-TIME(8,30,0))*24)
+
(MAX(0,NETWORKDAYS(AS348+1,AU348-1))*9)
)
),
2)</f>
        <v>#VALUE!</v>
      </c>
      <c r="AZ348" s="0" t="n">
        <f aca="false" t="array" ref="AZ348:AZ348">_xlfn.XLOOKUP(J348,{"Low","Medium","High"},{270,72,24})</f>
        <v>270</v>
      </c>
      <c r="BA348" s="0" t="e">
        <f aca="false">IF(AW348&gt;AZ348,"Not Met","Met")</f>
        <v>#VALUE!</v>
      </c>
      <c r="BB348" s="21" t="str">
        <f aca="false">IF(AS348="","",TEXT(AS348,"MMM")&amp;"'"&amp;TEXT(AS348,"yy"))</f>
        <v>May'26</v>
      </c>
      <c r="BC348" s="0" t="str">
        <f aca="false">IF(AU348="","",TEXT(AU348,"MMM")&amp;"'"&amp;TEXT(AU348,"yy"))</f>
        <v/>
      </c>
    </row>
    <row r="349" customFormat="false" ht="15" hidden="false" customHeight="false" outlineLevel="0" collapsed="false">
      <c r="A349" s="1" t="s">
        <v>1176</v>
      </c>
      <c r="B349" s="11" t="n">
        <v>46162</v>
      </c>
      <c r="C349" s="12" t="n">
        <v>0.969444444444444</v>
      </c>
      <c r="D349" s="13" t="str">
        <f aca="false">IF(B349="","",TEXT(B349,"MMM")&amp;"'"&amp;TEXT(B349,"yy"))</f>
        <v>May'26</v>
      </c>
      <c r="E349" s="1" t="s">
        <v>55</v>
      </c>
      <c r="F349" s="1" t="s">
        <v>39</v>
      </c>
      <c r="G349" s="1" t="str">
        <f aca="false">IF(F349="Closed","Closed","Pending")</f>
        <v>Closed</v>
      </c>
      <c r="H349" s="27" t="s">
        <v>56</v>
      </c>
      <c r="I349" s="1" t="s">
        <v>501</v>
      </c>
      <c r="J349" s="35" t="s">
        <v>74</v>
      </c>
      <c r="K349" s="1" t="s">
        <v>59</v>
      </c>
      <c r="L349" s="1" t="s">
        <v>1177</v>
      </c>
      <c r="M349" s="1" t="s">
        <v>1178</v>
      </c>
      <c r="N349" s="1" t="s">
        <v>62</v>
      </c>
      <c r="O349" s="1" t="s">
        <v>63</v>
      </c>
      <c r="Q349" s="1" t="s">
        <v>229</v>
      </c>
      <c r="R349" s="1" t="s">
        <v>1179</v>
      </c>
      <c r="U349" s="12" t="n">
        <v>0.977777777777778</v>
      </c>
      <c r="V349" s="11" t="n">
        <v>46164</v>
      </c>
      <c r="W349" s="12" t="n">
        <v>0.893055555555556</v>
      </c>
      <c r="X349" s="11" t="n">
        <v>46165</v>
      </c>
      <c r="Y349" s="12" t="n">
        <v>0.0159722222222222</v>
      </c>
      <c r="Z349" s="1" t="s">
        <v>108</v>
      </c>
      <c r="AA349" s="1" t="s">
        <v>68</v>
      </c>
      <c r="AB349" s="2" t="e">
        <f aca="false">U349-F349</f>
        <v>#VALUE!</v>
      </c>
      <c r="AC349" s="14" t="n">
        <f aca="false">(V349+W349)-(B349+C349)</f>
        <v>1.92361111111111</v>
      </c>
      <c r="AD349" s="4" t="str">
        <f aca="false">INT((V349+W349)-(B349+C349)) &amp; ":" &amp;
TEXT(HOUR((V349+W349)-(B349+C349)), "00") &amp; ":" &amp;
TEXT(MINUTE((V349+W349)-(B349+C349)), "00")</f>
        <v>1:22:10</v>
      </c>
      <c r="AE349" s="1" t="n">
        <f aca="false">IFERROR(
LEFT(AD349,FIND(":",AD349)-1)
+ MID(AD349,FIND(":",AD349)+1,2)/24
+ RIGHT(AD349,2)/1440,
"")</f>
        <v>1.92361111111111</v>
      </c>
      <c r="AF349" s="4" t="str">
        <f aca="false">INT((X349+Y349)-(B349+C349)) &amp; ":" &amp;
TEXT(HOUR((X349+Y349)-(B349+C349)), "00") &amp; ":" &amp;
TEXT(MINUTE((X349+Y349)-(B349+C349)), "00")</f>
        <v>2:01:07</v>
      </c>
      <c r="AG349" s="4" t="str">
        <f aca="false" t="array" ref="AG349:AG349">INT(_xlfn.XLOOKUP(J349,{"Low","Medium","High","Urgent"},{48,24,12,8})/24) &amp; ":" &amp;
TEXT(MOD(_xlfn.XLOOKUP(J349,{"Low","Medium","High","Urgent"},{48,24,12,8}),24)/24,"hh:mm")</f>
        <v>2:00:00</v>
      </c>
      <c r="AH349" s="4" t="str">
        <f aca="false">IF(AD349&gt;AG349,"Not Met","Met")</f>
        <v>Met</v>
      </c>
      <c r="AI349" s="4" t="e">
        <f aca="false">IF(AB349&lt;TIME(0,30,0),"Met","Not Met")</f>
        <v>#VALUE!</v>
      </c>
      <c r="AN349" s="1" t="str">
        <f aca="false">TEXT(B349,"dd")</f>
        <v>20</v>
      </c>
      <c r="AO349" s="1" t="str">
        <f aca="false">TEXT(X349,"dd")</f>
        <v>23</v>
      </c>
      <c r="AP349" s="16" t="str">
        <f aca="false">INT(
  NETWORKDAYS(B349,V349)-1
  + IF(WEEKDAY(V349,2)&lt;6,MOD(V349+W349,1),0)
  - IF(WEEKDAY(B349,2)&lt;6,MOD(B349+C349,1),0)
)
&amp; ":" &amp;
TEXT(HOUR(
  NETWORKDAYS(B349,V349)-1
  + IF(WEEKDAY(V349,2)&lt;6,MOD(V349+W349,1),0)
  - IF(WEEKDAY(B349,2)&lt;6,MOD(B349+C349,1),0)
),"00")
&amp; ":" &amp;
TEXT(MINUTE(
  NETWORKDAYS(B349,V349)-1
  + IF(WEEKDAY(V349,2)&lt;6,MOD(V349+W349,1),0)
  - IF(WEEKDAY(B349,2)&lt;6,MOD(B349+C349,1),0)
),"00")</f>
        <v>1:22:09</v>
      </c>
      <c r="AQ349" s="0" t="n">
        <f aca="false">IFERROR(
LEFT(AP349,FIND(":",AP349)-1)
+ MID(AP349,FIND(":",AP349)+1,2)/24
+ RIGHT(AP349,2)/1440,
"")</f>
        <v>1.92291666666667</v>
      </c>
      <c r="AR349" s="0" t="n">
        <f aca="false">WEEKNUM(B349,1)</f>
        <v>21</v>
      </c>
      <c r="AS349" s="17" t="n">
        <f aca="false">IF(B349&gt;0, (B349+C349)-TIME(13,30,0), "")</f>
        <v>46162.4069444445</v>
      </c>
      <c r="AT349" s="18" t="n">
        <f aca="false">IF(B349&gt;0, (B349+C349)-TIME(13,30,0), "")</f>
        <v>46162.4069444445</v>
      </c>
      <c r="AU349" s="17" t="n">
        <f aca="false">IF(V349&gt;0, (V349+W349)-TIME(13,30,0), "")</f>
        <v>46164.3305555556</v>
      </c>
      <c r="AV349" s="18" t="n">
        <f aca="false">IF(V349&gt;0, (V349+W349)-TIME(13,30,0), "")</f>
        <v>46164.3305555556</v>
      </c>
      <c r="AW349" s="19" t="n">
        <f aca="false">24*(
MAX(0,
IF(NETWORKDAYS(AS349,AU349)=1,
MIN(MOD(AV349,1),TIME(17,30,0)) - MAX(MOD(AT349,1),TIME(8,30,0)),
(TIME(17,30,0)-MAX(MOD(AT349,1),TIME(8,30,0)))
+ (MIN(MOD(AV349,1),TIME(17,30,0))-TIME(8,30,0))
+ (NETWORKDAYS(AS349,AU349)-2)*9/24
)
)
)</f>
        <v>16.1666666666667</v>
      </c>
      <c r="AX349" s="19" t="n">
        <f aca="false">24*(
MAX(0,
IF(NETWORKDAYS(AS349,AU349)=1,
MIN(MOD(AV349,1),TIME(17,30,0)) - MAX(MOD(AT349,1),TIME(8,30,0)),
(TIME(17,30,0)-MAX(MOD(AT349,1),TIME(8,30,0)))
+ (MIN(MOD(AV349,1),TIME(17,30,0))-TIME(8,30,0))
+ (NETWORKDAYS(AS349,AU349)-2)* (TIME(17,30,0)-TIME(8,30,0))
)
)
)</f>
        <v>16.1666666666667</v>
      </c>
      <c r="AY349" s="20" t="n">
        <f aca="false">ROUND(
IF(AS349=AU349,
MAX(0,
(MIN(MOD(AV349,1),TIME(17,30,0))-
MAX(MOD(AT349,1),TIME(8,30,0)))*24
),
(
(MAX(0,TIME(17,30,0)-MAX(MOD(AT349,1),TIME(8,30,0)))*24)
+
(MAX(0,MIN(MOD(AV349,1),TIME(17,30,0))-TIME(8,30,0))*24)
+
(MAX(0,NETWORKDAYS(AS349+1,AU349-1))*9)
)
),
2)</f>
        <v>16.73</v>
      </c>
      <c r="AZ349" s="0" t="n">
        <f aca="false" t="array" ref="AZ349:AZ349">_xlfn.XLOOKUP(J349,{"Low","Medium","High"},{270,72,24})</f>
        <v>270</v>
      </c>
      <c r="BA349" s="0" t="str">
        <f aca="false">IF(AW349&gt;AZ349,"Not Met","Met")</f>
        <v>Met</v>
      </c>
      <c r="BB349" s="21" t="str">
        <f aca="false">IF(AS349="","",TEXT(AS349,"MMM")&amp;"'"&amp;TEXT(AS349,"yy"))</f>
        <v>May'26</v>
      </c>
      <c r="BC349" s="0" t="str">
        <f aca="false">IF(AU349="","",TEXT(AU349,"MMM")&amp;"'"&amp;TEXT(AU349,"yy"))</f>
        <v>May'26</v>
      </c>
    </row>
    <row r="350" customFormat="false" ht="15" hidden="false" customHeight="false" outlineLevel="0" collapsed="false">
      <c r="A350" s="1" t="s">
        <v>1180</v>
      </c>
      <c r="B350" s="11" t="n">
        <v>46163</v>
      </c>
      <c r="C350" s="12" t="n">
        <v>0.138888888888889</v>
      </c>
      <c r="D350" s="13" t="str">
        <f aca="false">IF(B350="","",TEXT(B350,"MMM")&amp;"'"&amp;TEXT(B350,"yy"))</f>
        <v>May'26</v>
      </c>
      <c r="E350" s="1" t="s">
        <v>55</v>
      </c>
      <c r="F350" s="1" t="s">
        <v>39</v>
      </c>
      <c r="G350" s="1" t="str">
        <f aca="false">IF(F350="Closed","Closed","Pending")</f>
        <v>Closed</v>
      </c>
      <c r="H350" s="27" t="s">
        <v>81</v>
      </c>
      <c r="I350" s="1" t="s">
        <v>82</v>
      </c>
      <c r="J350" s="35" t="s">
        <v>74</v>
      </c>
      <c r="K350" s="1" t="s">
        <v>59</v>
      </c>
      <c r="L350" s="1" t="s">
        <v>1181</v>
      </c>
      <c r="M350" s="1" t="s">
        <v>1138</v>
      </c>
      <c r="N350" s="1" t="s">
        <v>65</v>
      </c>
      <c r="O350" s="1" t="s">
        <v>106</v>
      </c>
      <c r="Q350" s="1" t="s">
        <v>65</v>
      </c>
      <c r="R350" s="1" t="s">
        <v>87</v>
      </c>
      <c r="U350" s="12" t="n">
        <v>0.145138888888889</v>
      </c>
      <c r="V350" s="11" t="n">
        <v>46163</v>
      </c>
      <c r="W350" s="12" t="n">
        <v>0.951388888888889</v>
      </c>
      <c r="X350" s="11" t="n">
        <v>46163</v>
      </c>
      <c r="Y350" s="12" t="n">
        <v>0.963194444444445</v>
      </c>
      <c r="Z350" s="1" t="s">
        <v>108</v>
      </c>
      <c r="AA350" s="1" t="s">
        <v>68</v>
      </c>
      <c r="AB350" s="2" t="e">
        <f aca="false">U350-F350</f>
        <v>#VALUE!</v>
      </c>
      <c r="AC350" s="14" t="n">
        <f aca="false">(V350+W350)-(B350+C350)</f>
        <v>0.8125</v>
      </c>
      <c r="AD350" s="4" t="str">
        <f aca="false">INT((V350+W350)-(B350+C350)) &amp; ":" &amp;
TEXT(HOUR((V350+W350)-(B350+C350)), "00") &amp; ":" &amp;
TEXT(MINUTE((V350+W350)-(B350+C350)), "00")</f>
        <v>0:19:30</v>
      </c>
      <c r="AE350" s="1" t="n">
        <f aca="false">IFERROR(
LEFT(AD350,FIND(":",AD350)-1)
+ MID(AD350,FIND(":",AD350)+1,2)/24
+ RIGHT(AD350,2)/1440,
"")</f>
        <v>0.8125</v>
      </c>
      <c r="AF350" s="4" t="str">
        <f aca="false">INT((X350+Y350)-(B350+C350)) &amp; ":" &amp;
TEXT(HOUR((X350+Y350)-(B350+C350)), "00") &amp; ":" &amp;
TEXT(MINUTE((X350+Y350)-(B350+C350)), "00")</f>
        <v>0:19:47</v>
      </c>
      <c r="AG350" s="4" t="str">
        <f aca="false" t="array" ref="AG350:AG350">INT(_xlfn.XLOOKUP(J350,{"Low","Medium","High","Urgent"},{48,24,12,8})/24) &amp; ":" &amp;
TEXT(MOD(_xlfn.XLOOKUP(J350,{"Low","Medium","High","Urgent"},{48,24,12,8}),24)/24,"hh:mm")</f>
        <v>2:00:00</v>
      </c>
      <c r="AH350" s="4" t="str">
        <f aca="false">IF(AD350&gt;AG350,"Not Met","Met")</f>
        <v>Met</v>
      </c>
      <c r="AI350" s="4" t="e">
        <f aca="false">IF(AB350&lt;TIME(0,30,0),"Met","Not Met")</f>
        <v>#VALUE!</v>
      </c>
      <c r="AN350" s="1" t="str">
        <f aca="false">TEXT(B350,"dd")</f>
        <v>21</v>
      </c>
      <c r="AO350" s="1" t="str">
        <f aca="false">TEXT(X350,"dd")</f>
        <v>21</v>
      </c>
      <c r="AP350" s="16" t="str">
        <f aca="false">INT(
  NETWORKDAYS(B350,V350)-1
  + IF(WEEKDAY(V350,2)&lt;6,MOD(V350+W350,1),0)
  - IF(WEEKDAY(B350,2)&lt;6,MOD(B350+C350,1),0)
)
&amp; ":" &amp;
TEXT(HOUR(
  NETWORKDAYS(B350,V350)-1
  + IF(WEEKDAY(V350,2)&lt;6,MOD(V350+W350,1),0)
  - IF(WEEKDAY(B350,2)&lt;6,MOD(B350+C350,1),0)
),"00")
&amp; ":" &amp;
TEXT(MINUTE(
  NETWORKDAYS(B350,V350)-1
  + IF(WEEKDAY(V350,2)&lt;6,MOD(V350+W350,1),0)
  - IF(WEEKDAY(B350,2)&lt;6,MOD(B350+C350,1),0)
),"00")</f>
        <v>0:19:30</v>
      </c>
      <c r="AQ350" s="0" t="n">
        <f aca="false">IFERROR(
LEFT(AP350,FIND(":",AP350)-1)
+ MID(AP350,FIND(":",AP350)+1,2)/24
+ RIGHT(AP350,2)/1440,
"")</f>
        <v>0.8125</v>
      </c>
      <c r="AR350" s="0" t="n">
        <f aca="false">WEEKNUM(B350,1)</f>
        <v>21</v>
      </c>
      <c r="AS350" s="17" t="n">
        <f aca="false">IF(B350&gt;0, (B350+C350)-TIME(13,30,0), "")</f>
        <v>46162.5763888889</v>
      </c>
      <c r="AT350" s="18" t="n">
        <f aca="false">IF(B350&gt;0, (B350+C350)-TIME(13,30,0), "")</f>
        <v>46162.5763888889</v>
      </c>
      <c r="AU350" s="17" t="n">
        <f aca="false">IF(V350&gt;0, (V350+W350)-TIME(13,30,0), "")</f>
        <v>46163.3888888889</v>
      </c>
      <c r="AV350" s="18" t="n">
        <f aca="false">IF(V350&gt;0, (V350+W350)-TIME(13,30,0), "")</f>
        <v>46163.3888888889</v>
      </c>
      <c r="AW350" s="19" t="n">
        <f aca="false">24*(
MAX(0,
IF(NETWORKDAYS(AS350,AU350)=1,
MIN(MOD(AV350,1),TIME(17,30,0)) - MAX(MOD(AT350,1),TIME(8,30,0)),
(TIME(17,30,0)-MAX(MOD(AT350,1),TIME(8,30,0)))
+ (MIN(MOD(AV350,1),TIME(17,30,0))-TIME(8,30,0))
+ (NETWORKDAYS(AS350,AU350)-2)*9/24
)
)
)</f>
        <v>4.5</v>
      </c>
      <c r="AX350" s="19" t="n">
        <f aca="false">24*(
MAX(0,
IF(NETWORKDAYS(AS350,AU350)=1,
MIN(MOD(AV350,1),TIME(17,30,0)) - MAX(MOD(AT350,1),TIME(8,30,0)),
(TIME(17,30,0)-MAX(MOD(AT350,1),TIME(8,30,0)))
+ (MIN(MOD(AV350,1),TIME(17,30,0))-TIME(8,30,0))
+ (NETWORKDAYS(AS350,AU350)-2)* (TIME(17,30,0)-TIME(8,30,0))
)
)
)</f>
        <v>4.5</v>
      </c>
      <c r="AY350" s="20" t="n">
        <f aca="false">ROUND(
IF(AS350=AU350,
MAX(0,
(MIN(MOD(AV350,1),TIME(17,30,0))-
MAX(MOD(AT350,1),TIME(8,30,0)))*24
),
(
(MAX(0,TIME(17,30,0)-MAX(MOD(AT350,1),TIME(8,30,0)))*24)
+
(MAX(0,MIN(MOD(AV350,1),TIME(17,30,0))-TIME(8,30,0))*24)
+
(MAX(0,NETWORKDAYS(AS350+1,AU350-1))*9)
)
),
2)</f>
        <v>4.5</v>
      </c>
      <c r="AZ350" s="0" t="n">
        <f aca="false" t="array" ref="AZ350:AZ350">_xlfn.XLOOKUP(J350,{"Low","Medium","High"},{270,72,24})</f>
        <v>270</v>
      </c>
      <c r="BA350" s="0" t="str">
        <f aca="false">IF(AW350&gt;AZ350,"Not Met","Met")</f>
        <v>Met</v>
      </c>
      <c r="BB350" s="21" t="str">
        <f aca="false">IF(AS350="","",TEXT(AS350,"MMM")&amp;"'"&amp;TEXT(AS350,"yy"))</f>
        <v>May'26</v>
      </c>
      <c r="BC350" s="0" t="str">
        <f aca="false">IF(AU350="","",TEXT(AU350,"MMM")&amp;"'"&amp;TEXT(AU350,"yy"))</f>
        <v>May'26</v>
      </c>
    </row>
    <row r="351" customFormat="false" ht="15" hidden="false" customHeight="false" outlineLevel="0" collapsed="false">
      <c r="A351" s="1" t="s">
        <v>1182</v>
      </c>
      <c r="B351" s="11" t="n">
        <v>46163</v>
      </c>
      <c r="C351" s="12" t="n">
        <v>0.969444444444444</v>
      </c>
      <c r="D351" s="13" t="str">
        <f aca="false">IF(B351="","",TEXT(B351,"MMM")&amp;"'"&amp;TEXT(B351,"yy"))</f>
        <v>May'26</v>
      </c>
      <c r="E351" s="1" t="s">
        <v>55</v>
      </c>
      <c r="F351" s="1" t="s">
        <v>39</v>
      </c>
      <c r="G351" s="1" t="str">
        <f aca="false">IF(F351="Closed","Closed","Pending")</f>
        <v>Closed</v>
      </c>
      <c r="H351" s="1" t="s">
        <v>263</v>
      </c>
      <c r="I351" s="1" t="s">
        <v>639</v>
      </c>
      <c r="J351" s="1" t="s">
        <v>74</v>
      </c>
      <c r="K351" s="1" t="s">
        <v>59</v>
      </c>
      <c r="L351" s="1" t="s">
        <v>886</v>
      </c>
      <c r="M351" s="1" t="s">
        <v>1183</v>
      </c>
      <c r="N351" s="1" t="s">
        <v>65</v>
      </c>
      <c r="O351" s="1" t="s">
        <v>106</v>
      </c>
      <c r="Q351" s="1" t="s">
        <v>65</v>
      </c>
      <c r="R351" s="1" t="s">
        <v>87</v>
      </c>
      <c r="U351" s="12" t="n">
        <v>0.988888888888889</v>
      </c>
      <c r="V351" s="11" t="n">
        <v>46164</v>
      </c>
      <c r="W351" s="12" t="n">
        <v>0.894444444444445</v>
      </c>
      <c r="X351" s="11" t="n">
        <v>46164</v>
      </c>
      <c r="Y351" s="12" t="n">
        <v>0.90625</v>
      </c>
      <c r="Z351" s="1" t="s">
        <v>108</v>
      </c>
      <c r="AA351" s="1" t="s">
        <v>68</v>
      </c>
      <c r="AB351" s="2" t="e">
        <f aca="false">U351-F351</f>
        <v>#VALUE!</v>
      </c>
      <c r="AC351" s="14" t="n">
        <f aca="false">(V351+W351)-(B351+C351)</f>
        <v>0.925</v>
      </c>
      <c r="AD351" s="4" t="str">
        <f aca="false">INT((V351+W351)-(B351+C351)) &amp; ":" &amp;
TEXT(HOUR((V351+W351)-(B351+C351)), "00") &amp; ":" &amp;
TEXT(MINUTE((V351+W351)-(B351+C351)), "00")</f>
        <v>0:22:12</v>
      </c>
      <c r="AE351" s="1" t="n">
        <f aca="false">IFERROR(
LEFT(AD351,FIND(":",AD351)-1)
+ MID(AD351,FIND(":",AD351)+1,2)/24
+ RIGHT(AD351,2)/1440,
"")</f>
        <v>0.925</v>
      </c>
      <c r="AF351" s="4" t="str">
        <f aca="false">INT((X351+Y351)-(B351+C351)) &amp; ":" &amp;
TEXT(HOUR((X351+Y351)-(B351+C351)), "00") &amp; ":" &amp;
TEXT(MINUTE((X351+Y351)-(B351+C351)), "00")</f>
        <v>0:22:29</v>
      </c>
      <c r="AG351" s="4" t="str">
        <f aca="false" t="array" ref="AG351:AG351">INT(_xlfn.XLOOKUP(J351,{"Low","Medium","High","Urgent"},{48,24,12,8})/24) &amp; ":" &amp;
TEXT(MOD(_xlfn.XLOOKUP(J351,{"Low","Medium","High","Urgent"},{48,24,12,8}),24)/24,"hh:mm")</f>
        <v>2:00:00</v>
      </c>
      <c r="AH351" s="4" t="str">
        <f aca="false">IF(AD351&gt;AG351,"Not Met","Met")</f>
        <v>Met</v>
      </c>
      <c r="AI351" s="4" t="e">
        <f aca="false">IF(AB351&lt;TIME(0,30,0),"Met","Not Met")</f>
        <v>#VALUE!</v>
      </c>
      <c r="AN351" s="1" t="str">
        <f aca="false">TEXT(B351,"dd")</f>
        <v>21</v>
      </c>
      <c r="AO351" s="1" t="str">
        <f aca="false">TEXT(X351,"dd")</f>
        <v>22</v>
      </c>
      <c r="AP351" s="16" t="str">
        <f aca="false">INT(
  NETWORKDAYS(B351,V351)-1
  + IF(WEEKDAY(V351,2)&lt;6,MOD(V351+W351,1),0)
  - IF(WEEKDAY(B351,2)&lt;6,MOD(B351+C351,1),0)
)
&amp; ":" &amp;
TEXT(HOUR(
  NETWORKDAYS(B351,V351)-1
  + IF(WEEKDAY(V351,2)&lt;6,MOD(V351+W351,1),0)
  - IF(WEEKDAY(B351,2)&lt;6,MOD(B351+C351,1),0)
),"00")
&amp; ":" &amp;
TEXT(MINUTE(
  NETWORKDAYS(B351,V351)-1
  + IF(WEEKDAY(V351,2)&lt;6,MOD(V351+W351,1),0)
  - IF(WEEKDAY(B351,2)&lt;6,MOD(B351+C351,1),0)
),"00")</f>
        <v>0:22:11</v>
      </c>
      <c r="AQ351" s="0" t="n">
        <f aca="false">IFERROR(
LEFT(AP351,FIND(":",AP351)-1)
+ MID(AP351,FIND(":",AP351)+1,2)/24
+ RIGHT(AP351,2)/1440,
"")</f>
        <v>0.924305555555556</v>
      </c>
      <c r="AR351" s="0" t="n">
        <f aca="false">WEEKNUM(B351,1)</f>
        <v>21</v>
      </c>
      <c r="AS351" s="17" t="n">
        <f aca="false">IF(B351&gt;0, (B351+C351)-TIME(13,30,0), "")</f>
        <v>46163.4069444445</v>
      </c>
      <c r="AT351" s="18" t="n">
        <f aca="false">IF(B351&gt;0, (B351+C351)-TIME(13,30,0), "")</f>
        <v>46163.4069444445</v>
      </c>
      <c r="AU351" s="17" t="n">
        <f aca="false">IF(V351&gt;0, (V351+W351)-TIME(13,30,0), "")</f>
        <v>46164.3319444444</v>
      </c>
      <c r="AV351" s="18" t="n">
        <f aca="false">IF(V351&gt;0, (V351+W351)-TIME(13,30,0), "")</f>
        <v>46164.3319444444</v>
      </c>
      <c r="AW351" s="19" t="n">
        <f aca="false">24*(
MAX(0,
IF(NETWORKDAYS(AS351,AU351)=1,
MIN(MOD(AV351,1),TIME(17,30,0)) - MAX(MOD(AT351,1),TIME(8,30,0)),
(TIME(17,30,0)-MAX(MOD(AT351,1),TIME(8,30,0)))
+ (MIN(MOD(AV351,1),TIME(17,30,0))-TIME(8,30,0))
+ (NETWORKDAYS(AS351,AU351)-2)*9/24
)
)
)</f>
        <v>7.19999999989889</v>
      </c>
      <c r="AX351" s="19" t="n">
        <f aca="false">24*(
MAX(0,
IF(NETWORKDAYS(AS351,AU351)=1,
MIN(MOD(AV351,1),TIME(17,30,0)) - MAX(MOD(AT351,1),TIME(8,30,0)),
(TIME(17,30,0)-MAX(MOD(AT351,1),TIME(8,30,0)))
+ (MIN(MOD(AV351,1),TIME(17,30,0))-TIME(8,30,0))
+ (NETWORKDAYS(AS351,AU351)-2)* (TIME(17,30,0)-TIME(8,30,0))
)
)
)</f>
        <v>7.19999999989889</v>
      </c>
      <c r="AY351" s="20" t="n">
        <f aca="false">ROUND(
IF(AS351=AU351,
MAX(0,
(MIN(MOD(AV351,1),TIME(17,30,0))-
MAX(MOD(AT351,1),TIME(8,30,0)))*24
),
(
(MAX(0,TIME(17,30,0)-MAX(MOD(AT351,1),TIME(8,30,0)))*24)
+
(MAX(0,MIN(MOD(AV351,1),TIME(17,30,0))-TIME(8,30,0))*24)
+
(MAX(0,NETWORKDAYS(AS351+1,AU351-1))*9)
)
),
2)</f>
        <v>7.73</v>
      </c>
      <c r="AZ351" s="0" t="n">
        <f aca="false" t="array" ref="AZ351:AZ351">_xlfn.XLOOKUP(J351,{"Low","Medium","High"},{270,72,24})</f>
        <v>270</v>
      </c>
      <c r="BA351" s="0" t="str">
        <f aca="false">IF(AW351&gt;AZ351,"Not Met","Met")</f>
        <v>Met</v>
      </c>
      <c r="BB351" s="21" t="str">
        <f aca="false">IF(AS351="","",TEXT(AS351,"MMM")&amp;"'"&amp;TEXT(AS351,"yy"))</f>
        <v>May'26</v>
      </c>
      <c r="BC351" s="0" t="str">
        <f aca="false">IF(AU351="","",TEXT(AU351,"MMM")&amp;"'"&amp;TEXT(AU351,"yy"))</f>
        <v>May'26</v>
      </c>
    </row>
    <row r="352" customFormat="false" ht="15" hidden="false" customHeight="false" outlineLevel="0" collapsed="false">
      <c r="A352" s="1" t="s">
        <v>1184</v>
      </c>
      <c r="B352" s="11" t="n">
        <v>46163</v>
      </c>
      <c r="C352" s="12" t="n">
        <v>0.988888888888889</v>
      </c>
      <c r="D352" s="13" t="str">
        <f aca="false">IF(B352="","",TEXT(B352,"MMM")&amp;"'"&amp;TEXT(B352,"yy"))</f>
        <v>May'26</v>
      </c>
      <c r="E352" s="1" t="s">
        <v>55</v>
      </c>
      <c r="F352" s="1" t="s">
        <v>39</v>
      </c>
      <c r="G352" s="1" t="str">
        <f aca="false">IF(F352="Closed","Closed","Pending")</f>
        <v>Closed</v>
      </c>
      <c r="H352" s="27" t="s">
        <v>72</v>
      </c>
      <c r="I352" s="1" t="s">
        <v>501</v>
      </c>
      <c r="J352" s="1" t="s">
        <v>74</v>
      </c>
      <c r="K352" s="1" t="s">
        <v>59</v>
      </c>
      <c r="L352" s="1" t="s">
        <v>1185</v>
      </c>
      <c r="M352" s="1" t="s">
        <v>1186</v>
      </c>
      <c r="N352" s="1" t="s">
        <v>65</v>
      </c>
      <c r="O352" s="1" t="s">
        <v>106</v>
      </c>
      <c r="Q352" s="1" t="s">
        <v>65</v>
      </c>
      <c r="R352" s="1" t="s">
        <v>87</v>
      </c>
      <c r="U352" s="12" t="n">
        <v>0.990972222222222</v>
      </c>
      <c r="V352" s="11" t="n">
        <v>46164</v>
      </c>
      <c r="W352" s="12" t="n">
        <v>0.895833333333333</v>
      </c>
      <c r="X352" s="11" t="n">
        <v>46164</v>
      </c>
      <c r="Y352" s="12" t="n">
        <v>0.931944444444445</v>
      </c>
      <c r="Z352" s="1" t="s">
        <v>108</v>
      </c>
      <c r="AA352" s="1" t="s">
        <v>68</v>
      </c>
      <c r="AB352" s="2" t="e">
        <f aca="false">U352-F352</f>
        <v>#VALUE!</v>
      </c>
      <c r="AC352" s="14" t="n">
        <f aca="false">(V352+W352)-(B352+C352)</f>
        <v>0.906944444444444</v>
      </c>
      <c r="AD352" s="4" t="str">
        <f aca="false">INT((V352+W352)-(B352+C352)) &amp; ":" &amp;
TEXT(HOUR((V352+W352)-(B352+C352)), "00") &amp; ":" &amp;
TEXT(MINUTE((V352+W352)-(B352+C352)), "00")</f>
        <v>0:21:46</v>
      </c>
      <c r="AE352" s="1" t="n">
        <f aca="false">IFERROR(
LEFT(AD352,FIND(":",AD352)-1)
+ MID(AD352,FIND(":",AD352)+1,2)/24
+ RIGHT(AD352,2)/1440,
"")</f>
        <v>0.906944444444444</v>
      </c>
      <c r="AF352" s="4" t="str">
        <f aca="false">INT((X352+Y352)-(B352+C352)) &amp; ":" &amp;
TEXT(HOUR((X352+Y352)-(B352+C352)), "00") &amp; ":" &amp;
TEXT(MINUTE((X352+Y352)-(B352+C352)), "00")</f>
        <v>0:22:38</v>
      </c>
      <c r="AG352" s="4" t="str">
        <f aca="false" t="array" ref="AG352:AG352">INT(_xlfn.XLOOKUP(J352,{"Low","Medium","High","Urgent"},{48,24,12,8})/24) &amp; ":" &amp;
TEXT(MOD(_xlfn.XLOOKUP(J352,{"Low","Medium","High","Urgent"},{48,24,12,8}),24)/24,"hh:mm")</f>
        <v>2:00:00</v>
      </c>
      <c r="AH352" s="4" t="str">
        <f aca="false">IF(AD352&gt;AG352,"Not Met","Met")</f>
        <v>Met</v>
      </c>
      <c r="AI352" s="4" t="e">
        <f aca="false">IF(AB352&lt;TIME(0,30,0),"Met","Not Met")</f>
        <v>#VALUE!</v>
      </c>
      <c r="AN352" s="1" t="str">
        <f aca="false">TEXT(B352,"dd")</f>
        <v>21</v>
      </c>
      <c r="AO352" s="1" t="str">
        <f aca="false">TEXT(X352,"dd")</f>
        <v>22</v>
      </c>
      <c r="AP352" s="16" t="str">
        <f aca="false">INT(
  NETWORKDAYS(B352,V352)-1
  + IF(WEEKDAY(V352,2)&lt;6,MOD(V352+W352,1),0)
  - IF(WEEKDAY(B352,2)&lt;6,MOD(B352+C352,1),0)
)
&amp; ":" &amp;
TEXT(HOUR(
  NETWORKDAYS(B352,V352)-1
  + IF(WEEKDAY(V352,2)&lt;6,MOD(V352+W352,1),0)
  - IF(WEEKDAY(B352,2)&lt;6,MOD(B352+C352,1),0)
),"00")
&amp; ":" &amp;
TEXT(MINUTE(
  NETWORKDAYS(B352,V352)-1
  + IF(WEEKDAY(V352,2)&lt;6,MOD(V352+W352,1),0)
  - IF(WEEKDAY(B352,2)&lt;6,MOD(B352+C352,1),0)
),"00")</f>
        <v>0:21:46</v>
      </c>
      <c r="AQ352" s="0" t="n">
        <f aca="false">IFERROR(
LEFT(AP352,FIND(":",AP352)-1)
+ MID(AP352,FIND(":",AP352)+1,2)/24
+ RIGHT(AP352,2)/1440,
"")</f>
        <v>0.906944444444444</v>
      </c>
      <c r="AR352" s="0" t="n">
        <f aca="false">WEEKNUM(B352,1)</f>
        <v>21</v>
      </c>
      <c r="AS352" s="17" t="n">
        <f aca="false">IF(B352&gt;0, (B352+C352)-TIME(13,30,0), "")</f>
        <v>46163.4263888889</v>
      </c>
      <c r="AT352" s="18" t="n">
        <f aca="false">IF(B352&gt;0, (B352+C352)-TIME(13,30,0), "")</f>
        <v>46163.4263888889</v>
      </c>
      <c r="AU352" s="17" t="n">
        <f aca="false">IF(V352&gt;0, (V352+W352)-TIME(13,30,0), "")</f>
        <v>46164.3333333333</v>
      </c>
      <c r="AV352" s="18" t="n">
        <f aca="false">IF(V352&gt;0, (V352+W352)-TIME(13,30,0), "")</f>
        <v>46164.3333333333</v>
      </c>
      <c r="AW352" s="19" t="n">
        <f aca="false">24*(
MAX(0,
IF(NETWORKDAYS(AS352,AU352)=1,
MIN(MOD(AV352,1),TIME(17,30,0)) - MAX(MOD(AT352,1),TIME(8,30,0)),
(TIME(17,30,0)-MAX(MOD(AT352,1),TIME(8,30,0)))
+ (MIN(MOD(AV352,1),TIME(17,30,0))-TIME(8,30,0))
+ (NETWORKDAYS(AS352,AU352)-2)*9/24
)
)
)</f>
        <v>6.76666666666667</v>
      </c>
      <c r="AX352" s="19" t="n">
        <f aca="false">24*(
MAX(0,
IF(NETWORKDAYS(AS352,AU352)=1,
MIN(MOD(AV352,1),TIME(17,30,0)) - MAX(MOD(AT352,1),TIME(8,30,0)),
(TIME(17,30,0)-MAX(MOD(AT352,1),TIME(8,30,0)))
+ (MIN(MOD(AV352,1),TIME(17,30,0))-TIME(8,30,0))
+ (NETWORKDAYS(AS352,AU352)-2)* (TIME(17,30,0)-TIME(8,30,0))
)
)
)</f>
        <v>6.76666666666667</v>
      </c>
      <c r="AY352" s="20" t="n">
        <f aca="false">ROUND(
IF(AS352=AU352,
MAX(0,
(MIN(MOD(AV352,1),TIME(17,30,0))-
MAX(MOD(AT352,1),TIME(8,30,0)))*24
),
(
(MAX(0,TIME(17,30,0)-MAX(MOD(AT352,1),TIME(8,30,0)))*24)
+
(MAX(0,MIN(MOD(AV352,1),TIME(17,30,0))-TIME(8,30,0))*24)
+
(MAX(0,NETWORKDAYS(AS352+1,AU352-1))*9)
)
),
2)</f>
        <v>7.27</v>
      </c>
      <c r="AZ352" s="0" t="n">
        <f aca="false" t="array" ref="AZ352:AZ352">_xlfn.XLOOKUP(J352,{"Low","Medium","High"},{270,72,24})</f>
        <v>270</v>
      </c>
      <c r="BA352" s="0" t="str">
        <f aca="false">IF(AW352&gt;AZ352,"Not Met","Met")</f>
        <v>Met</v>
      </c>
      <c r="BB352" s="21" t="str">
        <f aca="false">IF(AS352="","",TEXT(AS352,"MMM")&amp;"'"&amp;TEXT(AS352,"yy"))</f>
        <v>May'26</v>
      </c>
      <c r="BC352" s="0" t="str">
        <f aca="false">IF(AU352="","",TEXT(AU352,"MMM")&amp;"'"&amp;TEXT(AU352,"yy"))</f>
        <v>May'26</v>
      </c>
    </row>
    <row r="353" customFormat="false" ht="15" hidden="false" customHeight="false" outlineLevel="0" collapsed="false">
      <c r="A353" s="1" t="s">
        <v>1187</v>
      </c>
      <c r="B353" s="11" t="n">
        <v>46164</v>
      </c>
      <c r="C353" s="12" t="n">
        <v>0.0277777777777778</v>
      </c>
      <c r="D353" s="13" t="str">
        <f aca="false">IF(B353="","",TEXT(B353,"MMM")&amp;"'"&amp;TEXT(B353,"yy"))</f>
        <v>May'26</v>
      </c>
      <c r="E353" s="1" t="s">
        <v>55</v>
      </c>
      <c r="F353" s="1" t="s">
        <v>39</v>
      </c>
      <c r="G353" s="1" t="str">
        <f aca="false">IF(F353="Closed","Closed","Pending")</f>
        <v>Closed</v>
      </c>
      <c r="H353" s="1" t="s">
        <v>263</v>
      </c>
      <c r="I353" s="1" t="s">
        <v>639</v>
      </c>
      <c r="J353" s="1" t="s">
        <v>74</v>
      </c>
      <c r="K353" s="1" t="s">
        <v>59</v>
      </c>
      <c r="L353" s="1" t="s">
        <v>886</v>
      </c>
      <c r="M353" s="1" t="s">
        <v>1188</v>
      </c>
      <c r="N353" s="1" t="s">
        <v>65</v>
      </c>
      <c r="O353" s="1" t="s">
        <v>106</v>
      </c>
      <c r="Q353" s="1" t="s">
        <v>65</v>
      </c>
      <c r="R353" s="1" t="s">
        <v>87</v>
      </c>
      <c r="U353" s="12" t="n">
        <v>0.0479166666666667</v>
      </c>
      <c r="V353" s="11" t="n">
        <v>46164</v>
      </c>
      <c r="W353" s="12" t="n">
        <v>0.896527777777778</v>
      </c>
      <c r="X353" s="11" t="n">
        <v>46164</v>
      </c>
      <c r="Y353" s="12" t="n">
        <v>0.899305555555556</v>
      </c>
      <c r="Z353" s="1" t="s">
        <v>108</v>
      </c>
      <c r="AA353" s="1" t="s">
        <v>68</v>
      </c>
      <c r="AB353" s="2" t="e">
        <f aca="false">U353-F353</f>
        <v>#VALUE!</v>
      </c>
      <c r="AC353" s="14" t="n">
        <f aca="false">(V353+W353)-(B353+C353)</f>
        <v>0.86875</v>
      </c>
      <c r="AD353" s="4" t="str">
        <f aca="false">INT((V353+W353)-(B353+C353)) &amp; ":" &amp;
TEXT(HOUR((V353+W353)-(B353+C353)), "00") &amp; ":" &amp;
TEXT(MINUTE((V353+W353)-(B353+C353)), "00")</f>
        <v>0:20:51</v>
      </c>
      <c r="AE353" s="1" t="n">
        <f aca="false">IFERROR(
LEFT(AD353,FIND(":",AD353)-1)
+ MID(AD353,FIND(":",AD353)+1,2)/24
+ RIGHT(AD353,2)/1440,
"")</f>
        <v>0.86875</v>
      </c>
      <c r="AF353" s="4" t="str">
        <f aca="false">INT((X353+Y353)-(B353+C353)) &amp; ":" &amp;
TEXT(HOUR((X353+Y353)-(B353+C353)), "00") &amp; ":" &amp;
TEXT(MINUTE((X353+Y353)-(B353+C353)), "00")</f>
        <v>0:20:55</v>
      </c>
      <c r="AG353" s="4" t="str">
        <f aca="false" t="array" ref="AG353:AG353">INT(_xlfn.XLOOKUP(J353,{"Low","Medium","High","Urgent"},{48,24,12,8})/24) &amp; ":" &amp;
TEXT(MOD(_xlfn.XLOOKUP(J353,{"Low","Medium","High","Urgent"},{48,24,12,8}),24)/24,"hh:mm")</f>
        <v>2:00:00</v>
      </c>
      <c r="AH353" s="4" t="str">
        <f aca="false">IF(AD353&gt;AG353,"Not Met","Met")</f>
        <v>Met</v>
      </c>
      <c r="AI353" s="4" t="e">
        <f aca="false">IF(AB353&lt;TIME(0,30,0),"Met","Not Met")</f>
        <v>#VALUE!</v>
      </c>
      <c r="AN353" s="1" t="str">
        <f aca="false">TEXT(B353,"dd")</f>
        <v>22</v>
      </c>
      <c r="AO353" s="1" t="str">
        <f aca="false">TEXT(X353,"dd")</f>
        <v>22</v>
      </c>
      <c r="AP353" s="16" t="str">
        <f aca="false">INT(
  NETWORKDAYS(B353,V353)-1
  + IF(WEEKDAY(V353,2)&lt;6,MOD(V353+W353,1),0)
  - IF(WEEKDAY(B353,2)&lt;6,MOD(B353+C353,1),0)
)
&amp; ":" &amp;
TEXT(HOUR(
  NETWORKDAYS(B353,V353)-1
  + IF(WEEKDAY(V353,2)&lt;6,MOD(V353+W353,1),0)
  - IF(WEEKDAY(B353,2)&lt;6,MOD(B353+C353,1),0)
),"00")
&amp; ":" &amp;
TEXT(MINUTE(
  NETWORKDAYS(B353,V353)-1
  + IF(WEEKDAY(V353,2)&lt;6,MOD(V353+W353,1),0)
  - IF(WEEKDAY(B353,2)&lt;6,MOD(B353+C353,1),0)
),"00")</f>
        <v>0:20:50</v>
      </c>
      <c r="AQ353" s="0" t="n">
        <f aca="false">IFERROR(
LEFT(AP353,FIND(":",AP353)-1)
+ MID(AP353,FIND(":",AP353)+1,2)/24
+ RIGHT(AP353,2)/1440,
"")</f>
        <v>0.868055555555556</v>
      </c>
      <c r="AR353" s="0" t="n">
        <f aca="false">WEEKNUM(B353,1)</f>
        <v>21</v>
      </c>
      <c r="AS353" s="17" t="n">
        <f aca="false">IF(B353&gt;0, (B353+C353)-TIME(13,30,0), "")</f>
        <v>46163.4652777778</v>
      </c>
      <c r="AT353" s="18" t="n">
        <f aca="false">IF(B353&gt;0, (B353+C353)-TIME(13,30,0), "")</f>
        <v>46163.4652777778</v>
      </c>
      <c r="AU353" s="17" t="n">
        <f aca="false">IF(V353&gt;0, (V353+W353)-TIME(13,30,0), "")</f>
        <v>46164.3340277778</v>
      </c>
      <c r="AV353" s="18" t="n">
        <f aca="false">IF(V353&gt;0, (V353+W353)-TIME(13,30,0), "")</f>
        <v>46164.3340277778</v>
      </c>
      <c r="AW353" s="19" t="n">
        <f aca="false">24*(
MAX(0,
IF(NETWORKDAYS(AS353,AU353)=1,
MIN(MOD(AV353,1),TIME(17,30,0)) - MAX(MOD(AT353,1),TIME(8,30,0)),
(TIME(17,30,0)-MAX(MOD(AT353,1),TIME(8,30,0)))
+ (MIN(MOD(AV353,1),TIME(17,30,0))-TIME(8,30,0))
+ (NETWORKDAYS(AS353,AU353)-2)*9/24
)
)
)</f>
        <v>5.84999999987556</v>
      </c>
      <c r="AX353" s="19" t="n">
        <f aca="false">24*(
MAX(0,
IF(NETWORKDAYS(AS353,AU353)=1,
MIN(MOD(AV353,1),TIME(17,30,0)) - MAX(MOD(AT353,1),TIME(8,30,0)),
(TIME(17,30,0)-MAX(MOD(AT353,1),TIME(8,30,0)))
+ (MIN(MOD(AV353,1),TIME(17,30,0))-TIME(8,30,0))
+ (NETWORKDAYS(AS353,AU353)-2)* (TIME(17,30,0)-TIME(8,30,0))
)
)
)</f>
        <v>5.84999999987556</v>
      </c>
      <c r="AY353" s="20" t="n">
        <f aca="false">ROUND(
IF(AS353=AU353,
MAX(0,
(MIN(MOD(AV353,1),TIME(17,30,0))-
MAX(MOD(AT353,1),TIME(8,30,0)))*24
),
(
(MAX(0,TIME(17,30,0)-MAX(MOD(AT353,1),TIME(8,30,0)))*24)
+
(MAX(0,MIN(MOD(AV353,1),TIME(17,30,0))-TIME(8,30,0))*24)
+
(MAX(0,NETWORKDAYS(AS353+1,AU353-1))*9)
)
),
2)</f>
        <v>6.33</v>
      </c>
      <c r="AZ353" s="0" t="n">
        <f aca="false" t="array" ref="AZ353:AZ353">_xlfn.XLOOKUP(J353,{"Low","Medium","High"},{270,72,24})</f>
        <v>270</v>
      </c>
      <c r="BA353" s="0" t="str">
        <f aca="false">IF(AW353&gt;AZ353,"Not Met","Met")</f>
        <v>Met</v>
      </c>
      <c r="BB353" s="21" t="str">
        <f aca="false">IF(AS353="","",TEXT(AS353,"MMM")&amp;"'"&amp;TEXT(AS353,"yy"))</f>
        <v>May'26</v>
      </c>
      <c r="BC353" s="0" t="str">
        <f aca="false">IF(AU353="","",TEXT(AU353,"MMM")&amp;"'"&amp;TEXT(AU353,"yy"))</f>
        <v>May'26</v>
      </c>
    </row>
    <row r="354" customFormat="false" ht="15" hidden="false" customHeight="false" outlineLevel="0" collapsed="false">
      <c r="A354" s="1" t="s">
        <v>1189</v>
      </c>
      <c r="B354" s="11" t="n">
        <v>46164</v>
      </c>
      <c r="C354" s="12" t="n">
        <v>0.05625</v>
      </c>
      <c r="D354" s="13" t="str">
        <f aca="false">IF(B354="","",TEXT(B354,"MMM")&amp;"'"&amp;TEXT(B354,"yy"))</f>
        <v>May'26</v>
      </c>
      <c r="E354" s="1" t="s">
        <v>55</v>
      </c>
      <c r="F354" s="1" t="s">
        <v>39</v>
      </c>
      <c r="G354" s="1" t="str">
        <f aca="false">IF(F354="Closed","Closed","Pending")</f>
        <v>Closed</v>
      </c>
      <c r="H354" s="27" t="s">
        <v>56</v>
      </c>
      <c r="I354" s="1" t="s">
        <v>501</v>
      </c>
      <c r="J354" s="1" t="s">
        <v>74</v>
      </c>
      <c r="K354" s="1" t="s">
        <v>59</v>
      </c>
      <c r="L354" s="1" t="s">
        <v>1190</v>
      </c>
      <c r="M354" s="1" t="s">
        <v>1191</v>
      </c>
      <c r="N354" s="1" t="s">
        <v>65</v>
      </c>
      <c r="O354" s="1" t="s">
        <v>106</v>
      </c>
      <c r="Q354" s="1" t="s">
        <v>65</v>
      </c>
      <c r="R354" s="1" t="s">
        <v>87</v>
      </c>
      <c r="U354" s="12" t="n">
        <v>0.0611111111111111</v>
      </c>
      <c r="V354" s="11" t="n">
        <v>46172</v>
      </c>
      <c r="W354" s="12" t="n">
        <v>0.0451388888888889</v>
      </c>
      <c r="X354" s="11" t="n">
        <v>46179</v>
      </c>
      <c r="Y354" s="12" t="n">
        <v>0.00694444444444444</v>
      </c>
      <c r="Z354" s="1" t="s">
        <v>108</v>
      </c>
      <c r="AA354" s="1" t="s">
        <v>68</v>
      </c>
      <c r="AB354" s="2" t="e">
        <f aca="false">U354-F354</f>
        <v>#VALUE!</v>
      </c>
      <c r="AC354" s="14" t="n">
        <f aca="false">(V354+W354)-(B354+C354)</f>
        <v>7.98888888888889</v>
      </c>
      <c r="AD354" s="4" t="str">
        <f aca="false">INT((V354+W354)-(B354+C354)) &amp; ":" &amp;
TEXT(HOUR((V354+W354)-(B354+C354)), "00") &amp; ":" &amp;
TEXT(MINUTE((V354+W354)-(B354+C354)), "00")</f>
        <v>7:23:44</v>
      </c>
      <c r="AE354" s="1" t="n">
        <f aca="false">IFERROR(
LEFT(AD354,FIND(":",AD354)-1)
+ MID(AD354,FIND(":",AD354)+1,2)/24
+ RIGHT(AD354,2)/1440,
"")</f>
        <v>7.98888888888889</v>
      </c>
      <c r="AF354" s="4" t="str">
        <f aca="false">INT((X354+Y354)-(B354+C354)) &amp; ":" &amp;
TEXT(HOUR((X354+Y354)-(B354+C354)), "00") &amp; ":" &amp;
TEXT(MINUTE((X354+Y354)-(B354+C354)), "00")</f>
        <v>14:22:49</v>
      </c>
      <c r="AG354" s="4" t="str">
        <f aca="false" t="array" ref="AG354:AG354">INT(_xlfn.XLOOKUP(J354,{"Low","Medium","High","Urgent"},{48,24,12,8})/24) &amp; ":" &amp;
TEXT(MOD(_xlfn.XLOOKUP(J354,{"Low","Medium","High","Urgent"},{48,24,12,8}),24)/24,"hh:mm")</f>
        <v>2:00:00</v>
      </c>
      <c r="AH354" s="4" t="str">
        <f aca="false">IF(AD354&gt;AG354,"Not Met","Met")</f>
        <v>Not Met</v>
      </c>
      <c r="AI354" s="4" t="e">
        <f aca="false">IF(AB354&lt;TIME(0,30,0),"Met","Not Met")</f>
        <v>#VALUE!</v>
      </c>
      <c r="AN354" s="1" t="str">
        <f aca="false">TEXT(B354,"dd")</f>
        <v>22</v>
      </c>
      <c r="AO354" s="1" t="str">
        <f aca="false">TEXT(X354,"dd")</f>
        <v>06</v>
      </c>
      <c r="AP354" s="16" t="str">
        <f aca="false">INT(
  NETWORKDAYS(B354,V354)-1
  + IF(WEEKDAY(V354,2)&lt;6,MOD(V354+W354,1),0)
  - IF(WEEKDAY(B354,2)&lt;6,MOD(B354+C354,1),0)
)
&amp; ":" &amp;
TEXT(HOUR(
  NETWORKDAYS(B354,V354)-1
  + IF(WEEKDAY(V354,2)&lt;6,MOD(V354+W354,1),0)
  - IF(WEEKDAY(B354,2)&lt;6,MOD(B354+C354,1),0)
),"00")
&amp; ":" &amp;
TEXT(MINUTE(
  NETWORKDAYS(B354,V354)-1
  + IF(WEEKDAY(V354,2)&lt;6,MOD(V354+W354,1),0)
  - IF(WEEKDAY(B354,2)&lt;6,MOD(B354+C354,1),0)
),"00")</f>
        <v>4:22:38</v>
      </c>
      <c r="AQ354" s="0" t="n">
        <f aca="false">IFERROR(
LEFT(AP354,FIND(":",AP354)-1)
+ MID(AP354,FIND(":",AP354)+1,2)/24
+ RIGHT(AP354,2)/1440,
"")</f>
        <v>4.94305555555556</v>
      </c>
      <c r="AR354" s="0" t="n">
        <f aca="false">WEEKNUM(B354,1)</f>
        <v>21</v>
      </c>
      <c r="AS354" s="17" t="n">
        <f aca="false">IF(B354&gt;0, (B354+C354)-TIME(13,30,0), "")</f>
        <v>46163.49375</v>
      </c>
      <c r="AT354" s="18" t="n">
        <f aca="false">IF(B354&gt;0, (B354+C354)-TIME(13,30,0), "")</f>
        <v>46163.49375</v>
      </c>
      <c r="AU354" s="17" t="n">
        <f aca="false">IF(V354&gt;0, (V354+W354)-TIME(13,30,0), "")</f>
        <v>46171.4826388889</v>
      </c>
      <c r="AV354" s="18" t="n">
        <f aca="false">IF(V354&gt;0, (V354+W354)-TIME(13,30,0), "")</f>
        <v>46171.4826388889</v>
      </c>
      <c r="AW354" s="19" t="n">
        <f aca="false">24*(
MAX(0,
IF(NETWORKDAYS(AS354,AU354)=1,
MIN(MOD(AV354,1),TIME(17,30,0)) - MAX(MOD(AT354,1),TIME(8,30,0)),
(TIME(17,30,0)-MAX(MOD(AT354,1),TIME(8,30,0)))
+ (MIN(MOD(AV354,1),TIME(17,30,0))-TIME(8,30,0))
+ (NETWORKDAYS(AS354,AU354)-2)*9/24
)
)
)</f>
        <v>53.7333333333333</v>
      </c>
      <c r="AX354" s="19" t="n">
        <f aca="false">24*(
MAX(0,
IF(NETWORKDAYS(AS354,AU354)=1,
MIN(MOD(AV354,1),TIME(17,30,0)) - MAX(MOD(AT354,1),TIME(8,30,0)),
(TIME(17,30,0)-MAX(MOD(AT354,1),TIME(8,30,0)))
+ (MIN(MOD(AV354,1),TIME(17,30,0))-TIME(8,30,0))
+ (NETWORKDAYS(AS354,AU354)-2)* (TIME(17,30,0)-TIME(8,30,0))
)
)
)</f>
        <v>53.7333333333333</v>
      </c>
      <c r="AY354" s="20" t="n">
        <f aca="false">ROUND(
IF(AS354=AU354,
MAX(0,
(MIN(MOD(AV354,1),TIME(17,30,0))-
MAX(MOD(AT354,1),TIME(8,30,0)))*24
),
(
(MAX(0,TIME(17,30,0)-MAX(MOD(AT354,1),TIME(8,30,0)))*24)
+
(MAX(0,MIN(MOD(AV354,1),TIME(17,30,0))-TIME(8,30,0))*24)
+
(MAX(0,NETWORKDAYS(AS354+1,AU354-1))*9)
)
),
2)</f>
        <v>53.73</v>
      </c>
      <c r="AZ354" s="0" t="n">
        <f aca="false" t="array" ref="AZ354:AZ354">_xlfn.XLOOKUP(J354,{"Low","Medium","High"},{270,72,24})</f>
        <v>270</v>
      </c>
      <c r="BA354" s="0" t="str">
        <f aca="false">IF(AW354&gt;AZ354,"Not Met","Met")</f>
        <v>Met</v>
      </c>
      <c r="BB354" s="21" t="str">
        <f aca="false">IF(AS354="","",TEXT(AS354,"MMM")&amp;"'"&amp;TEXT(AS354,"yy"))</f>
        <v>May'26</v>
      </c>
      <c r="BC354" s="0" t="str">
        <f aca="false">IF(AU354="","",TEXT(AU354,"MMM")&amp;"'"&amp;TEXT(AU354,"yy"))</f>
        <v>May'26</v>
      </c>
    </row>
    <row r="355" customFormat="false" ht="15" hidden="false" customHeight="false" outlineLevel="0" collapsed="false">
      <c r="A355" s="1" t="s">
        <v>1192</v>
      </c>
      <c r="B355" s="11" t="n">
        <v>46164</v>
      </c>
      <c r="C355" s="12" t="n">
        <v>0.0576388888888889</v>
      </c>
      <c r="D355" s="13" t="str">
        <f aca="false">IF(B355="","",TEXT(B355,"MMM")&amp;"'"&amp;TEXT(B355,"yy"))</f>
        <v>May'26</v>
      </c>
      <c r="E355" s="1" t="s">
        <v>55</v>
      </c>
      <c r="F355" s="1" t="s">
        <v>39</v>
      </c>
      <c r="G355" s="1" t="str">
        <f aca="false">IF(F355="Closed","Closed","Pending")</f>
        <v>Closed</v>
      </c>
      <c r="H355" s="26" t="s">
        <v>120</v>
      </c>
      <c r="I355" s="26" t="s">
        <v>349</v>
      </c>
      <c r="J355" s="26" t="s">
        <v>74</v>
      </c>
      <c r="K355" s="26" t="s">
        <v>59</v>
      </c>
      <c r="L355" s="1" t="s">
        <v>1193</v>
      </c>
      <c r="M355" s="1" t="s">
        <v>1194</v>
      </c>
      <c r="N355" s="1" t="s">
        <v>65</v>
      </c>
      <c r="O355" s="1" t="s">
        <v>106</v>
      </c>
      <c r="Q355" s="1" t="s">
        <v>65</v>
      </c>
      <c r="R355" s="1" t="s">
        <v>87</v>
      </c>
      <c r="U355" s="12" t="n">
        <v>0.0638888888888889</v>
      </c>
      <c r="V355" s="11" t="n">
        <v>46169</v>
      </c>
      <c r="W355" s="12" t="n">
        <v>0.861111111111111</v>
      </c>
      <c r="X355" s="11" t="n">
        <v>46169</v>
      </c>
      <c r="Y355" s="12" t="n">
        <v>0.998611111111111</v>
      </c>
      <c r="Z355" s="1" t="s">
        <v>108</v>
      </c>
      <c r="AA355" s="1" t="s">
        <v>68</v>
      </c>
      <c r="AB355" s="2" t="e">
        <f aca="false">U355-F355</f>
        <v>#VALUE!</v>
      </c>
      <c r="AC355" s="14" t="n">
        <f aca="false">(V355+W355)-(B355+C355)</f>
        <v>5.80347222222222</v>
      </c>
      <c r="AD355" s="4" t="str">
        <f aca="false">INT((V355+W355)-(B355+C355)) &amp; ":" &amp;
TEXT(HOUR((V355+W355)-(B355+C355)), "00") &amp; ":" &amp;
TEXT(MINUTE((V355+W355)-(B355+C355)), "00")</f>
        <v>5:19:17</v>
      </c>
      <c r="AE355" s="1" t="n">
        <f aca="false">IFERROR(
LEFT(AD355,FIND(":",AD355)-1)
+ MID(AD355,FIND(":",AD355)+1,2)/24
+ RIGHT(AD355,2)/1440,
"")</f>
        <v>5.80347222222222</v>
      </c>
      <c r="AF355" s="4" t="str">
        <f aca="false">INT((X355+Y355)-(B355+C355)) &amp; ":" &amp;
TEXT(HOUR((X355+Y355)-(B355+C355)), "00") &amp; ":" &amp;
TEXT(MINUTE((X355+Y355)-(B355+C355)), "00")</f>
        <v>5:22:35</v>
      </c>
      <c r="AG355" s="4" t="str">
        <f aca="false" t="array" ref="AG355:AG355">INT(_xlfn.XLOOKUP(J355,{"Low","Medium","High","Urgent"},{48,24,12,8})/24) &amp; ":" &amp;
TEXT(MOD(_xlfn.XLOOKUP(J355,{"Low","Medium","High","Urgent"},{48,24,12,8}),24)/24,"hh:mm")</f>
        <v>2:00:00</v>
      </c>
      <c r="AH355" s="4" t="str">
        <f aca="false">IF(AD355&gt;AG355,"Not Met","Met")</f>
        <v>Not Met</v>
      </c>
      <c r="AI355" s="4" t="e">
        <f aca="false">IF(AB355&lt;TIME(0,30,0),"Met","Not Met")</f>
        <v>#VALUE!</v>
      </c>
      <c r="AN355" s="1" t="str">
        <f aca="false">TEXT(B355,"dd")</f>
        <v>22</v>
      </c>
      <c r="AO355" s="1" t="str">
        <f aca="false">TEXT(X355,"dd")</f>
        <v>27</v>
      </c>
      <c r="AP355" s="16" t="str">
        <f aca="false">INT(
  NETWORKDAYS(B355,V355)-1
  + IF(WEEKDAY(V355,2)&lt;6,MOD(V355+W355,1),0)
  - IF(WEEKDAY(B355,2)&lt;6,MOD(B355+C355,1),0)
)
&amp; ":" &amp;
TEXT(HOUR(
  NETWORKDAYS(B355,V355)-1
  + IF(WEEKDAY(V355,2)&lt;6,MOD(V355+W355,1),0)
  - IF(WEEKDAY(B355,2)&lt;6,MOD(B355+C355,1),0)
),"00")
&amp; ":" &amp;
TEXT(MINUTE(
  NETWORKDAYS(B355,V355)-1
  + IF(WEEKDAY(V355,2)&lt;6,MOD(V355+W355,1),0)
  - IF(WEEKDAY(B355,2)&lt;6,MOD(B355+C355,1),0)
),"00")</f>
        <v>3:19:16</v>
      </c>
      <c r="AQ355" s="0" t="n">
        <f aca="false">IFERROR(
LEFT(AP355,FIND(":",AP355)-1)
+ MID(AP355,FIND(":",AP355)+1,2)/24
+ RIGHT(AP355,2)/1440,
"")</f>
        <v>3.80277777777778</v>
      </c>
      <c r="AR355" s="0" t="n">
        <f aca="false">WEEKNUM(B355,1)</f>
        <v>21</v>
      </c>
      <c r="AS355" s="17" t="n">
        <f aca="false">IF(B355&gt;0, (B355+C355)-TIME(13,30,0), "")</f>
        <v>46163.4951388889</v>
      </c>
      <c r="AT355" s="18" t="n">
        <f aca="false">IF(B355&gt;0, (B355+C355)-TIME(13,30,0), "")</f>
        <v>46163.4951388889</v>
      </c>
      <c r="AU355" s="17" t="n">
        <f aca="false">IF(V355&gt;0, (V355+W355)-TIME(13,30,0), "")</f>
        <v>46169.2986111111</v>
      </c>
      <c r="AV355" s="18" t="n">
        <f aca="false">IF(V355&gt;0, (V355+W355)-TIME(13,30,0), "")</f>
        <v>46169.2986111111</v>
      </c>
      <c r="AW355" s="19" t="n">
        <f aca="false">24*(
MAX(0,
IF(NETWORKDAYS(AS355,AU355)=1,
MIN(MOD(AV355,1),TIME(17,30,0)) - MAX(MOD(AT355,1),TIME(8,30,0)),
(TIME(17,30,0)-MAX(MOD(AT355,1),TIME(8,30,0)))
+ (MIN(MOD(AV355,1),TIME(17,30,0))-TIME(8,30,0))
+ (NETWORKDAYS(AS355,AU355)-2)*9/24
)
)
)</f>
        <v>31.2833333333333</v>
      </c>
      <c r="AX355" s="19" t="n">
        <f aca="false">24*(
MAX(0,
IF(NETWORKDAYS(AS355,AU355)=1,
MIN(MOD(AV355,1),TIME(17,30,0)) - MAX(MOD(AT355,1),TIME(8,30,0)),
(TIME(17,30,0)-MAX(MOD(AT355,1),TIME(8,30,0)))
+ (MIN(MOD(AV355,1),TIME(17,30,0))-TIME(8,30,0))
+ (NETWORKDAYS(AS355,AU355)-2)* (TIME(17,30,0)-TIME(8,30,0))
)
)
)</f>
        <v>31.2833333333333</v>
      </c>
      <c r="AY355" s="20" t="n">
        <f aca="false">ROUND(
IF(AS355=AU355,
MAX(0,
(MIN(MOD(AV355,1),TIME(17,30,0))-
MAX(MOD(AT355,1),TIME(8,30,0)))*24
),
(
(MAX(0,TIME(17,30,0)-MAX(MOD(AT355,1),TIME(8,30,0)))*24)
+
(MAX(0,MIN(MOD(AV355,1),TIME(17,30,0))-TIME(8,30,0))*24)
+
(MAX(0,NETWORKDAYS(AS355+1,AU355-1))*9)
)
),
2)</f>
        <v>32.62</v>
      </c>
      <c r="AZ355" s="0" t="n">
        <f aca="false" t="array" ref="AZ355:AZ355">_xlfn.XLOOKUP(J355,{"Low","Medium","High"},{270,72,24})</f>
        <v>270</v>
      </c>
      <c r="BA355" s="0" t="str">
        <f aca="false">IF(AW355&gt;AZ355,"Not Met","Met")</f>
        <v>Met</v>
      </c>
      <c r="BB355" s="21" t="str">
        <f aca="false">IF(AS355="","",TEXT(AS355,"MMM")&amp;"'"&amp;TEXT(AS355,"yy"))</f>
        <v>May'26</v>
      </c>
      <c r="BC355" s="0" t="str">
        <f aca="false">IF(AU355="","",TEXT(AU355,"MMM")&amp;"'"&amp;TEXT(AU355,"yy"))</f>
        <v>May'26</v>
      </c>
    </row>
    <row r="356" customFormat="false" ht="15" hidden="false" customHeight="false" outlineLevel="0" collapsed="false">
      <c r="A356" s="1" t="s">
        <v>1195</v>
      </c>
      <c r="B356" s="11" t="n">
        <v>46169</v>
      </c>
      <c r="C356" s="12" t="n">
        <v>0.959722222222222</v>
      </c>
      <c r="D356" s="13" t="str">
        <f aca="false">IF(B356="","",TEXT(B356,"MMM")&amp;"'"&amp;TEXT(B356,"yy"))</f>
        <v>May'26</v>
      </c>
      <c r="E356" s="1" t="s">
        <v>55</v>
      </c>
      <c r="F356" s="1" t="s">
        <v>39</v>
      </c>
      <c r="G356" s="1" t="str">
        <f aca="false">IF(F356="Closed","Closed","Pending")</f>
        <v>Closed</v>
      </c>
      <c r="H356" s="1" t="s">
        <v>1109</v>
      </c>
      <c r="I356" s="1" t="s">
        <v>1110</v>
      </c>
      <c r="J356" s="1" t="s">
        <v>74</v>
      </c>
      <c r="K356" s="1" t="s">
        <v>59</v>
      </c>
      <c r="L356" s="35" t="s">
        <v>1196</v>
      </c>
      <c r="M356" s="1" t="s">
        <v>1197</v>
      </c>
      <c r="N356" s="1" t="s">
        <v>65</v>
      </c>
      <c r="O356" s="1" t="s">
        <v>77</v>
      </c>
      <c r="Q356" s="1" t="s">
        <v>86</v>
      </c>
      <c r="R356" s="1" t="s">
        <v>87</v>
      </c>
      <c r="U356" s="12" t="n">
        <v>0.988888888888889</v>
      </c>
      <c r="V356" s="11" t="n">
        <v>46177</v>
      </c>
      <c r="W356" s="12" t="n">
        <v>0.886111111111111</v>
      </c>
      <c r="X356" s="11" t="n">
        <v>46178</v>
      </c>
      <c r="Y356" s="12" t="n">
        <v>0.0208333333333333</v>
      </c>
      <c r="Z356" s="1" t="s">
        <v>108</v>
      </c>
      <c r="AA356" s="1" t="s">
        <v>68</v>
      </c>
      <c r="AB356" s="2" t="e">
        <f aca="false">U356-F356</f>
        <v>#VALUE!</v>
      </c>
      <c r="AC356" s="14" t="n">
        <f aca="false">(V356+W356)-(B356+C356)</f>
        <v>7.92638888888889</v>
      </c>
      <c r="AD356" s="4" t="str">
        <f aca="false">INT((V356+W356)-(B356+C356)) &amp; ":" &amp;
TEXT(HOUR((V356+W356)-(B356+C356)), "00") &amp; ":" &amp;
TEXT(MINUTE((V356+W356)-(B356+C356)), "00")</f>
        <v>7:22:14</v>
      </c>
      <c r="AE356" s="1" t="n">
        <f aca="false">IFERROR(
LEFT(AD356,FIND(":",AD356)-1)
+ MID(AD356,FIND(":",AD356)+1,2)/24
+ RIGHT(AD356,2)/1440,
"")</f>
        <v>7.92638888888889</v>
      </c>
      <c r="AF356" s="4" t="str">
        <f aca="false">INT((X356+Y356)-(B356+C356)) &amp; ":" &amp;
TEXT(HOUR((X356+Y356)-(B356+C356)), "00") &amp; ":" &amp;
TEXT(MINUTE((X356+Y356)-(B356+C356)), "00")</f>
        <v>8:01:28</v>
      </c>
      <c r="AG356" s="4" t="str">
        <f aca="false" t="array" ref="AG356:AG356">INT(_xlfn.XLOOKUP(J356,{"Low","Medium","High","Urgent"},{48,24,12,8})/24) &amp; ":" &amp;
TEXT(MOD(_xlfn.XLOOKUP(J356,{"Low","Medium","High","Urgent"},{48,24,12,8}),24)/24,"hh:mm")</f>
        <v>2:00:00</v>
      </c>
      <c r="AH356" s="4" t="str">
        <f aca="false">IF(AD356&gt;AG356,"Not Met","Met")</f>
        <v>Not Met</v>
      </c>
      <c r="AI356" s="4" t="e">
        <f aca="false">IF(AB356&lt;TIME(0,30,0),"Met","Not Met")</f>
        <v>#VALUE!</v>
      </c>
      <c r="AN356" s="1" t="str">
        <f aca="false">TEXT(B356,"dd")</f>
        <v>27</v>
      </c>
      <c r="AO356" s="1" t="str">
        <f aca="false">TEXT(X356,"dd")</f>
        <v>05</v>
      </c>
      <c r="AP356" s="16" t="str">
        <f aca="false">INT(
  NETWORKDAYS(B356,V356)-1
  + IF(WEEKDAY(V356,2)&lt;6,MOD(V356+W356,1),0)
  - IF(WEEKDAY(B356,2)&lt;6,MOD(B356+C356,1),0)
)
&amp; ":" &amp;
TEXT(HOUR(
  NETWORKDAYS(B356,V356)-1
  + IF(WEEKDAY(V356,2)&lt;6,MOD(V356+W356,1),0)
  - IF(WEEKDAY(B356,2)&lt;6,MOD(B356+C356,1),0)
),"00")
&amp; ":" &amp;
TEXT(MINUTE(
  NETWORKDAYS(B356,V356)-1
  + IF(WEEKDAY(V356,2)&lt;6,MOD(V356+W356,1),0)
  - IF(WEEKDAY(B356,2)&lt;6,MOD(B356+C356,1),0)
),"00")</f>
        <v>5:22:14</v>
      </c>
      <c r="AQ356" s="0" t="n">
        <f aca="false">IFERROR(
LEFT(AP356,FIND(":",AP356)-1)
+ MID(AP356,FIND(":",AP356)+1,2)/24
+ RIGHT(AP356,2)/1440,
"")</f>
        <v>5.92638888888889</v>
      </c>
      <c r="AR356" s="0" t="n">
        <f aca="false">WEEKNUM(B356,1)</f>
        <v>22</v>
      </c>
      <c r="AS356" s="17" t="n">
        <f aca="false">IF(B356&gt;0, (B356+C356)-TIME(13,30,0), "")</f>
        <v>46169.3972222222</v>
      </c>
      <c r="AT356" s="18" t="n">
        <f aca="false">IF(B356&gt;0, (B356+C356)-TIME(13,30,0), "")</f>
        <v>46169.3972222222</v>
      </c>
      <c r="AU356" s="17" t="n">
        <f aca="false">IF(V356&gt;0, (V356+W356)-TIME(13,30,0), "")</f>
        <v>46177.3236111111</v>
      </c>
      <c r="AV356" s="18" t="n">
        <f aca="false">IF(V356&gt;0, (V356+W356)-TIME(13,30,0), "")</f>
        <v>46177.3236111111</v>
      </c>
      <c r="AW356" s="19" t="n">
        <f aca="false">24*(
MAX(0,
IF(NETWORKDAYS(AS356,AU356)=1,
MIN(MOD(AV356,1),TIME(17,30,0)) - MAX(MOD(AT356,1),TIME(8,30,0)),
(TIME(17,30,0)-MAX(MOD(AT356,1),TIME(8,30,0)))
+ (MIN(MOD(AV356,1),TIME(17,30,0))-TIME(8,30,0))
+ (NETWORKDAYS(AS356,AU356)-2)*9/24
)
)
)</f>
        <v>52.2333333333333</v>
      </c>
      <c r="AX356" s="19" t="n">
        <f aca="false">24*(
MAX(0,
IF(NETWORKDAYS(AS356,AU356)=1,
MIN(MOD(AV356,1),TIME(17,30,0)) - MAX(MOD(AT356,1),TIME(8,30,0)),
(TIME(17,30,0)-MAX(MOD(AT356,1),TIME(8,30,0)))
+ (MIN(MOD(AV356,1),TIME(17,30,0))-TIME(8,30,0))
+ (NETWORKDAYS(AS356,AU356)-2)* (TIME(17,30,0)-TIME(8,30,0))
)
)
)</f>
        <v>52.2333333333333</v>
      </c>
      <c r="AY356" s="20" t="n">
        <f aca="false">ROUND(
IF(AS356=AU356,
MAX(0,
(MIN(MOD(AV356,1),TIME(17,30,0))-
MAX(MOD(AT356,1),TIME(8,30,0)))*24
),
(
(MAX(0,TIME(17,30,0)-MAX(MOD(AT356,1),TIME(8,30,0)))*24)
+
(MAX(0,MIN(MOD(AV356,1),TIME(17,30,0))-TIME(8,30,0))*24)
+
(MAX(0,NETWORKDAYS(AS356+1,AU356-1))*9)
)
),
2)</f>
        <v>52.97</v>
      </c>
      <c r="AZ356" s="0" t="n">
        <f aca="false" t="array" ref="AZ356:AZ356">_xlfn.XLOOKUP(J356,{"Low","Medium","High"},{270,72,24})</f>
        <v>270</v>
      </c>
      <c r="BA356" s="0" t="str">
        <f aca="false">IF(AW356&gt;AZ356,"Not Met","Met")</f>
        <v>Met</v>
      </c>
      <c r="BB356" s="21" t="str">
        <f aca="false">IF(AS356="","",TEXT(AS356,"MMM")&amp;"'"&amp;TEXT(AS356,"yy"))</f>
        <v>May'26</v>
      </c>
      <c r="BC356" s="0" t="str">
        <f aca="false">IF(AU356="","",TEXT(AU356,"MMM")&amp;"'"&amp;TEXT(AU356,"yy"))</f>
        <v>Jun'26</v>
      </c>
    </row>
    <row r="357" customFormat="false" ht="15" hidden="false" customHeight="false" outlineLevel="0" collapsed="false">
      <c r="A357" s="1" t="s">
        <v>1198</v>
      </c>
      <c r="B357" s="11" t="n">
        <v>46169</v>
      </c>
      <c r="C357" s="12" t="n">
        <v>0.980555555555556</v>
      </c>
      <c r="D357" s="13" t="str">
        <f aca="false">IF(B357="","",TEXT(B357,"MMM")&amp;"'"&amp;TEXT(B357,"yy"))</f>
        <v>May'26</v>
      </c>
      <c r="E357" s="1" t="s">
        <v>55</v>
      </c>
      <c r="F357" s="1" t="s">
        <v>39</v>
      </c>
      <c r="G357" s="1" t="str">
        <f aca="false">IF(F357="Closed","Closed","Pending")</f>
        <v>Closed</v>
      </c>
      <c r="H357" s="1" t="s">
        <v>81</v>
      </c>
      <c r="I357" s="1" t="s">
        <v>82</v>
      </c>
      <c r="J357" s="1" t="s">
        <v>74</v>
      </c>
      <c r="K357" s="1" t="s">
        <v>59</v>
      </c>
      <c r="L357" s="35" t="s">
        <v>1199</v>
      </c>
      <c r="M357" s="1" t="s">
        <v>1200</v>
      </c>
      <c r="N357" s="1" t="s">
        <v>65</v>
      </c>
      <c r="O357" s="1" t="s">
        <v>77</v>
      </c>
      <c r="Q357" s="1" t="s">
        <v>65</v>
      </c>
      <c r="R357" s="1" t="s">
        <v>66</v>
      </c>
      <c r="U357" s="12" t="n">
        <v>0.990277777777778</v>
      </c>
      <c r="V357" s="11" t="n">
        <v>46177</v>
      </c>
      <c r="W357" s="12" t="n">
        <v>0.886805555555556</v>
      </c>
      <c r="X357" s="11" t="n">
        <v>46177</v>
      </c>
      <c r="Y357" s="12" t="n">
        <v>0.886805555555556</v>
      </c>
      <c r="Z357" s="1" t="s">
        <v>67</v>
      </c>
      <c r="AA357" s="1" t="s">
        <v>68</v>
      </c>
      <c r="AB357" s="2" t="e">
        <f aca="false">U357-F357</f>
        <v>#VALUE!</v>
      </c>
      <c r="AC357" s="14" t="n">
        <f aca="false">(V357+W357)-(B357+C357)</f>
        <v>7.90625</v>
      </c>
      <c r="AD357" s="4" t="str">
        <f aca="false">INT((V357+W357)-(B357+C357)) &amp; ":" &amp;
TEXT(HOUR((V357+W357)-(B357+C357)), "00") &amp; ":" &amp;
TEXT(MINUTE((V357+W357)-(B357+C357)), "00")</f>
        <v>7:21:45</v>
      </c>
      <c r="AE357" s="1" t="n">
        <f aca="false">IFERROR(
LEFT(AD357,FIND(":",AD357)-1)
+ MID(AD357,FIND(":",AD357)+1,2)/24
+ RIGHT(AD357,2)/1440,
"")</f>
        <v>7.90625</v>
      </c>
      <c r="AF357" s="4" t="str">
        <f aca="false">INT((X357+Y357)-(B357+C357)) &amp; ":" &amp;
TEXT(HOUR((X357+Y357)-(B357+C357)), "00") &amp; ":" &amp;
TEXT(MINUTE((X357+Y357)-(B357+C357)), "00")</f>
        <v>7:21:45</v>
      </c>
      <c r="AG357" s="4" t="str">
        <f aca="false" t="array" ref="AG357:AG357">INT(_xlfn.XLOOKUP(J357,{"Low","Medium","High","Urgent"},{48,24,12,8})/24) &amp; ":" &amp;
TEXT(MOD(_xlfn.XLOOKUP(J357,{"Low","Medium","High","Urgent"},{48,24,12,8}),24)/24,"hh:mm")</f>
        <v>2:00:00</v>
      </c>
      <c r="AH357" s="4" t="str">
        <f aca="false">IF(AD357&gt;AG357,"Not Met","Met")</f>
        <v>Not Met</v>
      </c>
      <c r="AI357" s="4" t="e">
        <f aca="false">IF(AB357&lt;TIME(0,30,0),"Met","Not Met")</f>
        <v>#VALUE!</v>
      </c>
      <c r="AN357" s="1" t="str">
        <f aca="false">TEXT(B357,"dd")</f>
        <v>27</v>
      </c>
      <c r="AO357" s="1" t="str">
        <f aca="false">TEXT(X357,"dd")</f>
        <v>04</v>
      </c>
      <c r="AP357" s="16" t="str">
        <f aca="false">INT(
  NETWORKDAYS(B357,V357)-1
  + IF(WEEKDAY(V357,2)&lt;6,MOD(V357+W357,1),0)
  - IF(WEEKDAY(B357,2)&lt;6,MOD(B357+C357,1),0)
)
&amp; ":" &amp;
TEXT(HOUR(
  NETWORKDAYS(B357,V357)-1
  + IF(WEEKDAY(V357,2)&lt;6,MOD(V357+W357,1),0)
  - IF(WEEKDAY(B357,2)&lt;6,MOD(B357+C357,1),0)
),"00")
&amp; ":" &amp;
TEXT(MINUTE(
  NETWORKDAYS(B357,V357)-1
  + IF(WEEKDAY(V357,2)&lt;6,MOD(V357+W357,1),0)
  - IF(WEEKDAY(B357,2)&lt;6,MOD(B357+C357,1),0)
),"00")</f>
        <v>5:21:45</v>
      </c>
      <c r="AQ357" s="0" t="n">
        <f aca="false">IFERROR(
LEFT(AP357,FIND(":",AP357)-1)
+ MID(AP357,FIND(":",AP357)+1,2)/24
+ RIGHT(AP357,2)/1440,
"")</f>
        <v>5.90625</v>
      </c>
      <c r="AR357" s="0" t="n">
        <f aca="false">WEEKNUM(B357,1)</f>
        <v>22</v>
      </c>
      <c r="AS357" s="17" t="n">
        <f aca="false">IF(B357&gt;0, (B357+C357)-TIME(13,30,0), "")</f>
        <v>46169.4180555556</v>
      </c>
      <c r="AT357" s="18" t="n">
        <f aca="false">IF(B357&gt;0, (B357+C357)-TIME(13,30,0), "")</f>
        <v>46169.4180555556</v>
      </c>
      <c r="AU357" s="17" t="n">
        <f aca="false">IF(V357&gt;0, (V357+W357)-TIME(13,30,0), "")</f>
        <v>46177.3243055556</v>
      </c>
      <c r="AV357" s="18" t="n">
        <f aca="false">IF(V357&gt;0, (V357+W357)-TIME(13,30,0), "")</f>
        <v>46177.3243055556</v>
      </c>
      <c r="AW357" s="19" t="n">
        <f aca="false">24*(
MAX(0,
IF(NETWORKDAYS(AS357,AU357)=1,
MIN(MOD(AV357,1),TIME(17,30,0)) - MAX(MOD(AT357,1),TIME(8,30,0)),
(TIME(17,30,0)-MAX(MOD(AT357,1),TIME(8,30,0)))
+ (MIN(MOD(AV357,1),TIME(17,30,0))-TIME(8,30,0))
+ (NETWORKDAYS(AS357,AU357)-2)*9/24
)
)
)</f>
        <v>51.75</v>
      </c>
      <c r="AX357" s="19" t="n">
        <f aca="false">24*(
MAX(0,
IF(NETWORKDAYS(AS357,AU357)=1,
MIN(MOD(AV357,1),TIME(17,30,0)) - MAX(MOD(AT357,1),TIME(8,30,0)),
(TIME(17,30,0)-MAX(MOD(AT357,1),TIME(8,30,0)))
+ (MIN(MOD(AV357,1),TIME(17,30,0))-TIME(8,30,0))
+ (NETWORKDAYS(AS357,AU357)-2)* (TIME(17,30,0)-TIME(8,30,0))
)
)
)</f>
        <v>51.75</v>
      </c>
      <c r="AY357" s="20" t="n">
        <f aca="false">ROUND(
IF(AS357=AU357,
MAX(0,
(MIN(MOD(AV357,1),TIME(17,30,0))-
MAX(MOD(AT357,1),TIME(8,30,0)))*24
),
(
(MAX(0,TIME(17,30,0)-MAX(MOD(AT357,1),TIME(8,30,0)))*24)
+
(MAX(0,MIN(MOD(AV357,1),TIME(17,30,0))-TIME(8,30,0))*24)
+
(MAX(0,NETWORKDAYS(AS357+1,AU357-1))*9)
)
),
2)</f>
        <v>52.47</v>
      </c>
      <c r="AZ357" s="0" t="n">
        <f aca="false" t="array" ref="AZ357:AZ357">_xlfn.XLOOKUP(J357,{"Low","Medium","High"},{270,72,24})</f>
        <v>270</v>
      </c>
      <c r="BA357" s="0" t="str">
        <f aca="false">IF(AW357&gt;AZ357,"Not Met","Met")</f>
        <v>Met</v>
      </c>
      <c r="BB357" s="21" t="str">
        <f aca="false">IF(AS357="","",TEXT(AS357,"MMM")&amp;"'"&amp;TEXT(AS357,"yy"))</f>
        <v>May'26</v>
      </c>
      <c r="BC357" s="0" t="str">
        <f aca="false">IF(AU357="","",TEXT(AU357,"MMM")&amp;"'"&amp;TEXT(AU357,"yy"))</f>
        <v>Jun'26</v>
      </c>
    </row>
    <row r="358" customFormat="false" ht="15" hidden="false" customHeight="false" outlineLevel="0" collapsed="false">
      <c r="A358" s="1" t="s">
        <v>1201</v>
      </c>
      <c r="B358" s="11" t="n">
        <v>46170</v>
      </c>
      <c r="C358" s="12" t="n">
        <v>0.321527777777778</v>
      </c>
      <c r="D358" s="13" t="str">
        <f aca="false">IF(B358="","",TEXT(B358,"MMM")&amp;"'"&amp;TEXT(B358,"yy"))</f>
        <v>May'26</v>
      </c>
      <c r="E358" s="1" t="s">
        <v>55</v>
      </c>
      <c r="F358" s="34" t="s">
        <v>910</v>
      </c>
      <c r="G358" s="1" t="str">
        <f aca="false">IF(F358="Closed","Closed","Pending")</f>
        <v>Pending</v>
      </c>
      <c r="H358" s="1" t="s">
        <v>964</v>
      </c>
      <c r="I358" s="1" t="s">
        <v>57</v>
      </c>
      <c r="J358" s="1" t="s">
        <v>58</v>
      </c>
      <c r="K358" s="1" t="s">
        <v>59</v>
      </c>
      <c r="L358" s="35" t="s">
        <v>1202</v>
      </c>
      <c r="M358" s="1" t="s">
        <v>1203</v>
      </c>
      <c r="N358" s="1" t="s">
        <v>62</v>
      </c>
      <c r="O358" s="1" t="s">
        <v>143</v>
      </c>
      <c r="Q358" s="1" t="s">
        <v>143</v>
      </c>
      <c r="R358" s="1" t="s">
        <v>87</v>
      </c>
      <c r="U358" s="12" t="n">
        <v>0.888888888888889</v>
      </c>
      <c r="Z358" s="1" t="s">
        <v>67</v>
      </c>
      <c r="AB358" s="2" t="e">
        <f aca="false">U358-F358</f>
        <v>#VALUE!</v>
      </c>
      <c r="AC358" s="14" t="n">
        <f aca="false">(V358+W358)-(B358+C358)</f>
        <v>-46170.3215277778</v>
      </c>
      <c r="AD358" s="4" t="str">
        <f aca="false">INT((V358+W358)-(B358+C358)) &amp; ":" &amp;
TEXT(HOUR((V358+W358)-(B358+C358)), "00") &amp; ":" &amp;
TEXT(MINUTE((V358+W358)-(B358+C358)), "00")</f>
        <v>-46171:16:17</v>
      </c>
      <c r="AE358" s="1" t="n">
        <f aca="false">IFERROR(
LEFT(AD358,FIND(":",AD358)-1)
+ MID(AD358,FIND(":",AD358)+1,2)/24
+ RIGHT(AD358,2)/1440,
"")</f>
        <v>-46170.3215277778</v>
      </c>
      <c r="AF358" s="4" t="str">
        <f aca="false">INT((X358+Y358)-(B358+C358)) &amp; ":" &amp;
TEXT(HOUR((X358+Y358)-(B358+C358)), "00") &amp; ":" &amp;
TEXT(MINUTE((X358+Y358)-(B358+C358)), "00")</f>
        <v>-46171:16:17</v>
      </c>
      <c r="AG358" s="4" t="str">
        <f aca="false" t="array" ref="AG358:AG358">INT(_xlfn.XLOOKUP(J358,{"Low","Medium","High","Urgent"},{48,24,12,8})/24) &amp; ":" &amp;
TEXT(MOD(_xlfn.XLOOKUP(J358,{"Low","Medium","High","Urgent"},{48,24,12,8}),24)/24,"hh:mm")</f>
        <v>1:00:00</v>
      </c>
      <c r="AH358" s="4" t="str">
        <f aca="false">IF(AD358&gt;AG358,"Not Met","Met")</f>
        <v>Met</v>
      </c>
      <c r="AI358" s="4" t="e">
        <f aca="false">IF(AB358&lt;TIME(0,30,0),"Met","Not Met")</f>
        <v>#VALUE!</v>
      </c>
      <c r="AN358" s="1" t="str">
        <f aca="false">TEXT(B358,"dd")</f>
        <v>28</v>
      </c>
      <c r="AO358" s="1" t="str">
        <f aca="false">TEXT(X358,"dd")</f>
        <v>30</v>
      </c>
      <c r="AP358" s="16" t="str">
        <f aca="false">INT(
  NETWORKDAYS(B358,V358)-1
  + IF(WEEKDAY(V358,2)&lt;6,MOD(V358+W358,1),0)
  - IF(WEEKDAY(B358,2)&lt;6,MOD(B358+C358,1),0)
)
&amp; ":" &amp;
TEXT(HOUR(
  NETWORKDAYS(B358,V358)-1
  + IF(WEEKDAY(V358,2)&lt;6,MOD(V358+W358,1),0)
  - IF(WEEKDAY(B358,2)&lt;6,MOD(B358+C358,1),0)
),"00")
&amp; ":" &amp;
TEXT(MINUTE(
  NETWORKDAYS(B358,V358)-1
  + IF(WEEKDAY(V358,2)&lt;6,MOD(V358+W358,1),0)
  - IF(WEEKDAY(B358,2)&lt;6,MOD(B358+C358,1),0)
),"00")</f>
        <v>-32981:16:17</v>
      </c>
      <c r="AQ358" s="0" t="n">
        <f aca="false">IFERROR(
LEFT(AP358,FIND(":",AP358)-1)
+ MID(AP358,FIND(":",AP358)+1,2)/24
+ RIGHT(AP358,2)/1440,
"")</f>
        <v>-32980.3215277778</v>
      </c>
      <c r="AR358" s="0" t="n">
        <f aca="false">WEEKNUM(B358,1)</f>
        <v>22</v>
      </c>
      <c r="AS358" s="17" t="n">
        <f aca="false">IF(B358&gt;0, (B358+C358)-TIME(13,30,0), "")</f>
        <v>46169.7590277778</v>
      </c>
      <c r="AT358" s="18" t="n">
        <f aca="false">IF(B358&gt;0, (B358+C358)-TIME(13,30,0), "")</f>
        <v>46169.7590277778</v>
      </c>
      <c r="AU358" s="17" t="str">
        <f aca="false">IF(V358&gt;0, (V358+W358)-TIME(13,30,0), "")</f>
        <v/>
      </c>
      <c r="AV358" s="18" t="str">
        <f aca="false">IF(V358&gt;0, (V358+W358)-TIME(13,30,0), "")</f>
        <v/>
      </c>
      <c r="AW358" s="19" t="e">
        <f aca="false">24*(
MAX(0,
IF(NETWORKDAYS(AS358,AU358)=1,
MIN(MOD(AV358,1),TIME(17,30,0)) - MAX(MOD(AT358,1),TIME(8,30,0)),
(TIME(17,30,0)-MAX(MOD(AT358,1),TIME(8,30,0)))
+ (MIN(MOD(AV358,1),TIME(17,30,0))-TIME(8,30,0))
+ (NETWORKDAYS(AS358,AU358)-2)*9/24
)
)
)</f>
        <v>#VALUE!</v>
      </c>
      <c r="AX358" s="19" t="e">
        <f aca="false">24*(
MAX(0,
IF(NETWORKDAYS(AS358,AU358)=1,
MIN(MOD(AV358,1),TIME(17,30,0)) - MAX(MOD(AT358,1),TIME(8,30,0)),
(TIME(17,30,0)-MAX(MOD(AT358,1),TIME(8,30,0)))
+ (MIN(MOD(AV358,1),TIME(17,30,0))-TIME(8,30,0))
+ (NETWORKDAYS(AS358,AU358)-2)* (TIME(17,30,0)-TIME(8,30,0))
)
)
)</f>
        <v>#VALUE!</v>
      </c>
      <c r="AY358" s="20" t="e">
        <f aca="false">ROUND(
IF(AS358=AU358,
MAX(0,
(MIN(MOD(AV358,1),TIME(17,30,0))-
MAX(MOD(AT358,1),TIME(8,30,0)))*24
),
(
(MAX(0,TIME(17,30,0)-MAX(MOD(AT358,1),TIME(8,30,0)))*24)
+
(MAX(0,MIN(MOD(AV358,1),TIME(17,30,0))-TIME(8,30,0))*24)
+
(MAX(0,NETWORKDAYS(AS358+1,AU358-1))*9)
)
),
2)</f>
        <v>#VALUE!</v>
      </c>
      <c r="AZ358" s="0" t="n">
        <f aca="false" t="array" ref="AZ358:AZ358">_xlfn.XLOOKUP(J358,{"Low","Medium","High"},{270,72,24})</f>
        <v>72</v>
      </c>
      <c r="BA358" s="0" t="e">
        <f aca="false">IF(AW358&gt;AZ358,"Not Met","Met")</f>
        <v>#VALUE!</v>
      </c>
      <c r="BB358" s="21" t="str">
        <f aca="false">IF(AS358="","",TEXT(AS358,"MMM")&amp;"'"&amp;TEXT(AS358,"yy"))</f>
        <v>May'26</v>
      </c>
      <c r="BC358" s="0" t="str">
        <f aca="false">IF(AU358="","",TEXT(AU358,"MMM")&amp;"'"&amp;TEXT(AU358,"yy"))</f>
        <v/>
      </c>
    </row>
    <row r="359" customFormat="false" ht="15" hidden="false" customHeight="false" outlineLevel="0" collapsed="false">
      <c r="A359" s="1" t="s">
        <v>1204</v>
      </c>
      <c r="B359" s="11" t="n">
        <v>46170</v>
      </c>
      <c r="C359" s="12" t="n">
        <v>0.974305555555556</v>
      </c>
      <c r="D359" s="13" t="str">
        <f aca="false">IF(B359="","",TEXT(B359,"MMM")&amp;"'"&amp;TEXT(B359,"yy"))</f>
        <v>May'26</v>
      </c>
      <c r="E359" s="1" t="s">
        <v>55</v>
      </c>
      <c r="F359" s="1" t="s">
        <v>39</v>
      </c>
      <c r="G359" s="1" t="str">
        <f aca="false">IF(F359="Closed","Closed","Pending")</f>
        <v>Closed</v>
      </c>
      <c r="H359" s="1" t="s">
        <v>72</v>
      </c>
      <c r="I359" s="1" t="s">
        <v>501</v>
      </c>
      <c r="J359" s="1" t="s">
        <v>74</v>
      </c>
      <c r="K359" s="1" t="s">
        <v>59</v>
      </c>
      <c r="L359" s="35" t="s">
        <v>1205</v>
      </c>
      <c r="M359" s="1" t="s">
        <v>1194</v>
      </c>
      <c r="N359" s="1" t="s">
        <v>65</v>
      </c>
      <c r="O359" s="1" t="s">
        <v>106</v>
      </c>
      <c r="Q359" s="1" t="s">
        <v>65</v>
      </c>
      <c r="R359" s="1" t="s">
        <v>87</v>
      </c>
      <c r="U359" s="12" t="n">
        <v>0.977083333333333</v>
      </c>
      <c r="V359" s="11" t="n">
        <v>46172</v>
      </c>
      <c r="W359" s="12" t="n">
        <v>0.0451388888888889</v>
      </c>
      <c r="X359" s="11" t="n">
        <v>46185</v>
      </c>
      <c r="Y359" s="12" t="n">
        <v>0.938194444444444</v>
      </c>
      <c r="Z359" s="1" t="s">
        <v>108</v>
      </c>
      <c r="AA359" s="1" t="s">
        <v>68</v>
      </c>
      <c r="AB359" s="2" t="e">
        <f aca="false">U359-F359</f>
        <v>#VALUE!</v>
      </c>
      <c r="AC359" s="14" t="n">
        <f aca="false">(V359+W359)-(B359+C359)</f>
        <v>1.07083333333333</v>
      </c>
      <c r="AD359" s="4" t="str">
        <f aca="false">INT((V359+W359)-(B359+C359)) &amp; ":" &amp;
TEXT(HOUR((V359+W359)-(B359+C359)), "00") &amp; ":" &amp;
TEXT(MINUTE((V359+W359)-(B359+C359)), "00")</f>
        <v>1:01:42</v>
      </c>
      <c r="AE359" s="1" t="n">
        <f aca="false">IFERROR(
LEFT(AD359,FIND(":",AD359)-1)
+ MID(AD359,FIND(":",AD359)+1,2)/24
+ RIGHT(AD359,2)/1440,
"")</f>
        <v>1.07083333333333</v>
      </c>
      <c r="AF359" s="4" t="str">
        <f aca="false">INT((X359+Y359)-(B359+C359)) &amp; ":" &amp;
TEXT(HOUR((X359+Y359)-(B359+C359)), "00") &amp; ":" &amp;
TEXT(MINUTE((X359+Y359)-(B359+C359)), "00")</f>
        <v>14:23:08</v>
      </c>
      <c r="AG359" s="4" t="str">
        <f aca="false" t="array" ref="AG359:AG359">INT(_xlfn.XLOOKUP(J359,{"Low","Medium","High","Urgent"},{48,24,12,8})/24) &amp; ":" &amp;
TEXT(MOD(_xlfn.XLOOKUP(J359,{"Low","Medium","High","Urgent"},{48,24,12,8}),24)/24,"hh:mm")</f>
        <v>2:00:00</v>
      </c>
      <c r="AH359" s="4" t="str">
        <f aca="false">IF(AD359&gt;AG359,"Not Met","Met")</f>
        <v>Met</v>
      </c>
      <c r="AI359" s="4" t="e">
        <f aca="false">IF(AB359&lt;TIME(0,30,0),"Met","Not Met")</f>
        <v>#VALUE!</v>
      </c>
      <c r="AN359" s="1" t="str">
        <f aca="false">TEXT(B359,"dd")</f>
        <v>28</v>
      </c>
      <c r="AO359" s="1" t="str">
        <f aca="false">TEXT(X359,"dd")</f>
        <v>12</v>
      </c>
      <c r="AP359" s="16" t="str">
        <f aca="false">INT(
  NETWORKDAYS(B359,V359)-1
  + IF(WEEKDAY(V359,2)&lt;6,MOD(V359+W359,1),0)
  - IF(WEEKDAY(B359,2)&lt;6,MOD(B359+C359,1),0)
)
&amp; ":" &amp;
TEXT(HOUR(
  NETWORKDAYS(B359,V359)-1
  + IF(WEEKDAY(V359,2)&lt;6,MOD(V359+W359,1),0)
  - IF(WEEKDAY(B359,2)&lt;6,MOD(B359+C359,1),0)
),"00")
&amp; ":" &amp;
TEXT(MINUTE(
  NETWORKDAYS(B359,V359)-1
  + IF(WEEKDAY(V359,2)&lt;6,MOD(V359+W359,1),0)
  - IF(WEEKDAY(B359,2)&lt;6,MOD(B359+C359,1),0)
),"00")</f>
        <v>0:00:36</v>
      </c>
      <c r="AQ359" s="0" t="n">
        <f aca="false">IFERROR(
LEFT(AP359,FIND(":",AP359)-1)
+ MID(AP359,FIND(":",AP359)+1,2)/24
+ RIGHT(AP359,2)/1440,
"")</f>
        <v>0.025</v>
      </c>
      <c r="AR359" s="0" t="n">
        <f aca="false">WEEKNUM(B359,1)</f>
        <v>22</v>
      </c>
      <c r="AS359" s="17" t="n">
        <f aca="false">IF(B359&gt;0, (B359+C359)-TIME(13,30,0), "")</f>
        <v>46170.4118055556</v>
      </c>
      <c r="AT359" s="18" t="n">
        <f aca="false">IF(B359&gt;0, (B359+C359)-TIME(13,30,0), "")</f>
        <v>46170.4118055556</v>
      </c>
      <c r="AU359" s="17" t="n">
        <f aca="false">IF(V359&gt;0, (V359+W359)-TIME(13,30,0), "")</f>
        <v>46171.4826388889</v>
      </c>
      <c r="AV359" s="18" t="n">
        <f aca="false">IF(V359&gt;0, (V359+W359)-TIME(13,30,0), "")</f>
        <v>46171.4826388889</v>
      </c>
      <c r="AW359" s="19" t="n">
        <f aca="false">24*(
MAX(0,
IF(NETWORKDAYS(AS359,AU359)=1,
MIN(MOD(AV359,1),TIME(17,30,0)) - MAX(MOD(AT359,1),TIME(8,30,0)),
(TIME(17,30,0)-MAX(MOD(AT359,1),TIME(8,30,0)))
+ (MIN(MOD(AV359,1),TIME(17,30,0))-TIME(8,30,0))
+ (NETWORKDAYS(AS359,AU359)-2)*9/24
)
)
)</f>
        <v>10.6999999999144</v>
      </c>
      <c r="AX359" s="19" t="n">
        <f aca="false">24*(
MAX(0,
IF(NETWORKDAYS(AS359,AU359)=1,
MIN(MOD(AV359,1),TIME(17,30,0)) - MAX(MOD(AT359,1),TIME(8,30,0)),
(TIME(17,30,0)-MAX(MOD(AT359,1),TIME(8,30,0)))
+ (MIN(MOD(AV359,1),TIME(17,30,0))-TIME(8,30,0))
+ (NETWORKDAYS(AS359,AU359)-2)* (TIME(17,30,0)-TIME(8,30,0))
)
)
)</f>
        <v>10.6999999999144</v>
      </c>
      <c r="AY359" s="20" t="n">
        <f aca="false">ROUND(
IF(AS359=AU359,
MAX(0,
(MIN(MOD(AV359,1),TIME(17,30,0))-
MAX(MOD(AT359,1),TIME(8,30,0)))*24
),
(
(MAX(0,TIME(17,30,0)-MAX(MOD(AT359,1),TIME(8,30,0)))*24)
+
(MAX(0,MIN(MOD(AV359,1),TIME(17,30,0))-TIME(8,30,0))*24)
+
(MAX(0,NETWORKDAYS(AS359+1,AU359-1))*9)
)
),
2)</f>
        <v>10.7</v>
      </c>
      <c r="AZ359" s="0" t="n">
        <f aca="false" t="array" ref="AZ359:AZ359">_xlfn.XLOOKUP(J359,{"Low","Medium","High"},{270,72,24})</f>
        <v>270</v>
      </c>
      <c r="BA359" s="0" t="str">
        <f aca="false">IF(AW359&gt;AZ359,"Not Met","Met")</f>
        <v>Met</v>
      </c>
      <c r="BB359" s="21" t="str">
        <f aca="false">IF(AS359="","",TEXT(AS359,"MMM")&amp;"'"&amp;TEXT(AS359,"yy"))</f>
        <v>May'26</v>
      </c>
      <c r="BC359" s="0" t="str">
        <f aca="false">IF(AU359="","",TEXT(AU359,"MMM")&amp;"'"&amp;TEXT(AU359,"yy"))</f>
        <v>May'26</v>
      </c>
    </row>
    <row r="360" customFormat="false" ht="15" hidden="false" customHeight="false" outlineLevel="0" collapsed="false">
      <c r="A360" s="1" t="s">
        <v>1206</v>
      </c>
      <c r="B360" s="11" t="n">
        <v>46172</v>
      </c>
      <c r="C360" s="12" t="n">
        <v>0.06875</v>
      </c>
      <c r="D360" s="13" t="str">
        <f aca="false">IF(B360="","",TEXT(B360,"MMM")&amp;"'"&amp;TEXT(B360,"yy"))</f>
        <v>May'26</v>
      </c>
      <c r="E360" s="1" t="s">
        <v>55</v>
      </c>
      <c r="F360" s="34" t="s">
        <v>539</v>
      </c>
      <c r="G360" s="1" t="str">
        <f aca="false">IF(F360="Closed","Closed","Pending")</f>
        <v>Pending</v>
      </c>
      <c r="H360" s="1" t="s">
        <v>120</v>
      </c>
      <c r="I360" s="1" t="s">
        <v>401</v>
      </c>
      <c r="J360" s="1" t="s">
        <v>74</v>
      </c>
      <c r="K360" s="1" t="s">
        <v>59</v>
      </c>
      <c r="L360" s="35" t="s">
        <v>1207</v>
      </c>
      <c r="M360" s="1" t="s">
        <v>1208</v>
      </c>
      <c r="N360" s="1" t="s">
        <v>143</v>
      </c>
      <c r="O360" s="1" t="s">
        <v>143</v>
      </c>
      <c r="Q360" s="1" t="s">
        <v>143</v>
      </c>
      <c r="R360" s="1" t="s">
        <v>66</v>
      </c>
      <c r="U360" s="12" t="n">
        <v>0.0944444444444444</v>
      </c>
      <c r="Z360" s="1" t="s">
        <v>108</v>
      </c>
      <c r="AB360" s="2" t="e">
        <f aca="false">U360-F360</f>
        <v>#VALUE!</v>
      </c>
      <c r="AC360" s="14" t="n">
        <f aca="false">(V360+W360)-(B360+C360)</f>
        <v>-46172.06875</v>
      </c>
      <c r="AD360" s="4" t="str">
        <f aca="false">INT((V360+W360)-(B360+C360)) &amp; ":" &amp;
TEXT(HOUR((V360+W360)-(B360+C360)), "00") &amp; ":" &amp;
TEXT(MINUTE((V360+W360)-(B360+C360)), "00")</f>
        <v>-46173:22:21</v>
      </c>
      <c r="AE360" s="1" t="n">
        <f aca="false">IFERROR(
LEFT(AD360,FIND(":",AD360)-1)
+ MID(AD360,FIND(":",AD360)+1,2)/24
+ RIGHT(AD360,2)/1440,
"")</f>
        <v>-46172.06875</v>
      </c>
      <c r="AF360" s="4" t="str">
        <f aca="false">INT((X360+Y360)-(B360+C360)) &amp; ":" &amp;
TEXT(HOUR((X360+Y360)-(B360+C360)), "00") &amp; ":" &amp;
TEXT(MINUTE((X360+Y360)-(B360+C360)), "00")</f>
        <v>-46173:22:21</v>
      </c>
      <c r="AG360" s="4" t="str">
        <f aca="false" t="array" ref="AG360:AG360">INT(_xlfn.XLOOKUP(J360,{"Low","Medium","High","Urgent"},{48,24,12,8})/24) &amp; ":" &amp;
TEXT(MOD(_xlfn.XLOOKUP(J360,{"Low","Medium","High","Urgent"},{48,24,12,8}),24)/24,"hh:mm")</f>
        <v>2:00:00</v>
      </c>
      <c r="AH360" s="4" t="str">
        <f aca="false">IF(AD360&gt;AG360,"Not Met","Met")</f>
        <v>Met</v>
      </c>
      <c r="AI360" s="4" t="e">
        <f aca="false">IF(AB360&lt;TIME(0,30,0),"Met","Not Met")</f>
        <v>#VALUE!</v>
      </c>
      <c r="AN360" s="1" t="str">
        <f aca="false">TEXT(B360,"dd")</f>
        <v>30</v>
      </c>
      <c r="AO360" s="1" t="str">
        <f aca="false">TEXT(X360,"dd")</f>
        <v>30</v>
      </c>
      <c r="AP360" s="16" t="str">
        <f aca="false">INT(
  NETWORKDAYS(B360,V360)-1
  + IF(WEEKDAY(V360,2)&lt;6,MOD(V360+W360,1),0)
  - IF(WEEKDAY(B360,2)&lt;6,MOD(B360+C360,1),0)
)
&amp; ":" &amp;
TEXT(HOUR(
  NETWORKDAYS(B360,V360)-1
  + IF(WEEKDAY(V360,2)&lt;6,MOD(V360+W360,1),0)
  - IF(WEEKDAY(B360,2)&lt;6,MOD(B360+C360,1),0)
),"00")
&amp; ":" &amp;
TEXT(MINUTE(
  NETWORKDAYS(B360,V360)-1
  + IF(WEEKDAY(V360,2)&lt;6,MOD(V360+W360,1),0)
  - IF(WEEKDAY(B360,2)&lt;6,MOD(B360+C360,1),0)
),"00")</f>
        <v>-32981:00:00</v>
      </c>
      <c r="AQ360" s="0" t="n">
        <f aca="false">IFERROR(
LEFT(AP360,FIND(":",AP360)-1)
+ MID(AP360,FIND(":",AP360)+1,2)/24
+ RIGHT(AP360,2)/1440,
"")</f>
        <v>-32981</v>
      </c>
      <c r="AR360" s="0" t="n">
        <f aca="false">WEEKNUM(B360,1)</f>
        <v>22</v>
      </c>
      <c r="AS360" s="17" t="n">
        <f aca="false">IF(B360&gt;0, (B360+C360)-TIME(13,30,0), "")</f>
        <v>46171.50625</v>
      </c>
      <c r="AT360" s="18" t="n">
        <f aca="false">IF(B360&gt;0, (B360+C360)-TIME(13,30,0), "")</f>
        <v>46171.50625</v>
      </c>
      <c r="AU360" s="17" t="str">
        <f aca="false">IF(V360&gt;0, (V360+W360)-TIME(13,30,0), "")</f>
        <v/>
      </c>
      <c r="AV360" s="18" t="str">
        <f aca="false">IF(V360&gt;0, (V360+W360)-TIME(13,30,0), "")</f>
        <v/>
      </c>
      <c r="AW360" s="19" t="e">
        <f aca="false">24*(
MAX(0,
IF(NETWORKDAYS(AS360,AU360)=1,
MIN(MOD(AV360,1),TIME(17,30,0)) - MAX(MOD(AT360,1),TIME(8,30,0)),
(TIME(17,30,0)-MAX(MOD(AT360,1),TIME(8,30,0)))
+ (MIN(MOD(AV360,1),TIME(17,30,0))-TIME(8,30,0))
+ (NETWORKDAYS(AS360,AU360)-2)*9/24
)
)
)</f>
        <v>#VALUE!</v>
      </c>
      <c r="AX360" s="19" t="e">
        <f aca="false">24*(
MAX(0,
IF(NETWORKDAYS(AS360,AU360)=1,
MIN(MOD(AV360,1),TIME(17,30,0)) - MAX(MOD(AT360,1),TIME(8,30,0)),
(TIME(17,30,0)-MAX(MOD(AT360,1),TIME(8,30,0)))
+ (MIN(MOD(AV360,1),TIME(17,30,0))-TIME(8,30,0))
+ (NETWORKDAYS(AS360,AU360)-2)* (TIME(17,30,0)-TIME(8,30,0))
)
)
)</f>
        <v>#VALUE!</v>
      </c>
      <c r="AY360" s="20" t="e">
        <f aca="false">ROUND(
IF(AS360=AU360,
MAX(0,
(MIN(MOD(AV360,1),TIME(17,30,0))-
MAX(MOD(AT360,1),TIME(8,30,0)))*24
),
(
(MAX(0,TIME(17,30,0)-MAX(MOD(AT360,1),TIME(8,30,0)))*24)
+
(MAX(0,MIN(MOD(AV360,1),TIME(17,30,0))-TIME(8,30,0))*24)
+
(MAX(0,NETWORKDAYS(AS360+1,AU360-1))*9)
)
),
2)</f>
        <v>#VALUE!</v>
      </c>
      <c r="AZ360" s="0" t="n">
        <f aca="false" t="array" ref="AZ360:AZ360">_xlfn.XLOOKUP(J360,{"Low","Medium","High"},{270,72,24})</f>
        <v>270</v>
      </c>
      <c r="BA360" s="0" t="e">
        <f aca="false">IF(AW360&gt;AZ360,"Not Met","Met")</f>
        <v>#VALUE!</v>
      </c>
      <c r="BB360" s="21" t="str">
        <f aca="false">IF(AS360="","",TEXT(AS360,"MMM")&amp;"'"&amp;TEXT(AS360,"yy"))</f>
        <v>May'26</v>
      </c>
      <c r="BC360" s="0" t="str">
        <f aca="false">IF(AU360="","",TEXT(AU360,"MMM")&amp;"'"&amp;TEXT(AU360,"yy"))</f>
        <v/>
      </c>
    </row>
    <row r="361" customFormat="false" ht="15" hidden="false" customHeight="false" outlineLevel="0" collapsed="false">
      <c r="A361" s="1" t="s">
        <v>1209</v>
      </c>
      <c r="B361" s="11" t="n">
        <v>46172</v>
      </c>
      <c r="C361" s="12" t="n">
        <v>0.0965277777777778</v>
      </c>
      <c r="D361" s="13" t="str">
        <f aca="false">IF(B361="","",TEXT(B361,"MMM")&amp;"'"&amp;TEXT(B361,"yy"))</f>
        <v>May'26</v>
      </c>
      <c r="E361" s="1" t="s">
        <v>55</v>
      </c>
      <c r="F361" s="1" t="s">
        <v>39</v>
      </c>
      <c r="G361" s="1" t="str">
        <f aca="false">IF(F361="Closed","Closed","Pending")</f>
        <v>Closed</v>
      </c>
      <c r="H361" s="1" t="s">
        <v>81</v>
      </c>
      <c r="I361" s="1" t="s">
        <v>82</v>
      </c>
      <c r="J361" s="1" t="s">
        <v>74</v>
      </c>
      <c r="K361" s="1" t="s">
        <v>59</v>
      </c>
      <c r="L361" s="35" t="s">
        <v>1210</v>
      </c>
      <c r="M361" s="1" t="s">
        <v>1211</v>
      </c>
      <c r="N361" s="1" t="s">
        <v>65</v>
      </c>
      <c r="O361" s="1" t="s">
        <v>106</v>
      </c>
      <c r="Q361" s="1" t="s">
        <v>65</v>
      </c>
      <c r="R361" s="1" t="s">
        <v>490</v>
      </c>
      <c r="U361" s="12" t="n">
        <v>0.106944444444444</v>
      </c>
      <c r="V361" s="11" t="n">
        <v>46176</v>
      </c>
      <c r="W361" s="12" t="n">
        <v>0.891666666666667</v>
      </c>
      <c r="X361" s="11" t="n">
        <v>46176</v>
      </c>
      <c r="Y361" s="12" t="n">
        <v>0.903472222222222</v>
      </c>
      <c r="Z361" s="1" t="s">
        <v>67</v>
      </c>
      <c r="AA361" s="1" t="s">
        <v>68</v>
      </c>
      <c r="AB361" s="2" t="e">
        <f aca="false">U361-F361</f>
        <v>#VALUE!</v>
      </c>
      <c r="AC361" s="14" t="n">
        <f aca="false">(V361+W361)-(B361+C361)</f>
        <v>4.79513888888889</v>
      </c>
      <c r="AD361" s="4" t="str">
        <f aca="false">INT((V361+W361)-(B361+C361)) &amp; ":" &amp;
TEXT(HOUR((V361+W361)-(B361+C361)), "00") &amp; ":" &amp;
TEXT(MINUTE((V361+W361)-(B361+C361)), "00")</f>
        <v>4:19:05</v>
      </c>
      <c r="AE361" s="1" t="n">
        <f aca="false">IFERROR(
LEFT(AD361,FIND(":",AD361)-1)
+ MID(AD361,FIND(":",AD361)+1,2)/24
+ RIGHT(AD361,2)/1440,
"")</f>
        <v>4.79513888888889</v>
      </c>
      <c r="AF361" s="4" t="str">
        <f aca="false">INT((X361+Y361)-(B361+C361)) &amp; ":" &amp;
TEXT(HOUR((X361+Y361)-(B361+C361)), "00") &amp; ":" &amp;
TEXT(MINUTE((X361+Y361)-(B361+C361)), "00")</f>
        <v>4:19:22</v>
      </c>
      <c r="AG361" s="4" t="str">
        <f aca="false" t="array" ref="AG361:AG361">INT(_xlfn.XLOOKUP(J361,{"Low","Medium","High","Urgent"},{48,24,12,8})/24) &amp; ":" &amp;
TEXT(MOD(_xlfn.XLOOKUP(J361,{"Low","Medium","High","Urgent"},{48,24,12,8}),24)/24,"hh:mm")</f>
        <v>2:00:00</v>
      </c>
      <c r="AH361" s="4" t="str">
        <f aca="false">IF(AD361&gt;AG361,"Not Met","Met")</f>
        <v>Not Met</v>
      </c>
      <c r="AI361" s="4" t="e">
        <f aca="false">IF(AB361&lt;TIME(0,30,0),"Met","Not Met")</f>
        <v>#VALUE!</v>
      </c>
      <c r="AN361" s="1" t="str">
        <f aca="false">TEXT(B361,"dd")</f>
        <v>30</v>
      </c>
      <c r="AO361" s="1" t="str">
        <f aca="false">TEXT(X361,"dd")</f>
        <v>03</v>
      </c>
      <c r="AP361" s="16" t="str">
        <f aca="false">INT(
  NETWORKDAYS(B361,V361)-1
  + IF(WEEKDAY(V361,2)&lt;6,MOD(V361+W361,1),0)
  - IF(WEEKDAY(B361,2)&lt;6,MOD(B361+C361,1),0)
)
&amp; ":" &amp;
TEXT(HOUR(
  NETWORKDAYS(B361,V361)-1
  + IF(WEEKDAY(V361,2)&lt;6,MOD(V361+W361,1),0)
  - IF(WEEKDAY(B361,2)&lt;6,MOD(B361+C361,1),0)
),"00")
&amp; ":" &amp;
TEXT(MINUTE(
  NETWORKDAYS(B361,V361)-1
  + IF(WEEKDAY(V361,2)&lt;6,MOD(V361+W361,1),0)
  - IF(WEEKDAY(B361,2)&lt;6,MOD(B361+C361,1),0)
),"00")</f>
        <v>2:21:24</v>
      </c>
      <c r="AQ361" s="0" t="n">
        <f aca="false">IFERROR(
LEFT(AP361,FIND(":",AP361)-1)
+ MID(AP361,FIND(":",AP361)+1,2)/24
+ RIGHT(AP361,2)/1440,
"")</f>
        <v>2.89166666666667</v>
      </c>
      <c r="AR361" s="0" t="n">
        <f aca="false">WEEKNUM(B361,1)</f>
        <v>22</v>
      </c>
      <c r="AS361" s="17" t="n">
        <f aca="false">IF(B361&gt;0, (B361+C361)-TIME(13,30,0), "")</f>
        <v>46171.5340277778</v>
      </c>
      <c r="AT361" s="18" t="n">
        <f aca="false">IF(B361&gt;0, (B361+C361)-TIME(13,30,0), "")</f>
        <v>46171.5340277778</v>
      </c>
      <c r="AU361" s="17" t="n">
        <f aca="false">IF(V361&gt;0, (V361+W361)-TIME(13,30,0), "")</f>
        <v>46176.3291666667</v>
      </c>
      <c r="AV361" s="18" t="n">
        <f aca="false">IF(V361&gt;0, (V361+W361)-TIME(13,30,0), "")</f>
        <v>46176.3291666667</v>
      </c>
      <c r="AW361" s="19" t="n">
        <f aca="false">24*(
MAX(0,
IF(NETWORKDAYS(AS361,AU361)=1,
MIN(MOD(AV361,1),TIME(17,30,0)) - MAX(MOD(AT361,1),TIME(8,30,0)),
(TIME(17,30,0)-MAX(MOD(AT361,1),TIME(8,30,0)))
+ (MIN(MOD(AV361,1),TIME(17,30,0))-TIME(8,30,0))
+ (NETWORKDAYS(AS361,AU361)-2)*9/24
)
)
)</f>
        <v>22.0833333333333</v>
      </c>
      <c r="AX361" s="19" t="n">
        <f aca="false">24*(
MAX(0,
IF(NETWORKDAYS(AS361,AU361)=1,
MIN(MOD(AV361,1),TIME(17,30,0)) - MAX(MOD(AT361,1),TIME(8,30,0)),
(TIME(17,30,0)-MAX(MOD(AT361,1),TIME(8,30,0)))
+ (MIN(MOD(AV361,1),TIME(17,30,0))-TIME(8,30,0))
+ (NETWORKDAYS(AS361,AU361)-2)* (TIME(17,30,0)-TIME(8,30,0))
)
)
)</f>
        <v>22.0833333333333</v>
      </c>
      <c r="AY361" s="20" t="n">
        <f aca="false">ROUND(
IF(AS361=AU361,
MAX(0,
(MIN(MOD(AV361,1),TIME(17,30,0))-
MAX(MOD(AT361,1),TIME(8,30,0)))*24
),
(
(MAX(0,TIME(17,30,0)-MAX(MOD(AT361,1),TIME(8,30,0)))*24)
+
(MAX(0,MIN(MOD(AV361,1),TIME(17,30,0))-TIME(8,30,0))*24)
+
(MAX(0,NETWORKDAYS(AS361+1,AU361-1))*9)
)
),
2)</f>
        <v>22.68</v>
      </c>
      <c r="AZ361" s="0" t="n">
        <f aca="false" t="array" ref="AZ361:AZ361">_xlfn.XLOOKUP(J361,{"Low","Medium","High"},{270,72,24})</f>
        <v>270</v>
      </c>
      <c r="BA361" s="0" t="str">
        <f aca="false">IF(AW361&gt;AZ361,"Not Met","Met")</f>
        <v>Met</v>
      </c>
      <c r="BB361" s="21" t="str">
        <f aca="false">IF(AS361="","",TEXT(AS361,"MMM")&amp;"'"&amp;TEXT(AS361,"yy"))</f>
        <v>May'26</v>
      </c>
      <c r="BC361" s="0" t="str">
        <f aca="false">IF(AU361="","",TEXT(AU361,"MMM")&amp;"'"&amp;TEXT(AU361,"yy"))</f>
        <v>Jun'26</v>
      </c>
    </row>
    <row r="362" customFormat="false" ht="15" hidden="false" customHeight="false" outlineLevel="0" collapsed="false">
      <c r="A362" s="1" t="s">
        <v>1212</v>
      </c>
      <c r="B362" s="11" t="n">
        <v>46174</v>
      </c>
      <c r="C362" s="12" t="n">
        <v>0.954166666666667</v>
      </c>
      <c r="D362" s="13" t="str">
        <f aca="false">IF(B362="","",TEXT(B362,"MMM")&amp;"'"&amp;TEXT(B362,"yy"))</f>
        <v>Jun'26</v>
      </c>
      <c r="E362" s="1" t="s">
        <v>55</v>
      </c>
      <c r="F362" s="1" t="s">
        <v>39</v>
      </c>
      <c r="G362" s="1" t="str">
        <f aca="false">IF(F362="Closed","Closed","Pending")</f>
        <v>Closed</v>
      </c>
      <c r="H362" s="29" t="s">
        <v>72</v>
      </c>
      <c r="I362" s="1" t="s">
        <v>327</v>
      </c>
      <c r="J362" s="29" t="s">
        <v>74</v>
      </c>
      <c r="K362" s="29" t="s">
        <v>59</v>
      </c>
      <c r="L362" s="1" t="s">
        <v>1213</v>
      </c>
      <c r="M362" s="1" t="s">
        <v>1214</v>
      </c>
      <c r="N362" s="1" t="s">
        <v>65</v>
      </c>
      <c r="O362" s="1" t="s">
        <v>77</v>
      </c>
      <c r="Q362" s="1" t="s">
        <v>65</v>
      </c>
      <c r="R362" s="1" t="s">
        <v>87</v>
      </c>
      <c r="U362" s="12" t="n">
        <v>0.958333333333333</v>
      </c>
      <c r="V362" s="11" t="n">
        <v>46185</v>
      </c>
      <c r="W362" s="12" t="n">
        <v>0.934027777777778</v>
      </c>
      <c r="X362" s="11" t="n">
        <v>46198</v>
      </c>
      <c r="Y362" s="12" t="n">
        <v>0.928472222222222</v>
      </c>
      <c r="Z362" s="1" t="s">
        <v>108</v>
      </c>
      <c r="AA362" s="1" t="s">
        <v>68</v>
      </c>
      <c r="AB362" s="2" t="e">
        <f aca="false">U362-F362</f>
        <v>#VALUE!</v>
      </c>
      <c r="AC362" s="14" t="n">
        <f aca="false">(V362+W362)-(B362+C362)</f>
        <v>10.9798611111111</v>
      </c>
      <c r="AD362" s="4" t="str">
        <f aca="false">INT((V362+W362)-(B362+C362)) &amp; ":" &amp;
TEXT(HOUR((V362+W362)-(B362+C362)), "00") &amp; ":" &amp;
TEXT(MINUTE((V362+W362)-(B362+C362)), "00")</f>
        <v>10:23:31</v>
      </c>
      <c r="AE362" s="1" t="n">
        <f aca="false">IFERROR(
LEFT(AD362,FIND(":",AD362)-1)
+ MID(AD362,FIND(":",AD362)+1,2)/24
+ RIGHT(AD362,2)/1440,
"")</f>
        <v>10.9798611111111</v>
      </c>
      <c r="AF362" s="4" t="str">
        <f aca="false">INT((X362+Y362)-(B362+C362)) &amp; ":" &amp;
TEXT(HOUR((X362+Y362)-(B362+C362)), "00") &amp; ":" &amp;
TEXT(MINUTE((X362+Y362)-(B362+C362)), "00")</f>
        <v>23:23:23</v>
      </c>
      <c r="AG362" s="4" t="str">
        <f aca="false" t="array" ref="AG362:AG362">INT(_xlfn.XLOOKUP(J362,{"Low","Medium","High","Urgent"},{48,24,12,8})/24) &amp; ":" &amp;
TEXT(MOD(_xlfn.XLOOKUP(J362,{"Low","Medium","High","Urgent"},{48,24,12,8}),24)/24,"hh:mm")</f>
        <v>2:00:00</v>
      </c>
      <c r="AH362" s="4" t="str">
        <f aca="false">IF(AD362&gt;AG362,"Not Met","Met")</f>
        <v>Met</v>
      </c>
      <c r="AI362" s="4" t="e">
        <f aca="false">IF(AB362&lt;TIME(0,30,0),"Met","Not Met")</f>
        <v>#VALUE!</v>
      </c>
      <c r="AN362" s="1" t="str">
        <f aca="false">TEXT(B362,"dd")</f>
        <v>01</v>
      </c>
      <c r="AO362" s="1" t="str">
        <f aca="false">TEXT(X362,"dd")</f>
        <v>25</v>
      </c>
      <c r="AP362" s="16" t="str">
        <f aca="false">INT(
  NETWORKDAYS(B362,V362)-1
  + IF(WEEKDAY(V362,2)&lt;6,MOD(V362+W362,1),0)
  - IF(WEEKDAY(B362,2)&lt;6,MOD(B362+C362,1),0)
)
&amp; ":" &amp;
TEXT(HOUR(
  NETWORKDAYS(B362,V362)-1
  + IF(WEEKDAY(V362,2)&lt;6,MOD(V362+W362,1),0)
  - IF(WEEKDAY(B362,2)&lt;6,MOD(B362+C362,1),0)
),"00")
&amp; ":" &amp;
TEXT(MINUTE(
  NETWORKDAYS(B362,V362)-1
  + IF(WEEKDAY(V362,2)&lt;6,MOD(V362+W362,1),0)
  - IF(WEEKDAY(B362,2)&lt;6,MOD(B362+C362,1),0)
),"00")</f>
        <v>8:23:30</v>
      </c>
      <c r="AQ362" s="0" t="n">
        <f aca="false">IFERROR(
LEFT(AP362,FIND(":",AP362)-1)
+ MID(AP362,FIND(":",AP362)+1,2)/24
+ RIGHT(AP362,2)/1440,
"")</f>
        <v>8.97916666666667</v>
      </c>
      <c r="AR362" s="0" t="n">
        <f aca="false">WEEKNUM(B362,1)</f>
        <v>23</v>
      </c>
      <c r="AS362" s="17" t="n">
        <f aca="false">IF(B362&gt;0, (B362+C362)-TIME(13,30,0), "")</f>
        <v>46174.3916666667</v>
      </c>
      <c r="AT362" s="18" t="n">
        <f aca="false">IF(B362&gt;0, (B362+C362)-TIME(13,30,0), "")</f>
        <v>46174.3916666667</v>
      </c>
      <c r="AU362" s="17" t="n">
        <f aca="false">IF(V362&gt;0, (V362+W362)-TIME(13,30,0), "")</f>
        <v>46185.3715277778</v>
      </c>
      <c r="AV362" s="18" t="n">
        <f aca="false">IF(V362&gt;0, (V362+W362)-TIME(13,30,0), "")</f>
        <v>46185.3715277778</v>
      </c>
      <c r="AW362" s="19" t="n">
        <f aca="false">24*(
MAX(0,
IF(NETWORKDAYS(AS362,AU362)=1,
MIN(MOD(AV362,1),TIME(17,30,0)) - MAX(MOD(AT362,1),TIME(8,30,0)),
(TIME(17,30,0)-MAX(MOD(AT362,1),TIME(8,30,0)))
+ (MIN(MOD(AV362,1),TIME(17,30,0))-TIME(8,30,0))
+ (NETWORKDAYS(AS362,AU362)-2)*9/24
)
)
)</f>
        <v>80.5166666666667</v>
      </c>
      <c r="AX362" s="19" t="n">
        <f aca="false">24*(
MAX(0,
IF(NETWORKDAYS(AS362,AU362)=1,
MIN(MOD(AV362,1),TIME(17,30,0)) - MAX(MOD(AT362,1),TIME(8,30,0)),
(TIME(17,30,0)-MAX(MOD(AT362,1),TIME(8,30,0)))
+ (MIN(MOD(AV362,1),TIME(17,30,0))-TIME(8,30,0))
+ (NETWORKDAYS(AS362,AU362)-2)* (TIME(17,30,0)-TIME(8,30,0))
)
)
)</f>
        <v>80.5166666666667</v>
      </c>
      <c r="AY362" s="20" t="n">
        <f aca="false">ROUND(
IF(AS362=AU362,
MAX(0,
(MIN(MOD(AV362,1),TIME(17,30,0))-
MAX(MOD(AT362,1),TIME(8,30,0)))*24
),
(
(MAX(0,TIME(17,30,0)-MAX(MOD(AT362,1),TIME(8,30,0)))*24)
+
(MAX(0,MIN(MOD(AV362,1),TIME(17,30,0))-TIME(8,30,0))*24)
+
(MAX(0,NETWORKDAYS(AS362+1,AU362-1))*9)
)
),
2)</f>
        <v>80.52</v>
      </c>
      <c r="AZ362" s="0" t="n">
        <f aca="false" t="array" ref="AZ362:AZ362">_xlfn.XLOOKUP(J362,{"Low","Medium","High"},{270,72,24})</f>
        <v>270</v>
      </c>
      <c r="BA362" s="0" t="str">
        <f aca="false">IF(AW362&gt;AZ362,"Not Met","Met")</f>
        <v>Met</v>
      </c>
      <c r="BB362" s="21" t="str">
        <f aca="false">IF(AS362="","",TEXT(AS362,"MMM")&amp;"'"&amp;TEXT(AS362,"yy"))</f>
        <v>Jun'26</v>
      </c>
      <c r="BC362" s="0" t="str">
        <f aca="false">IF(AU362="","",TEXT(AU362,"MMM")&amp;"'"&amp;TEXT(AU362,"yy"))</f>
        <v>Jun'26</v>
      </c>
    </row>
    <row r="363" customFormat="false" ht="15" hidden="false" customHeight="false" outlineLevel="0" collapsed="false">
      <c r="A363" s="1" t="s">
        <v>1215</v>
      </c>
      <c r="B363" s="11" t="n">
        <v>46175</v>
      </c>
      <c r="C363" s="12" t="n">
        <v>0.0118055555555556</v>
      </c>
      <c r="D363" s="13" t="str">
        <f aca="false">IF(B363="","",TEXT(B363,"MMM")&amp;"'"&amp;TEXT(B363,"yy"))</f>
        <v>Jun'26</v>
      </c>
      <c r="E363" s="1" t="s">
        <v>55</v>
      </c>
      <c r="F363" s="1" t="s">
        <v>39</v>
      </c>
      <c r="G363" s="1" t="str">
        <f aca="false">IF(F363="Closed","Closed","Pending")</f>
        <v>Closed</v>
      </c>
      <c r="H363" s="1" t="s">
        <v>120</v>
      </c>
      <c r="I363" s="26" t="s">
        <v>349</v>
      </c>
      <c r="J363" s="1" t="s">
        <v>74</v>
      </c>
      <c r="K363" s="1" t="s">
        <v>59</v>
      </c>
      <c r="L363" s="1" t="s">
        <v>1216</v>
      </c>
      <c r="M363" s="1" t="s">
        <v>1194</v>
      </c>
      <c r="N363" s="1" t="s">
        <v>65</v>
      </c>
      <c r="O363" s="1" t="s">
        <v>106</v>
      </c>
      <c r="Q363" s="1" t="s">
        <v>65</v>
      </c>
      <c r="R363" s="1" t="s">
        <v>87</v>
      </c>
      <c r="U363" s="12" t="n">
        <v>0.0152777777777778</v>
      </c>
      <c r="V363" s="11" t="n">
        <v>46177</v>
      </c>
      <c r="W363" s="12" t="n">
        <v>0.0451388888888889</v>
      </c>
      <c r="X363" s="11" t="n">
        <v>46177</v>
      </c>
      <c r="Y363" s="12" t="n">
        <v>0.141666666666667</v>
      </c>
      <c r="Z363" s="1" t="s">
        <v>67</v>
      </c>
      <c r="AA363" s="1" t="s">
        <v>68</v>
      </c>
      <c r="AB363" s="2" t="e">
        <f aca="false">U363-F363</f>
        <v>#VALUE!</v>
      </c>
      <c r="AC363" s="14" t="n">
        <f aca="false">(V363+W363)-(B363+C363)</f>
        <v>2.03333333333333</v>
      </c>
      <c r="AD363" s="4" t="str">
        <f aca="false">INT((V363+W363)-(B363+C363)) &amp; ":" &amp;
TEXT(HOUR((V363+W363)-(B363+C363)), "00") &amp; ":" &amp;
TEXT(MINUTE((V363+W363)-(B363+C363)), "00")</f>
        <v>2:00:48</v>
      </c>
      <c r="AE363" s="1" t="n">
        <f aca="false">IFERROR(
LEFT(AD363,FIND(":",AD363)-1)
+ MID(AD363,FIND(":",AD363)+1,2)/24
+ RIGHT(AD363,2)/1440,
"")</f>
        <v>2.03333333333333</v>
      </c>
      <c r="AF363" s="4" t="str">
        <f aca="false">INT((X363+Y363)-(B363+C363)) &amp; ":" &amp;
TEXT(HOUR((X363+Y363)-(B363+C363)), "00") &amp; ":" &amp;
TEXT(MINUTE((X363+Y363)-(B363+C363)), "00")</f>
        <v>2:03:07</v>
      </c>
      <c r="AG363" s="4" t="str">
        <f aca="false" t="array" ref="AG363:AG363">INT(_xlfn.XLOOKUP(J363,{"Low","Medium","High","Urgent"},{48,24,12,8})/24) &amp; ":" &amp;
TEXT(MOD(_xlfn.XLOOKUP(J363,{"Low","Medium","High","Urgent"},{48,24,12,8}),24)/24,"hh:mm")</f>
        <v>2:00:00</v>
      </c>
      <c r="AH363" s="4" t="str">
        <f aca="false">IF(AD363&gt;AG363,"Not Met","Met")</f>
        <v>Not Met</v>
      </c>
      <c r="AI363" s="4" t="e">
        <f aca="false">IF(AB363&lt;TIME(0,30,0),"Met","Not Met")</f>
        <v>#VALUE!</v>
      </c>
      <c r="AN363" s="1" t="str">
        <f aca="false">TEXT(B363,"dd")</f>
        <v>02</v>
      </c>
      <c r="AO363" s="1" t="str">
        <f aca="false">TEXT(X363,"dd")</f>
        <v>04</v>
      </c>
      <c r="AP363" s="16" t="str">
        <f aca="false">INT(
  NETWORKDAYS(B363,V363)-1
  + IF(WEEKDAY(V363,2)&lt;6,MOD(V363+W363,1),0)
  - IF(WEEKDAY(B363,2)&lt;6,MOD(B363+C363,1),0)
)
&amp; ":" &amp;
TEXT(HOUR(
  NETWORKDAYS(B363,V363)-1
  + IF(WEEKDAY(V363,2)&lt;6,MOD(V363+W363,1),0)
  - IF(WEEKDAY(B363,2)&lt;6,MOD(B363+C363,1),0)
),"00")
&amp; ":" &amp;
TEXT(MINUTE(
  NETWORKDAYS(B363,V363)-1
  + IF(WEEKDAY(V363,2)&lt;6,MOD(V363+W363,1),0)
  - IF(WEEKDAY(B363,2)&lt;6,MOD(B363+C363,1),0)
),"00")</f>
        <v>2:00:47</v>
      </c>
      <c r="AQ363" s="0" t="n">
        <f aca="false">IFERROR(
LEFT(AP363,FIND(":",AP363)-1)
+ MID(AP363,FIND(":",AP363)+1,2)/24
+ RIGHT(AP363,2)/1440,
"")</f>
        <v>2.03263888888889</v>
      </c>
      <c r="AR363" s="0" t="n">
        <f aca="false">WEEKNUM(B363,1)</f>
        <v>23</v>
      </c>
      <c r="AS363" s="17" t="n">
        <f aca="false">IF(B363&gt;0, (B363+C363)-TIME(13,30,0), "")</f>
        <v>46174.4493055556</v>
      </c>
      <c r="AT363" s="18" t="n">
        <f aca="false">IF(B363&gt;0, (B363+C363)-TIME(13,30,0), "")</f>
        <v>46174.4493055556</v>
      </c>
      <c r="AU363" s="17" t="n">
        <f aca="false">IF(V363&gt;0, (V363+W363)-TIME(13,30,0), "")</f>
        <v>46176.4826388889</v>
      </c>
      <c r="AV363" s="18" t="n">
        <f aca="false">IF(V363&gt;0, (V363+W363)-TIME(13,30,0), "")</f>
        <v>46176.4826388889</v>
      </c>
      <c r="AW363" s="19" t="n">
        <f aca="false">24*(
MAX(0,
IF(NETWORKDAYS(AS363,AU363)=1,
MIN(MOD(AV363,1),TIME(17,30,0)) - MAX(MOD(AT363,1),TIME(8,30,0)),
(TIME(17,30,0)-MAX(MOD(AT363,1),TIME(8,30,0)))
+ (MIN(MOD(AV363,1),TIME(17,30,0))-TIME(8,30,0))
+ (NETWORKDAYS(AS363,AU363)-2)*9/24
)
)
)</f>
        <v>18.8</v>
      </c>
      <c r="AX363" s="19" t="n">
        <f aca="false">24*(
MAX(0,
IF(NETWORKDAYS(AS363,AU363)=1,
MIN(MOD(AV363,1),TIME(17,30,0)) - MAX(MOD(AT363,1),TIME(8,30,0)),
(TIME(17,30,0)-MAX(MOD(AT363,1),TIME(8,30,0)))
+ (MIN(MOD(AV363,1),TIME(17,30,0))-TIME(8,30,0))
+ (NETWORKDAYS(AS363,AU363)-2)* (TIME(17,30,0)-TIME(8,30,0))
)
)
)</f>
        <v>18.8</v>
      </c>
      <c r="AY363" s="20" t="n">
        <f aca="false">ROUND(
IF(AS363=AU363,
MAX(0,
(MIN(MOD(AV363,1),TIME(17,30,0))-
MAX(MOD(AT363,1),TIME(8,30,0)))*24
),
(
(MAX(0,TIME(17,30,0)-MAX(MOD(AT363,1),TIME(8,30,0)))*24)
+
(MAX(0,MIN(MOD(AV363,1),TIME(17,30,0))-TIME(8,30,0))*24)
+
(MAX(0,NETWORKDAYS(AS363+1,AU363-1))*9)
)
),
2)</f>
        <v>18.8</v>
      </c>
      <c r="AZ363" s="0" t="n">
        <f aca="false" t="array" ref="AZ363:AZ363">_xlfn.XLOOKUP(J363,{"Low","Medium","High"},{270,72,24})</f>
        <v>270</v>
      </c>
      <c r="BA363" s="0" t="str">
        <f aca="false">IF(AW363&gt;AZ363,"Not Met","Met")</f>
        <v>Met</v>
      </c>
      <c r="BB363" s="21" t="str">
        <f aca="false">IF(AS363="","",TEXT(AS363,"MMM")&amp;"'"&amp;TEXT(AS363,"yy"))</f>
        <v>Jun'26</v>
      </c>
      <c r="BC363" s="0" t="str">
        <f aca="false">IF(AU363="","",TEXT(AU363,"MMM")&amp;"'"&amp;TEXT(AU363,"yy"))</f>
        <v>Jun'26</v>
      </c>
    </row>
    <row r="364" customFormat="false" ht="15" hidden="false" customHeight="false" outlineLevel="0" collapsed="false">
      <c r="A364" s="23" t="s">
        <v>1217</v>
      </c>
      <c r="B364" s="11" t="n">
        <v>46175</v>
      </c>
      <c r="C364" s="12" t="n">
        <v>0.922916666666667</v>
      </c>
      <c r="D364" s="13" t="str">
        <f aca="false">IF(B364="","",TEXT(B364,"MMM")&amp;"'"&amp;TEXT(B364,"yy"))</f>
        <v>Jun'26</v>
      </c>
      <c r="E364" s="1" t="s">
        <v>55</v>
      </c>
      <c r="F364" s="1" t="s">
        <v>39</v>
      </c>
      <c r="G364" s="1" t="str">
        <f aca="false">IF(F364="Closed","Closed","Pending")</f>
        <v>Closed</v>
      </c>
      <c r="H364" s="27" t="s">
        <v>81</v>
      </c>
      <c r="I364" s="1" t="s">
        <v>82</v>
      </c>
      <c r="J364" s="35" t="s">
        <v>74</v>
      </c>
      <c r="K364" s="1" t="s">
        <v>59</v>
      </c>
      <c r="L364" s="1" t="s">
        <v>1218</v>
      </c>
      <c r="M364" s="23" t="s">
        <v>1219</v>
      </c>
      <c r="N364" s="23" t="s">
        <v>62</v>
      </c>
      <c r="O364" s="1" t="s">
        <v>77</v>
      </c>
      <c r="Q364" s="1" t="s">
        <v>65</v>
      </c>
      <c r="R364" s="1" t="s">
        <v>87</v>
      </c>
      <c r="U364" s="12" t="n">
        <v>0.924305555555556</v>
      </c>
      <c r="V364" s="11" t="n">
        <v>46176</v>
      </c>
      <c r="W364" s="12" t="n">
        <v>0.906944444444444</v>
      </c>
      <c r="X364" s="11" t="n">
        <v>46176</v>
      </c>
      <c r="Y364" s="12" t="n">
        <v>0.993055555555556</v>
      </c>
      <c r="Z364" s="1" t="s">
        <v>67</v>
      </c>
      <c r="AA364" s="1" t="s">
        <v>68</v>
      </c>
      <c r="AB364" s="2" t="e">
        <f aca="false">U364-F364</f>
        <v>#VALUE!</v>
      </c>
      <c r="AC364" s="14" t="n">
        <f aca="false">(V364+W364)-(B364+C364)</f>
        <v>0.984027777777778</v>
      </c>
      <c r="AD364" s="4" t="str">
        <f aca="false">INT((V364+W364)-(B364+C364)) &amp; ":" &amp;
TEXT(HOUR((V364+W364)-(B364+C364)), "00") &amp; ":" &amp;
TEXT(MINUTE((V364+W364)-(B364+C364)), "00")</f>
        <v>0:23:37</v>
      </c>
      <c r="AE364" s="1" t="n">
        <f aca="false">IFERROR(
LEFT(AD364,FIND(":",AD364)-1)
+ MID(AD364,FIND(":",AD364)+1,2)/24
+ RIGHT(AD364,2)/1440,
"")</f>
        <v>0.984027777777778</v>
      </c>
      <c r="AF364" s="4" t="str">
        <f aca="false">INT((X364+Y364)-(B364+C364)) &amp; ":" &amp;
TEXT(HOUR((X364+Y364)-(B364+C364)), "00") &amp; ":" &amp;
TEXT(MINUTE((X364+Y364)-(B364+C364)), "00")</f>
        <v>1:01:41</v>
      </c>
      <c r="AG364" s="4" t="str">
        <f aca="false" t="array" ref="AG364:AG364">INT(_xlfn.XLOOKUP(J364,{"Low","Medium","High","Urgent"},{48,24,12,8})/24) &amp; ":" &amp;
TEXT(MOD(_xlfn.XLOOKUP(J364,{"Low","Medium","High","Urgent"},{48,24,12,8}),24)/24,"hh:mm")</f>
        <v>2:00:00</v>
      </c>
      <c r="AH364" s="4" t="str">
        <f aca="false">IF(AD364&gt;AG364,"Not Met","Met")</f>
        <v>Met</v>
      </c>
      <c r="AI364" s="4" t="e">
        <f aca="false">IF(AB364&lt;TIME(0,30,0),"Met","Not Met")</f>
        <v>#VALUE!</v>
      </c>
      <c r="AN364" s="1" t="str">
        <f aca="false">TEXT(B364,"dd")</f>
        <v>02</v>
      </c>
      <c r="AO364" s="1" t="str">
        <f aca="false">TEXT(X364,"dd")</f>
        <v>03</v>
      </c>
      <c r="AP364" s="16" t="str">
        <f aca="false">INT(
  NETWORKDAYS(B364,V364)-1
  + IF(WEEKDAY(V364,2)&lt;6,MOD(V364+W364,1),0)
  - IF(WEEKDAY(B364,2)&lt;6,MOD(B364+C364,1),0)
)
&amp; ":" &amp;
TEXT(HOUR(
  NETWORKDAYS(B364,V364)-1
  + IF(WEEKDAY(V364,2)&lt;6,MOD(V364+W364,1),0)
  - IF(WEEKDAY(B364,2)&lt;6,MOD(B364+C364,1),0)
),"00")
&amp; ":" &amp;
TEXT(MINUTE(
  NETWORKDAYS(B364,V364)-1
  + IF(WEEKDAY(V364,2)&lt;6,MOD(V364+W364,1),0)
  - IF(WEEKDAY(B364,2)&lt;6,MOD(B364+C364,1),0)
),"00")</f>
        <v>0:23:36</v>
      </c>
      <c r="AQ364" s="0" t="n">
        <f aca="false">IFERROR(
LEFT(AP364,FIND(":",AP364)-1)
+ MID(AP364,FIND(":",AP364)+1,2)/24
+ RIGHT(AP364,2)/1440,
"")</f>
        <v>0.983333333333333</v>
      </c>
      <c r="AR364" s="0" t="n">
        <f aca="false">WEEKNUM(B364,1)</f>
        <v>23</v>
      </c>
      <c r="AS364" s="17" t="n">
        <f aca="false">IF(B364&gt;0, (B364+C364)-TIME(13,30,0), "")</f>
        <v>46175.3604166667</v>
      </c>
      <c r="AT364" s="18" t="n">
        <f aca="false">IF(B364&gt;0, (B364+C364)-TIME(13,30,0), "")</f>
        <v>46175.3604166667</v>
      </c>
      <c r="AU364" s="17" t="n">
        <f aca="false">IF(V364&gt;0, (V364+W364)-TIME(13,30,0), "")</f>
        <v>46176.3444444445</v>
      </c>
      <c r="AV364" s="18" t="n">
        <f aca="false">IF(V364&gt;0, (V364+W364)-TIME(13,30,0), "")</f>
        <v>46176.3444444445</v>
      </c>
      <c r="AW364" s="19" t="n">
        <f aca="false">24*(
MAX(0,
IF(NETWORKDAYS(AS364,AU364)=1,
MIN(MOD(AV364,1),TIME(17,30,0)) - MAX(MOD(AT364,1),TIME(8,30,0)),
(TIME(17,30,0)-MAX(MOD(AT364,1),TIME(8,30,0)))
+ (MIN(MOD(AV364,1),TIME(17,30,0))-TIME(8,30,0))
+ (NETWORKDAYS(AS364,AU364)-2)*9/24
)
)
)</f>
        <v>8.61666666666667</v>
      </c>
      <c r="AX364" s="19" t="n">
        <f aca="false">24*(
MAX(0,
IF(NETWORKDAYS(AS364,AU364)=1,
MIN(MOD(AV364,1),TIME(17,30,0)) - MAX(MOD(AT364,1),TIME(8,30,0)),
(TIME(17,30,0)-MAX(MOD(AT364,1),TIME(8,30,0)))
+ (MIN(MOD(AV364,1),TIME(17,30,0))-TIME(8,30,0))
+ (NETWORKDAYS(AS364,AU364)-2)* (TIME(17,30,0)-TIME(8,30,0))
)
)
)</f>
        <v>8.61666666666667</v>
      </c>
      <c r="AY364" s="20" t="n">
        <f aca="false">ROUND(
IF(AS364=AU364,
MAX(0,
(MIN(MOD(AV364,1),TIME(17,30,0))-
MAX(MOD(AT364,1),TIME(8,30,0)))*24
),
(
(MAX(0,TIME(17,30,0)-MAX(MOD(AT364,1),TIME(8,30,0)))*24)
+
(MAX(0,MIN(MOD(AV364,1),TIME(17,30,0))-TIME(8,30,0))*24)
+
(MAX(0,NETWORKDAYS(AS364+1,AU364-1))*9)
)
),
2)</f>
        <v>8.85</v>
      </c>
      <c r="AZ364" s="0" t="n">
        <f aca="false" t="array" ref="AZ364:AZ364">_xlfn.XLOOKUP(J364,{"Low","Medium","High"},{270,72,24})</f>
        <v>270</v>
      </c>
      <c r="BA364" s="0" t="str">
        <f aca="false">IF(AW364&gt;AZ364,"Not Met","Met")</f>
        <v>Met</v>
      </c>
      <c r="BB364" s="21" t="str">
        <f aca="false">IF(AS364="","",TEXT(AS364,"MMM")&amp;"'"&amp;TEXT(AS364,"yy"))</f>
        <v>Jun'26</v>
      </c>
      <c r="BC364" s="0" t="str">
        <f aca="false">IF(AU364="","",TEXT(AU364,"MMM")&amp;"'"&amp;TEXT(AU364,"yy"))</f>
        <v>Jun'26</v>
      </c>
    </row>
    <row r="365" customFormat="false" ht="15" hidden="false" customHeight="false" outlineLevel="0" collapsed="false">
      <c r="A365" s="23" t="s">
        <v>1220</v>
      </c>
      <c r="B365" s="11" t="n">
        <v>46175</v>
      </c>
      <c r="C365" s="12" t="n">
        <v>0.949305555555556</v>
      </c>
      <c r="D365" s="13" t="str">
        <f aca="false">IF(B365="","",TEXT(B365,"MMM")&amp;"'"&amp;TEXT(B365,"yy"))</f>
        <v>Jun'26</v>
      </c>
      <c r="E365" s="1" t="s">
        <v>55</v>
      </c>
      <c r="F365" s="1" t="s">
        <v>1130</v>
      </c>
      <c r="G365" s="1" t="str">
        <f aca="false">IF(F365="Closed","Closed","Pending")</f>
        <v>Pending</v>
      </c>
      <c r="H365" s="27" t="s">
        <v>81</v>
      </c>
      <c r="I365" s="1" t="s">
        <v>82</v>
      </c>
      <c r="J365" s="35" t="s">
        <v>58</v>
      </c>
      <c r="K365" s="1" t="s">
        <v>59</v>
      </c>
      <c r="L365" s="1" t="s">
        <v>1221</v>
      </c>
      <c r="M365" s="1" t="s">
        <v>1222</v>
      </c>
      <c r="N365" s="1" t="s">
        <v>62</v>
      </c>
      <c r="O365" s="1" t="s">
        <v>63</v>
      </c>
      <c r="Q365" s="1" t="s">
        <v>63</v>
      </c>
      <c r="R365" s="1" t="s">
        <v>230</v>
      </c>
      <c r="U365" s="12" t="n">
        <v>0.951388888888889</v>
      </c>
      <c r="Z365" s="1" t="s">
        <v>108</v>
      </c>
      <c r="AB365" s="2" t="e">
        <f aca="false">U365-F365</f>
        <v>#VALUE!</v>
      </c>
      <c r="AC365" s="14" t="n">
        <f aca="false">(V365+W365)-(B365+C365)</f>
        <v>-46175.9493055556</v>
      </c>
      <c r="AD365" s="4" t="str">
        <f aca="false">INT((V365+W365)-(B365+C365)) &amp; ":" &amp;
TEXT(HOUR((V365+W365)-(B365+C365)), "00") &amp; ":" &amp;
TEXT(MINUTE((V365+W365)-(B365+C365)), "00")</f>
        <v>-46176:01:13</v>
      </c>
      <c r="AE365" s="1" t="n">
        <f aca="false">IFERROR(
LEFT(AD365,FIND(":",AD365)-1)
+ MID(AD365,FIND(":",AD365)+1,2)/24
+ RIGHT(AD365,2)/1440,
"")</f>
        <v>-46175.9493055556</v>
      </c>
      <c r="AF365" s="4" t="str">
        <f aca="false">INT((X365+Y365)-(B365+C365)) &amp; ":" &amp;
TEXT(HOUR((X365+Y365)-(B365+C365)), "00") &amp; ":" &amp;
TEXT(MINUTE((X365+Y365)-(B365+C365)), "00")</f>
        <v>-46176:01:13</v>
      </c>
      <c r="AG365" s="4" t="str">
        <f aca="false" t="array" ref="AG365:AG365">INT(_xlfn.XLOOKUP(J365,{"Low","Medium","High","Urgent"},{48,24,12,8})/24) &amp; ":" &amp;
TEXT(MOD(_xlfn.XLOOKUP(J365,{"Low","Medium","High","Urgent"},{48,24,12,8}),24)/24,"hh:mm")</f>
        <v>1:00:00</v>
      </c>
      <c r="AH365" s="4" t="str">
        <f aca="false">IF(AD365&gt;AG365,"Not Met","Met")</f>
        <v>Met</v>
      </c>
      <c r="AI365" s="4" t="e">
        <f aca="false">IF(AB365&lt;TIME(0,30,0),"Met","Not Met")</f>
        <v>#VALUE!</v>
      </c>
      <c r="AN365" s="1" t="str">
        <f aca="false">TEXT(B365,"dd")</f>
        <v>02</v>
      </c>
      <c r="AO365" s="1" t="str">
        <f aca="false">TEXT(X365,"dd")</f>
        <v>30</v>
      </c>
      <c r="AP365" s="16" t="str">
        <f aca="false">INT(
  NETWORKDAYS(B365,V365)-1
  + IF(WEEKDAY(V365,2)&lt;6,MOD(V365+W365,1),0)
  - IF(WEEKDAY(B365,2)&lt;6,MOD(B365+C365,1),0)
)
&amp; ":" &amp;
TEXT(HOUR(
  NETWORKDAYS(B365,V365)-1
  + IF(WEEKDAY(V365,2)&lt;6,MOD(V365+W365,1),0)
  - IF(WEEKDAY(B365,2)&lt;6,MOD(B365+C365,1),0)
),"00")
&amp; ":" &amp;
TEXT(MINUTE(
  NETWORKDAYS(B365,V365)-1
  + IF(WEEKDAY(V365,2)&lt;6,MOD(V365+W365,1),0)
  - IF(WEEKDAY(B365,2)&lt;6,MOD(B365+C365,1),0)
),"00")</f>
        <v>-32984:01:13</v>
      </c>
      <c r="AQ365" s="0" t="n">
        <f aca="false">IFERROR(
LEFT(AP365,FIND(":",AP365)-1)
+ MID(AP365,FIND(":",AP365)+1,2)/24
+ RIGHT(AP365,2)/1440,
"")</f>
        <v>-32983.9493055556</v>
      </c>
      <c r="AR365" s="0" t="n">
        <f aca="false">WEEKNUM(B365,1)</f>
        <v>23</v>
      </c>
      <c r="AS365" s="17" t="n">
        <f aca="false">IF(B365&gt;0, (B365+C365)-TIME(13,30,0), "")</f>
        <v>46175.3868055556</v>
      </c>
      <c r="AT365" s="18" t="n">
        <f aca="false">IF(B365&gt;0, (B365+C365)-TIME(13,30,0), "")</f>
        <v>46175.3868055556</v>
      </c>
      <c r="AU365" s="17" t="str">
        <f aca="false">IF(V365&gt;0, (V365+W365)-TIME(13,30,0), "")</f>
        <v/>
      </c>
      <c r="AV365" s="18" t="str">
        <f aca="false">IF(V365&gt;0, (V365+W365)-TIME(13,30,0), "")</f>
        <v/>
      </c>
      <c r="AW365" s="19" t="e">
        <f aca="false">24*(
MAX(0,
IF(NETWORKDAYS(AS365,AU365)=1,
MIN(MOD(AV365,1),TIME(17,30,0)) - MAX(MOD(AT365,1),TIME(8,30,0)),
(TIME(17,30,0)-MAX(MOD(AT365,1),TIME(8,30,0)))
+ (MIN(MOD(AV365,1),TIME(17,30,0))-TIME(8,30,0))
+ (NETWORKDAYS(AS365,AU365)-2)*9/24
)
)
)</f>
        <v>#VALUE!</v>
      </c>
      <c r="AX365" s="19" t="e">
        <f aca="false">24*(
MAX(0,
IF(NETWORKDAYS(AS365,AU365)=1,
MIN(MOD(AV365,1),TIME(17,30,0)) - MAX(MOD(AT365,1),TIME(8,30,0)),
(TIME(17,30,0)-MAX(MOD(AT365,1),TIME(8,30,0)))
+ (MIN(MOD(AV365,1),TIME(17,30,0))-TIME(8,30,0))
+ (NETWORKDAYS(AS365,AU365)-2)* (TIME(17,30,0)-TIME(8,30,0))
)
)
)</f>
        <v>#VALUE!</v>
      </c>
      <c r="AY365" s="20" t="e">
        <f aca="false">ROUND(
IF(AS365=AU365,
MAX(0,
(MIN(MOD(AV365,1),TIME(17,30,0))-
MAX(MOD(AT365,1),TIME(8,30,0)))*24
),
(
(MAX(0,TIME(17,30,0)-MAX(MOD(AT365,1),TIME(8,30,0)))*24)
+
(MAX(0,MIN(MOD(AV365,1),TIME(17,30,0))-TIME(8,30,0))*24)
+
(MAX(0,NETWORKDAYS(AS365+1,AU365-1))*9)
)
),
2)</f>
        <v>#VALUE!</v>
      </c>
      <c r="AZ365" s="0" t="n">
        <f aca="false" t="array" ref="AZ365:AZ365">_xlfn.XLOOKUP(J365,{"Low","Medium","High"},{270,72,24})</f>
        <v>72</v>
      </c>
      <c r="BA365" s="0" t="e">
        <f aca="false">IF(AW365&gt;AZ365,"Not Met","Met")</f>
        <v>#VALUE!</v>
      </c>
      <c r="BB365" s="21" t="str">
        <f aca="false">IF(AS365="","",TEXT(AS365,"MMM")&amp;"'"&amp;TEXT(AS365,"yy"))</f>
        <v>Jun'26</v>
      </c>
      <c r="BC365" s="0" t="str">
        <f aca="false">IF(AU365="","",TEXT(AU365,"MMM")&amp;"'"&amp;TEXT(AU365,"yy"))</f>
        <v/>
      </c>
    </row>
    <row r="366" customFormat="false" ht="15" hidden="false" customHeight="false" outlineLevel="0" collapsed="false">
      <c r="A366" s="23" t="s">
        <v>1223</v>
      </c>
      <c r="B366" s="11" t="n">
        <v>46175</v>
      </c>
      <c r="C366" s="12" t="n">
        <v>0.980555555555556</v>
      </c>
      <c r="D366" s="13" t="str">
        <f aca="false">IF(B366="","",TEXT(B366,"MMM")&amp;"'"&amp;TEXT(B366,"yy"))</f>
        <v>Jun'26</v>
      </c>
      <c r="E366" s="1" t="s">
        <v>55</v>
      </c>
      <c r="F366" s="1" t="s">
        <v>140</v>
      </c>
      <c r="G366" s="1" t="str">
        <f aca="false">IF(F366="Closed","Closed","Pending")</f>
        <v>Pending</v>
      </c>
      <c r="H366" s="27" t="s">
        <v>72</v>
      </c>
      <c r="I366" s="1" t="s">
        <v>190</v>
      </c>
      <c r="J366" s="35" t="s">
        <v>74</v>
      </c>
      <c r="K366" s="1" t="s">
        <v>59</v>
      </c>
      <c r="L366" s="1" t="s">
        <v>1224</v>
      </c>
      <c r="M366" s="1" t="s">
        <v>1225</v>
      </c>
      <c r="N366" s="1" t="s">
        <v>143</v>
      </c>
      <c r="Q366" s="1" t="s">
        <v>143</v>
      </c>
      <c r="R366" s="1" t="s">
        <v>87</v>
      </c>
      <c r="U366" s="12" t="n">
        <v>0.9875</v>
      </c>
      <c r="Z366" s="1" t="s">
        <v>108</v>
      </c>
      <c r="AB366" s="2" t="e">
        <f aca="false">U366-F366</f>
        <v>#VALUE!</v>
      </c>
      <c r="AC366" s="14" t="n">
        <f aca="false">(V366+W366)-(B366+C366)</f>
        <v>-46175.9805555556</v>
      </c>
      <c r="AD366" s="4" t="str">
        <f aca="false">INT((V366+W366)-(B366+C366)) &amp; ":" &amp;
TEXT(HOUR((V366+W366)-(B366+C366)), "00") &amp; ":" &amp;
TEXT(MINUTE((V366+W366)-(B366+C366)), "00")</f>
        <v>-46176:00:28</v>
      </c>
      <c r="AE366" s="1" t="n">
        <f aca="false">IFERROR(
LEFT(AD366,FIND(":",AD366)-1)
+ MID(AD366,FIND(":",AD366)+1,2)/24
+ RIGHT(AD366,2)/1440,
"")</f>
        <v>-46175.9805555556</v>
      </c>
      <c r="AF366" s="4" t="str">
        <f aca="false">INT((X366+Y366)-(B366+C366)) &amp; ":" &amp;
TEXT(HOUR((X366+Y366)-(B366+C366)), "00") &amp; ":" &amp;
TEXT(MINUTE((X366+Y366)-(B366+C366)), "00")</f>
        <v>-46176:00:28</v>
      </c>
      <c r="AG366" s="4" t="str">
        <f aca="false" t="array" ref="AG366:AG366">INT(_xlfn.XLOOKUP(J366,{"Low","Medium","High","Urgent"},{48,24,12,8})/24) &amp; ":" &amp;
TEXT(MOD(_xlfn.XLOOKUP(J366,{"Low","Medium","High","Urgent"},{48,24,12,8}),24)/24,"hh:mm")</f>
        <v>2:00:00</v>
      </c>
      <c r="AH366" s="4" t="str">
        <f aca="false">IF(AD366&gt;AG366,"Not Met","Met")</f>
        <v>Met</v>
      </c>
      <c r="AI366" s="4" t="e">
        <f aca="false">IF(AB366&lt;TIME(0,30,0),"Met","Not Met")</f>
        <v>#VALUE!</v>
      </c>
      <c r="AN366" s="1" t="str">
        <f aca="false">TEXT(B366,"dd")</f>
        <v>02</v>
      </c>
      <c r="AO366" s="1" t="str">
        <f aca="false">TEXT(X366,"dd")</f>
        <v>30</v>
      </c>
      <c r="AP366" s="16" t="str">
        <f aca="false">INT(
  NETWORKDAYS(B366,V366)-1
  + IF(WEEKDAY(V366,2)&lt;6,MOD(V366+W366,1),0)
  - IF(WEEKDAY(B366,2)&lt;6,MOD(B366+C366,1),0)
)
&amp; ":" &amp;
TEXT(HOUR(
  NETWORKDAYS(B366,V366)-1
  + IF(WEEKDAY(V366,2)&lt;6,MOD(V366+W366,1),0)
  - IF(WEEKDAY(B366,2)&lt;6,MOD(B366+C366,1),0)
),"00")
&amp; ":" &amp;
TEXT(MINUTE(
  NETWORKDAYS(B366,V366)-1
  + IF(WEEKDAY(V366,2)&lt;6,MOD(V366+W366,1),0)
  - IF(WEEKDAY(B366,2)&lt;6,MOD(B366+C366,1),0)
),"00")</f>
        <v>-32984:00:28</v>
      </c>
      <c r="AQ366" s="0" t="n">
        <f aca="false">IFERROR(
LEFT(AP366,FIND(":",AP366)-1)
+ MID(AP366,FIND(":",AP366)+1,2)/24
+ RIGHT(AP366,2)/1440,
"")</f>
        <v>-32983.9805555556</v>
      </c>
      <c r="AR366" s="0" t="n">
        <f aca="false">WEEKNUM(B366,1)</f>
        <v>23</v>
      </c>
      <c r="AS366" s="17" t="n">
        <f aca="false">IF(B366&gt;0, (B366+C366)-TIME(13,30,0), "")</f>
        <v>46175.4180555556</v>
      </c>
      <c r="AT366" s="18" t="n">
        <f aca="false">IF(B366&gt;0, (B366+C366)-TIME(13,30,0), "")</f>
        <v>46175.4180555556</v>
      </c>
      <c r="AU366" s="17" t="str">
        <f aca="false">IF(V366&gt;0, (V366+W366)-TIME(13,30,0), "")</f>
        <v/>
      </c>
      <c r="AV366" s="18" t="str">
        <f aca="false">IF(V366&gt;0, (V366+W366)-TIME(13,30,0), "")</f>
        <v/>
      </c>
      <c r="AW366" s="19" t="e">
        <f aca="false">24*(
MAX(0,
IF(NETWORKDAYS(AS366,AU366)=1,
MIN(MOD(AV366,1),TIME(17,30,0)) - MAX(MOD(AT366,1),TIME(8,30,0)),
(TIME(17,30,0)-MAX(MOD(AT366,1),TIME(8,30,0)))
+ (MIN(MOD(AV366,1),TIME(17,30,0))-TIME(8,30,0))
+ (NETWORKDAYS(AS366,AU366)-2)*9/24
)
)
)</f>
        <v>#VALUE!</v>
      </c>
      <c r="AX366" s="19" t="e">
        <f aca="false">24*(
MAX(0,
IF(NETWORKDAYS(AS366,AU366)=1,
MIN(MOD(AV366,1),TIME(17,30,0)) - MAX(MOD(AT366,1),TIME(8,30,0)),
(TIME(17,30,0)-MAX(MOD(AT366,1),TIME(8,30,0)))
+ (MIN(MOD(AV366,1),TIME(17,30,0))-TIME(8,30,0))
+ (NETWORKDAYS(AS366,AU366)-2)* (TIME(17,30,0)-TIME(8,30,0))
)
)
)</f>
        <v>#VALUE!</v>
      </c>
      <c r="AY366" s="20" t="e">
        <f aca="false">ROUND(
IF(AS366=AU366,
MAX(0,
(MIN(MOD(AV366,1),TIME(17,30,0))-
MAX(MOD(AT366,1),TIME(8,30,0)))*24
),
(
(MAX(0,TIME(17,30,0)-MAX(MOD(AT366,1),TIME(8,30,0)))*24)
+
(MAX(0,MIN(MOD(AV366,1),TIME(17,30,0))-TIME(8,30,0))*24)
+
(MAX(0,NETWORKDAYS(AS366+1,AU366-1))*9)
)
),
2)</f>
        <v>#VALUE!</v>
      </c>
      <c r="AZ366" s="0" t="n">
        <f aca="false" t="array" ref="AZ366:AZ366">_xlfn.XLOOKUP(J366,{"Low","Medium","High"},{270,72,24})</f>
        <v>270</v>
      </c>
      <c r="BA366" s="0" t="e">
        <f aca="false">IF(AW366&gt;AZ366,"Not Met","Met")</f>
        <v>#VALUE!</v>
      </c>
      <c r="BB366" s="21" t="str">
        <f aca="false">IF(AS366="","",TEXT(AS366,"MMM")&amp;"'"&amp;TEXT(AS366,"yy"))</f>
        <v>Jun'26</v>
      </c>
      <c r="BC366" s="0" t="str">
        <f aca="false">IF(AU366="","",TEXT(AU366,"MMM")&amp;"'"&amp;TEXT(AU366,"yy"))</f>
        <v/>
      </c>
    </row>
    <row r="367" customFormat="false" ht="15" hidden="false" customHeight="false" outlineLevel="0" collapsed="false">
      <c r="A367" s="68" t="s">
        <v>1226</v>
      </c>
      <c r="B367" s="11" t="n">
        <v>46176</v>
      </c>
      <c r="C367" s="12" t="n">
        <v>0.0881944444444445</v>
      </c>
      <c r="D367" s="13" t="str">
        <f aca="false">IF(B367="","",TEXT(B367,"MMM")&amp;"'"&amp;TEXT(B367,"yy"))</f>
        <v>Jun'26</v>
      </c>
      <c r="E367" s="1" t="s">
        <v>55</v>
      </c>
      <c r="F367" s="1" t="s">
        <v>39</v>
      </c>
      <c r="G367" s="1" t="str">
        <f aca="false">IF(F367="Closed","Closed","Pending")</f>
        <v>Closed</v>
      </c>
      <c r="H367" s="27" t="s">
        <v>1227</v>
      </c>
      <c r="I367" s="1" t="s">
        <v>1228</v>
      </c>
      <c r="J367" s="35" t="s">
        <v>74</v>
      </c>
      <c r="K367" s="1" t="s">
        <v>59</v>
      </c>
      <c r="L367" s="1" t="s">
        <v>1229</v>
      </c>
      <c r="M367" s="1" t="s">
        <v>1230</v>
      </c>
      <c r="N367" s="1" t="s">
        <v>65</v>
      </c>
      <c r="O367" s="1" t="s">
        <v>1152</v>
      </c>
      <c r="Q367" s="1" t="s">
        <v>65</v>
      </c>
      <c r="R367" s="1" t="s">
        <v>87</v>
      </c>
      <c r="U367" s="12" t="n">
        <v>0.139583333333333</v>
      </c>
      <c r="V367" s="11" t="n">
        <v>46177</v>
      </c>
      <c r="W367" s="12" t="n">
        <v>0.421527777777778</v>
      </c>
      <c r="X367" s="11" t="n">
        <v>46177</v>
      </c>
      <c r="Y367" s="12" t="n">
        <v>0.421527777777778</v>
      </c>
      <c r="Z367" s="1" t="s">
        <v>67</v>
      </c>
      <c r="AA367" s="1" t="s">
        <v>68</v>
      </c>
      <c r="AB367" s="2" t="e">
        <f aca="false">U367-F367</f>
        <v>#VALUE!</v>
      </c>
      <c r="AC367" s="14" t="n">
        <f aca="false">(V367+W367)-(B367+C367)</f>
        <v>1.33333333333333</v>
      </c>
      <c r="AD367" s="4" t="str">
        <f aca="false">INT((V367+W367)-(B367+C367)) &amp; ":" &amp;
TEXT(HOUR((V367+W367)-(B367+C367)), "00") &amp; ":" &amp;
TEXT(MINUTE((V367+W367)-(B367+C367)), "00")</f>
        <v>1:08:00</v>
      </c>
      <c r="AE367" s="1" t="n">
        <f aca="false">IFERROR(
LEFT(AD367,FIND(":",AD367)-1)
+ MID(AD367,FIND(":",AD367)+1,2)/24
+ RIGHT(AD367,2)/1440,
"")</f>
        <v>1.33333333333333</v>
      </c>
      <c r="AF367" s="4" t="str">
        <f aca="false">INT((X367+Y367)-(B367+C367)) &amp; ":" &amp;
TEXT(HOUR((X367+Y367)-(B367+C367)), "00") &amp; ":" &amp;
TEXT(MINUTE((X367+Y367)-(B367+C367)), "00")</f>
        <v>1:08:00</v>
      </c>
      <c r="AG367" s="4" t="str">
        <f aca="false" t="array" ref="AG367:AG367">INT(_xlfn.XLOOKUP(J367,{"Low","Medium","High","Urgent"},{48,24,12,8})/24) &amp; ":" &amp;
TEXT(MOD(_xlfn.XLOOKUP(J367,{"Low","Medium","High","Urgent"},{48,24,12,8}),24)/24,"hh:mm")</f>
        <v>2:00:00</v>
      </c>
      <c r="AH367" s="4" t="str">
        <f aca="false">IF(AD367&gt;AG367,"Not Met","Met")</f>
        <v>Met</v>
      </c>
      <c r="AI367" s="4" t="e">
        <f aca="false">IF(AB367&lt;TIME(0,30,0),"Met","Not Met")</f>
        <v>#VALUE!</v>
      </c>
      <c r="AN367" s="1" t="str">
        <f aca="false">TEXT(B367,"dd")</f>
        <v>03</v>
      </c>
      <c r="AO367" s="1" t="str">
        <f aca="false">TEXT(X367,"dd")</f>
        <v>04</v>
      </c>
      <c r="AP367" s="16" t="str">
        <f aca="false">INT(
  NETWORKDAYS(B367,V367)-1
  + IF(WEEKDAY(V367,2)&lt;6,MOD(V367+W367,1),0)
  - IF(WEEKDAY(B367,2)&lt;6,MOD(B367+C367,1),0)
)
&amp; ":" &amp;
TEXT(HOUR(
  NETWORKDAYS(B367,V367)-1
  + IF(WEEKDAY(V367,2)&lt;6,MOD(V367+W367,1),0)
  - IF(WEEKDAY(B367,2)&lt;6,MOD(B367+C367,1),0)
),"00")
&amp; ":" &amp;
TEXT(MINUTE(
  NETWORKDAYS(B367,V367)-1
  + IF(WEEKDAY(V367,2)&lt;6,MOD(V367+W367,1),0)
  - IF(WEEKDAY(B367,2)&lt;6,MOD(B367+C367,1),0)
),"00")</f>
        <v>1:08:00</v>
      </c>
      <c r="AQ367" s="0" t="n">
        <f aca="false">IFERROR(
LEFT(AP367,FIND(":",AP367)-1)
+ MID(AP367,FIND(":",AP367)+1,2)/24
+ RIGHT(AP367,2)/1440,
"")</f>
        <v>1.33333333333333</v>
      </c>
      <c r="AR367" s="0" t="n">
        <f aca="false">WEEKNUM(B367,1)</f>
        <v>23</v>
      </c>
      <c r="AS367" s="17" t="n">
        <f aca="false">IF(B367&gt;0, (B367+C367)-TIME(13,30,0), "")</f>
        <v>46175.5256944444</v>
      </c>
      <c r="AT367" s="18" t="n">
        <f aca="false">IF(B367&gt;0, (B367+C367)-TIME(13,30,0), "")</f>
        <v>46175.5256944444</v>
      </c>
      <c r="AU367" s="17" t="n">
        <f aca="false">IF(V367&gt;0, (V367+W367)-TIME(13,30,0), "")</f>
        <v>46176.8590277778</v>
      </c>
      <c r="AV367" s="18" t="n">
        <f aca="false">IF(V367&gt;0, (V367+W367)-TIME(13,30,0), "")</f>
        <v>46176.8590277778</v>
      </c>
      <c r="AW367" s="19" t="n">
        <f aca="false">24*(
MAX(0,
IF(NETWORKDAYS(AS367,AU367)=1,
MIN(MOD(AV367,1),TIME(17,30,0)) - MAX(MOD(AT367,1),TIME(8,30,0)),
(TIME(17,30,0)-MAX(MOD(AT367,1),TIME(8,30,0)))
+ (MIN(MOD(AV367,1),TIME(17,30,0))-TIME(8,30,0))
+ (NETWORKDAYS(AS367,AU367)-2)*9/24
)
)
)</f>
        <v>13.8833333334186</v>
      </c>
      <c r="AX367" s="19" t="n">
        <f aca="false">24*(
MAX(0,
IF(NETWORKDAYS(AS367,AU367)=1,
MIN(MOD(AV367,1),TIME(17,30,0)) - MAX(MOD(AT367,1),TIME(8,30,0)),
(TIME(17,30,0)-MAX(MOD(AT367,1),TIME(8,30,0)))
+ (MIN(MOD(AV367,1),TIME(17,30,0))-TIME(8,30,0))
+ (NETWORKDAYS(AS367,AU367)-2)* (TIME(17,30,0)-TIME(8,30,0))
)
)
)</f>
        <v>13.8833333334186</v>
      </c>
      <c r="AY367" s="20" t="n">
        <f aca="false">ROUND(
IF(AS367=AU367,
MAX(0,
(MIN(MOD(AV367,1),TIME(17,30,0))-
MAX(MOD(AT367,1),TIME(8,30,0)))*24
),
(
(MAX(0,TIME(17,30,0)-MAX(MOD(AT367,1),TIME(8,30,0)))*24)
+
(MAX(0,MIN(MOD(AV367,1),TIME(17,30,0))-TIME(8,30,0))*24)
+
(MAX(0,NETWORKDAYS(AS367+1,AU367-1))*9)
)
),
2)</f>
        <v>13.88</v>
      </c>
      <c r="AZ367" s="0" t="n">
        <f aca="false" t="array" ref="AZ367:AZ367">_xlfn.XLOOKUP(J367,{"Low","Medium","High"},{270,72,24})</f>
        <v>270</v>
      </c>
      <c r="BA367" s="0" t="str">
        <f aca="false">IF(AW367&gt;AZ367,"Not Met","Met")</f>
        <v>Met</v>
      </c>
      <c r="BB367" s="21" t="str">
        <f aca="false">IF(AS367="","",TEXT(AS367,"MMM")&amp;"'"&amp;TEXT(AS367,"yy"))</f>
        <v>Jun'26</v>
      </c>
      <c r="BC367" s="0" t="str">
        <f aca="false">IF(AU367="","",TEXT(AU367,"MMM")&amp;"'"&amp;TEXT(AU367,"yy"))</f>
        <v>Jun'26</v>
      </c>
    </row>
    <row r="368" customFormat="false" ht="15" hidden="false" customHeight="false" outlineLevel="0" collapsed="false">
      <c r="A368" s="68" t="s">
        <v>1231</v>
      </c>
      <c r="B368" s="11" t="n">
        <v>46176</v>
      </c>
      <c r="C368" s="12" t="n">
        <v>0.184027777777778</v>
      </c>
      <c r="D368" s="13" t="str">
        <f aca="false">IF(B368="","",TEXT(B368,"MMM")&amp;"'"&amp;TEXT(B368,"yy"))</f>
        <v>Jun'26</v>
      </c>
      <c r="E368" s="1" t="s">
        <v>55</v>
      </c>
      <c r="F368" s="1" t="s">
        <v>39</v>
      </c>
      <c r="G368" s="1" t="str">
        <f aca="false">IF(F368="Closed","Closed","Pending")</f>
        <v>Closed</v>
      </c>
      <c r="H368" s="27" t="s">
        <v>81</v>
      </c>
      <c r="I368" s="1" t="s">
        <v>82</v>
      </c>
      <c r="J368" s="35" t="s">
        <v>74</v>
      </c>
      <c r="K368" s="1" t="s">
        <v>59</v>
      </c>
      <c r="L368" s="1" t="s">
        <v>1232</v>
      </c>
      <c r="M368" s="1" t="s">
        <v>1233</v>
      </c>
      <c r="N368" s="1" t="s">
        <v>65</v>
      </c>
      <c r="Q368" s="1" t="s">
        <v>65</v>
      </c>
      <c r="R368" s="1" t="s">
        <v>87</v>
      </c>
      <c r="U368" s="12" t="n">
        <v>0.915277777777778</v>
      </c>
      <c r="V368" s="11" t="n">
        <v>46176</v>
      </c>
      <c r="W368" s="12" t="n">
        <v>0.915277777777778</v>
      </c>
      <c r="X368" s="11" t="n">
        <v>46176</v>
      </c>
      <c r="Y368" s="12" t="n">
        <v>0.994444444444445</v>
      </c>
      <c r="Z368" s="1" t="s">
        <v>108</v>
      </c>
      <c r="AA368" s="1" t="s">
        <v>68</v>
      </c>
      <c r="AB368" s="2" t="e">
        <f aca="false">U368-F368</f>
        <v>#VALUE!</v>
      </c>
      <c r="AC368" s="14" t="n">
        <f aca="false">(V368+W368)-(B368+C368)</f>
        <v>0.73125</v>
      </c>
      <c r="AD368" s="4" t="str">
        <f aca="false">INT((V368+W368)-(B368+C368)) &amp; ":" &amp;
TEXT(HOUR((V368+W368)-(B368+C368)), "00") &amp; ":" &amp;
TEXT(MINUTE((V368+W368)-(B368+C368)), "00")</f>
        <v>0:17:33</v>
      </c>
      <c r="AE368" s="1" t="n">
        <f aca="false">IFERROR(
LEFT(AD368,FIND(":",AD368)-1)
+ MID(AD368,FIND(":",AD368)+1,2)/24
+ RIGHT(AD368,2)/1440,
"")</f>
        <v>0.73125</v>
      </c>
      <c r="AF368" s="4" t="str">
        <f aca="false">INT((X368+Y368)-(B368+C368)) &amp; ":" &amp;
TEXT(HOUR((X368+Y368)-(B368+C368)), "00") &amp; ":" &amp;
TEXT(MINUTE((X368+Y368)-(B368+C368)), "00")</f>
        <v>0:19:27</v>
      </c>
      <c r="AG368" s="4" t="str">
        <f aca="false" t="array" ref="AG368:AG368">INT(_xlfn.XLOOKUP(J368,{"Low","Medium","High","Urgent"},{48,24,12,8})/24) &amp; ":" &amp;
TEXT(MOD(_xlfn.XLOOKUP(J368,{"Low","Medium","High","Urgent"},{48,24,12,8}),24)/24,"hh:mm")</f>
        <v>2:00:00</v>
      </c>
      <c r="AH368" s="4" t="str">
        <f aca="false">IF(AD368&gt;AG368,"Not Met","Met")</f>
        <v>Met</v>
      </c>
      <c r="AI368" s="4" t="e">
        <f aca="false">IF(AB368&lt;TIME(0,30,0),"Met","Not Met")</f>
        <v>#VALUE!</v>
      </c>
      <c r="AN368" s="1" t="str">
        <f aca="false">TEXT(B368,"dd")</f>
        <v>03</v>
      </c>
      <c r="AO368" s="1" t="str">
        <f aca="false">TEXT(X368,"dd")</f>
        <v>03</v>
      </c>
      <c r="AP368" s="16" t="str">
        <f aca="false">INT(
  NETWORKDAYS(B368,V368)-1
  + IF(WEEKDAY(V368,2)&lt;6,MOD(V368+W368,1),0)
  - IF(WEEKDAY(B368,2)&lt;6,MOD(B368+C368,1),0)
)
&amp; ":" &amp;
TEXT(HOUR(
  NETWORKDAYS(B368,V368)-1
  + IF(WEEKDAY(V368,2)&lt;6,MOD(V368+W368,1),0)
  - IF(WEEKDAY(B368,2)&lt;6,MOD(B368+C368,1),0)
),"00")
&amp; ":" &amp;
TEXT(MINUTE(
  NETWORKDAYS(B368,V368)-1
  + IF(WEEKDAY(V368,2)&lt;6,MOD(V368+W368,1),0)
  - IF(WEEKDAY(B368,2)&lt;6,MOD(B368+C368,1),0)
),"00")</f>
        <v>0:17:32</v>
      </c>
      <c r="AQ368" s="0" t="n">
        <f aca="false">IFERROR(
LEFT(AP368,FIND(":",AP368)-1)
+ MID(AP368,FIND(":",AP368)+1,2)/24
+ RIGHT(AP368,2)/1440,
"")</f>
        <v>0.730555555555556</v>
      </c>
      <c r="AR368" s="0" t="n">
        <f aca="false">WEEKNUM(B368,1)</f>
        <v>23</v>
      </c>
      <c r="AS368" s="17" t="n">
        <f aca="false">IF(B368&gt;0, (B368+C368)-TIME(13,30,0), "")</f>
        <v>46175.6215277778</v>
      </c>
      <c r="AT368" s="18" t="n">
        <f aca="false">IF(B368&gt;0, (B368+C368)-TIME(13,30,0), "")</f>
        <v>46175.6215277778</v>
      </c>
      <c r="AU368" s="17" t="n">
        <f aca="false">IF(V368&gt;0, (V368+W368)-TIME(13,30,0), "")</f>
        <v>46176.3527777778</v>
      </c>
      <c r="AV368" s="18" t="n">
        <f aca="false">IF(V368&gt;0, (V368+W368)-TIME(13,30,0), "")</f>
        <v>46176.3527777778</v>
      </c>
      <c r="AW368" s="19" t="n">
        <f aca="false">24*(
MAX(0,
IF(NETWORKDAYS(AS368,AU368)=1,
MIN(MOD(AV368,1),TIME(17,30,0)) - MAX(MOD(AT368,1),TIME(8,30,0)),
(TIME(17,30,0)-MAX(MOD(AT368,1),TIME(8,30,0)))
+ (MIN(MOD(AV368,1),TIME(17,30,0))-TIME(8,30,0))
+ (NETWORKDAYS(AS368,AU368)-2)*9/24
)
)
)</f>
        <v>2.55</v>
      </c>
      <c r="AX368" s="19" t="n">
        <f aca="false">24*(
MAX(0,
IF(NETWORKDAYS(AS368,AU368)=1,
MIN(MOD(AV368,1),TIME(17,30,0)) - MAX(MOD(AT368,1),TIME(8,30,0)),
(TIME(17,30,0)-MAX(MOD(AT368,1),TIME(8,30,0)))
+ (MIN(MOD(AV368,1),TIME(17,30,0))-TIME(8,30,0))
+ (NETWORKDAYS(AS368,AU368)-2)* (TIME(17,30,0)-TIME(8,30,0))
)
)
)</f>
        <v>2.55</v>
      </c>
      <c r="AY368" s="20" t="n">
        <f aca="false">ROUND(
IF(AS368=AU368,
MAX(0,
(MIN(MOD(AV368,1),TIME(17,30,0))-
MAX(MOD(AT368,1),TIME(8,30,0)))*24
),
(
(MAX(0,TIME(17,30,0)-MAX(MOD(AT368,1),TIME(8,30,0)))*24)
+
(MAX(0,MIN(MOD(AV368,1),TIME(17,30,0))-TIME(8,30,0))*24)
+
(MAX(0,NETWORKDAYS(AS368+1,AU368-1))*9)
)
),
2)</f>
        <v>2.58</v>
      </c>
      <c r="AZ368" s="0" t="n">
        <f aca="false" t="array" ref="AZ368:AZ368">_xlfn.XLOOKUP(J368,{"Low","Medium","High"},{270,72,24})</f>
        <v>270</v>
      </c>
      <c r="BA368" s="0" t="str">
        <f aca="false">IF(AW368&gt;AZ368,"Not Met","Met")</f>
        <v>Met</v>
      </c>
      <c r="BB368" s="21" t="str">
        <f aca="false">IF(AS368="","",TEXT(AS368,"MMM")&amp;"'"&amp;TEXT(AS368,"yy"))</f>
        <v>Jun'26</v>
      </c>
      <c r="BC368" s="0" t="str">
        <f aca="false">IF(AU368="","",TEXT(AU368,"MMM")&amp;"'"&amp;TEXT(AU368,"yy"))</f>
        <v>Jun'26</v>
      </c>
    </row>
    <row r="369" customFormat="false" ht="15" hidden="false" customHeight="false" outlineLevel="0" collapsed="false">
      <c r="A369" s="68" t="s">
        <v>1234</v>
      </c>
      <c r="B369" s="11" t="n">
        <v>46176</v>
      </c>
      <c r="C369" s="12" t="n">
        <v>0.190277777777778</v>
      </c>
      <c r="D369" s="13" t="str">
        <f aca="false">IF(B369="","",TEXT(B369,"MMM")&amp;"'"&amp;TEXT(B369,"yy"))</f>
        <v>Jun'26</v>
      </c>
      <c r="E369" s="1" t="s">
        <v>55</v>
      </c>
      <c r="F369" s="1" t="s">
        <v>39</v>
      </c>
      <c r="G369" s="1" t="str">
        <f aca="false">IF(F369="Closed","Closed","Pending")</f>
        <v>Closed</v>
      </c>
      <c r="H369" s="58" t="s">
        <v>81</v>
      </c>
      <c r="I369" s="26" t="s">
        <v>82</v>
      </c>
      <c r="J369" s="40" t="s">
        <v>74</v>
      </c>
      <c r="K369" s="26" t="s">
        <v>59</v>
      </c>
      <c r="L369" s="26" t="s">
        <v>1235</v>
      </c>
      <c r="M369" s="1" t="s">
        <v>1233</v>
      </c>
      <c r="N369" s="1" t="s">
        <v>65</v>
      </c>
      <c r="O369" s="1" t="s">
        <v>77</v>
      </c>
      <c r="Q369" s="1" t="s">
        <v>65</v>
      </c>
      <c r="R369" s="1" t="s">
        <v>87</v>
      </c>
      <c r="U369" s="12" t="n">
        <v>0.917361111111111</v>
      </c>
      <c r="V369" s="11" t="n">
        <v>46189</v>
      </c>
      <c r="W369" s="12" t="n">
        <v>0.885416666666667</v>
      </c>
      <c r="X369" s="11" t="n">
        <v>46189</v>
      </c>
      <c r="Y369" s="12" t="n">
        <v>0.886805555555556</v>
      </c>
      <c r="Z369" s="1" t="s">
        <v>108</v>
      </c>
      <c r="AA369" s="1" t="s">
        <v>89</v>
      </c>
      <c r="AB369" s="2" t="e">
        <f aca="false">U369-F369</f>
        <v>#VALUE!</v>
      </c>
      <c r="AC369" s="14" t="n">
        <f aca="false">(V369+W369)-(B369+C369)</f>
        <v>13.6951388888889</v>
      </c>
      <c r="AD369" s="4" t="str">
        <f aca="false">INT((V369+W369)-(B369+C369)) &amp; ":" &amp;
TEXT(HOUR((V369+W369)-(B369+C369)), "00") &amp; ":" &amp;
TEXT(MINUTE((V369+W369)-(B369+C369)), "00")</f>
        <v>13:16:41</v>
      </c>
      <c r="AE369" s="1" t="n">
        <f aca="false">IFERROR(
LEFT(AD369,FIND(":",AD369)-1)
+ MID(AD369,FIND(":",AD369)+1,2)/24
+ RIGHT(AD369,2)/1440,
"")</f>
        <v>13.6951388888889</v>
      </c>
      <c r="AF369" s="4" t="str">
        <f aca="false">INT((X369+Y369)-(B369+C369)) &amp; ":" &amp;
TEXT(HOUR((X369+Y369)-(B369+C369)), "00") &amp; ":" &amp;
TEXT(MINUTE((X369+Y369)-(B369+C369)), "00")</f>
        <v>13:16:43</v>
      </c>
      <c r="AG369" s="4" t="str">
        <f aca="false" t="array" ref="AG369:AG369">INT(_xlfn.XLOOKUP(J369,{"Low","Medium","High","Urgent"},{48,24,12,8})/24) &amp; ":" &amp;
TEXT(MOD(_xlfn.XLOOKUP(J369,{"Low","Medium","High","Urgent"},{48,24,12,8}),24)/24,"hh:mm")</f>
        <v>2:00:00</v>
      </c>
      <c r="AH369" s="4" t="str">
        <f aca="false">IF(AD369&gt;AG369,"Not Met","Met")</f>
        <v>Met</v>
      </c>
      <c r="AI369" s="4" t="e">
        <f aca="false">IF(AB369&lt;TIME(0,30,0),"Met","Not Met")</f>
        <v>#VALUE!</v>
      </c>
      <c r="AJ369" s="11" t="n">
        <v>46177.88125</v>
      </c>
      <c r="AN369" s="1" t="str">
        <f aca="false">TEXT(B369,"dd")</f>
        <v>03</v>
      </c>
      <c r="AO369" s="1" t="str">
        <f aca="false">TEXT(X369,"dd")</f>
        <v>16</v>
      </c>
      <c r="AP369" s="16" t="str">
        <f aca="false">INT(
  NETWORKDAYS(B369,V369)-1
  + IF(WEEKDAY(V369,2)&lt;6,MOD(V369+W369,1),0)
  - IF(WEEKDAY(B369,2)&lt;6,MOD(B369+C369,1),0)
)
&amp; ":" &amp;
TEXT(HOUR(
  NETWORKDAYS(B369,V369)-1
  + IF(WEEKDAY(V369,2)&lt;6,MOD(V369+W369,1),0)
  - IF(WEEKDAY(B369,2)&lt;6,MOD(B369+C369,1),0)
),"00")
&amp; ":" &amp;
TEXT(MINUTE(
  NETWORKDAYS(B369,V369)-1
  + IF(WEEKDAY(V369,2)&lt;6,MOD(V369+W369,1),0)
  - IF(WEEKDAY(B369,2)&lt;6,MOD(B369+C369,1),0)
),"00")</f>
        <v>9:16:40</v>
      </c>
      <c r="AQ369" s="0" t="n">
        <f aca="false">IFERROR(
LEFT(AP369,FIND(":",AP369)-1)
+ MID(AP369,FIND(":",AP369)+1,2)/24
+ RIGHT(AP369,2)/1440,
"")</f>
        <v>9.69444444444445</v>
      </c>
      <c r="AR369" s="0" t="n">
        <f aca="false">WEEKNUM(B369,1)</f>
        <v>23</v>
      </c>
      <c r="AS369" s="17" t="n">
        <f aca="false">IF(B369&gt;0, (B369+C369)-TIME(13,30,0), "")</f>
        <v>46175.6277777778</v>
      </c>
      <c r="AT369" s="18" t="n">
        <f aca="false">IF(B369&gt;0, (B369+C369)-TIME(13,30,0), "")</f>
        <v>46175.6277777778</v>
      </c>
      <c r="AU369" s="17" t="n">
        <f aca="false">IF(V369&gt;0, (V369+W369)-TIME(13,30,0), "")</f>
        <v>46189.3229166667</v>
      </c>
      <c r="AV369" s="18" t="n">
        <f aca="false">IF(V369&gt;0, (V369+W369)-TIME(13,30,0), "")</f>
        <v>46189.3229166667</v>
      </c>
      <c r="AW369" s="19" t="n">
        <f aca="false">24*(
MAX(0,
IF(NETWORKDAYS(AS369,AU369)=1,
MIN(MOD(AV369,1),TIME(17,30,0)) - MAX(MOD(AT369,1),TIME(8,30,0)),
(TIME(17,30,0)-MAX(MOD(AT369,1),TIME(8,30,0)))
+ (MIN(MOD(AV369,1),TIME(17,30,0))-TIME(8,30,0))
+ (NETWORKDAYS(AS369,AU369)-2)*9/24
)
)
)</f>
        <v>82.6833333333333</v>
      </c>
      <c r="AX369" s="19" t="n">
        <f aca="false">24*(
MAX(0,
IF(NETWORKDAYS(AS369,AU369)=1,
MIN(MOD(AV369,1),TIME(17,30,0)) - MAX(MOD(AT369,1),TIME(8,30,0)),
(TIME(17,30,0)-MAX(MOD(AT369,1),TIME(8,30,0)))
+ (MIN(MOD(AV369,1),TIME(17,30,0))-TIME(8,30,0))
+ (NETWORKDAYS(AS369,AU369)-2)* (TIME(17,30,0)-TIME(8,30,0))
)
)
)</f>
        <v>82.6833333333333</v>
      </c>
      <c r="AY369" s="20" t="n">
        <f aca="false">ROUND(
IF(AS369=AU369,
MAX(0,
(MIN(MOD(AV369,1),TIME(17,30,0))-
MAX(MOD(AT369,1),TIME(8,30,0)))*24
),
(
(MAX(0,TIME(17,30,0)-MAX(MOD(AT369,1),TIME(8,30,0)))*24)
+
(MAX(0,MIN(MOD(AV369,1),TIME(17,30,0))-TIME(8,30,0))*24)
+
(MAX(0,NETWORKDAYS(AS369+1,AU369-1))*9)
)
),
2)</f>
        <v>83.43</v>
      </c>
      <c r="AZ369" s="0" t="n">
        <f aca="false" t="array" ref="AZ369:AZ369">_xlfn.XLOOKUP(J369,{"Low","Medium","High"},{270,72,24})</f>
        <v>270</v>
      </c>
      <c r="BA369" s="0" t="str">
        <f aca="false">IF(AW369&gt;AZ369,"Not Met","Met")</f>
        <v>Met</v>
      </c>
      <c r="BB369" s="21" t="str">
        <f aca="false">IF(AS369="","",TEXT(AS369,"MMM")&amp;"'"&amp;TEXT(AS369,"yy"))</f>
        <v>Jun'26</v>
      </c>
      <c r="BC369" s="0" t="str">
        <f aca="false">IF(AU369="","",TEXT(AU369,"MMM")&amp;"'"&amp;TEXT(AU369,"yy"))</f>
        <v>Jun'26</v>
      </c>
    </row>
    <row r="370" customFormat="false" ht="15" hidden="false" customHeight="false" outlineLevel="0" collapsed="false">
      <c r="A370" s="1" t="s">
        <v>1236</v>
      </c>
      <c r="B370" s="11" t="n">
        <v>46176</v>
      </c>
      <c r="C370" s="12" t="n">
        <v>0.938888888888889</v>
      </c>
      <c r="D370" s="13" t="str">
        <f aca="false">IF(B370="","",TEXT(B370,"MMM")&amp;"'"&amp;TEXT(B370,"yy"))</f>
        <v>Jun'26</v>
      </c>
      <c r="E370" s="1" t="s">
        <v>55</v>
      </c>
      <c r="F370" s="1" t="s">
        <v>39</v>
      </c>
      <c r="G370" s="1" t="str">
        <f aca="false">IF(F370="Closed","Closed","Pending")</f>
        <v>Closed</v>
      </c>
      <c r="H370" s="27" t="s">
        <v>120</v>
      </c>
      <c r="I370" s="1" t="s">
        <v>349</v>
      </c>
      <c r="J370" s="1" t="s">
        <v>74</v>
      </c>
      <c r="K370" s="1" t="s">
        <v>59</v>
      </c>
      <c r="L370" s="35" t="s">
        <v>1237</v>
      </c>
      <c r="M370" s="35" t="s">
        <v>1238</v>
      </c>
      <c r="N370" s="1" t="s">
        <v>65</v>
      </c>
      <c r="O370" s="1" t="s">
        <v>106</v>
      </c>
      <c r="Q370" s="1" t="s">
        <v>65</v>
      </c>
      <c r="R370" s="1" t="s">
        <v>87</v>
      </c>
      <c r="U370" s="12" t="n">
        <v>0.954166666666667</v>
      </c>
      <c r="V370" s="11" t="n">
        <v>46177</v>
      </c>
      <c r="W370" s="12" t="n">
        <v>0.890277777777778</v>
      </c>
      <c r="X370" s="11" t="n">
        <v>46179</v>
      </c>
      <c r="Y370" s="12" t="n">
        <v>0.0361111111111111</v>
      </c>
      <c r="Z370" s="1" t="s">
        <v>108</v>
      </c>
      <c r="AA370" s="1" t="s">
        <v>68</v>
      </c>
      <c r="AB370" s="2" t="e">
        <f aca="false">U370-F370</f>
        <v>#VALUE!</v>
      </c>
      <c r="AC370" s="14" t="n">
        <f aca="false">(V370+W370)-(B370+C370)</f>
        <v>0.951388888888889</v>
      </c>
      <c r="AD370" s="4" t="str">
        <f aca="false">INT((V370+W370)-(B370+C370)) &amp; ":" &amp;
TEXT(HOUR((V370+W370)-(B370+C370)), "00") &amp; ":" &amp;
TEXT(MINUTE((V370+W370)-(B370+C370)), "00")</f>
        <v>0:22:50</v>
      </c>
      <c r="AE370" s="1" t="n">
        <f aca="false">IFERROR(
LEFT(AD370,FIND(":",AD370)-1)
+ MID(AD370,FIND(":",AD370)+1,2)/24
+ RIGHT(AD370,2)/1440,
"")</f>
        <v>0.951388888888889</v>
      </c>
      <c r="AF370" s="4" t="str">
        <f aca="false">INT((X370+Y370)-(B370+C370)) &amp; ":" &amp;
TEXT(HOUR((X370+Y370)-(B370+C370)), "00") &amp; ":" &amp;
TEXT(MINUTE((X370+Y370)-(B370+C370)), "00")</f>
        <v>2:02:20</v>
      </c>
      <c r="AG370" s="4" t="str">
        <f aca="false" t="array" ref="AG370:AG370">INT(_xlfn.XLOOKUP(J370,{"Low","Medium","High","Urgent"},{48,24,12,8})/24) &amp; ":" &amp;
TEXT(MOD(_xlfn.XLOOKUP(J370,{"Low","Medium","High","Urgent"},{48,24,12,8}),24)/24,"hh:mm")</f>
        <v>2:00:00</v>
      </c>
      <c r="AH370" s="4" t="str">
        <f aca="false">IF(AD370&gt;AG370,"Not Met","Met")</f>
        <v>Met</v>
      </c>
      <c r="AI370" s="4" t="e">
        <f aca="false">IF(AB370&lt;TIME(0,30,0),"Met","Not Met")</f>
        <v>#VALUE!</v>
      </c>
      <c r="AN370" s="1" t="str">
        <f aca="false">TEXT(B370,"dd")</f>
        <v>03</v>
      </c>
      <c r="AO370" s="1" t="str">
        <f aca="false">TEXT(X370,"dd")</f>
        <v>06</v>
      </c>
      <c r="AP370" s="16" t="str">
        <f aca="false">INT(
  NETWORKDAYS(B370,V370)-1
  + IF(WEEKDAY(V370,2)&lt;6,MOD(V370+W370,1),0)
  - IF(WEEKDAY(B370,2)&lt;6,MOD(B370+C370,1),0)
)
&amp; ":" &amp;
TEXT(HOUR(
  NETWORKDAYS(B370,V370)-1
  + IF(WEEKDAY(V370,2)&lt;6,MOD(V370+W370,1),0)
  - IF(WEEKDAY(B370,2)&lt;6,MOD(B370+C370,1),0)
),"00")
&amp; ":" &amp;
TEXT(MINUTE(
  NETWORKDAYS(B370,V370)-1
  + IF(WEEKDAY(V370,2)&lt;6,MOD(V370+W370,1),0)
  - IF(WEEKDAY(B370,2)&lt;6,MOD(B370+C370,1),0)
),"00")</f>
        <v>0:22:50</v>
      </c>
      <c r="AQ370" s="0" t="n">
        <f aca="false">IFERROR(
LEFT(AP370,FIND(":",AP370)-1)
+ MID(AP370,FIND(":",AP370)+1,2)/24
+ RIGHT(AP370,2)/1440,
"")</f>
        <v>0.951388888888889</v>
      </c>
      <c r="AR370" s="0" t="n">
        <f aca="false">WEEKNUM(B370,1)</f>
        <v>23</v>
      </c>
      <c r="AS370" s="17" t="n">
        <f aca="false">IF(B370&gt;0, (B370+C370)-TIME(13,30,0), "")</f>
        <v>46176.3763888889</v>
      </c>
      <c r="AT370" s="18" t="n">
        <f aca="false">IF(B370&gt;0, (B370+C370)-TIME(13,30,0), "")</f>
        <v>46176.3763888889</v>
      </c>
      <c r="AU370" s="17" t="n">
        <f aca="false">IF(V370&gt;0, (V370+W370)-TIME(13,30,0), "")</f>
        <v>46177.3277777778</v>
      </c>
      <c r="AV370" s="18" t="n">
        <f aca="false">IF(V370&gt;0, (V370+W370)-TIME(13,30,0), "")</f>
        <v>46177.3277777778</v>
      </c>
      <c r="AW370" s="19" t="n">
        <f aca="false">24*(
MAX(0,
IF(NETWORKDAYS(AS370,AU370)=1,
MIN(MOD(AV370,1),TIME(17,30,0)) - MAX(MOD(AT370,1),TIME(8,30,0)),
(TIME(17,30,0)-MAX(MOD(AT370,1),TIME(8,30,0)))
+ (MIN(MOD(AV370,1),TIME(17,30,0))-TIME(8,30,0))
+ (NETWORKDAYS(AS370,AU370)-2)*9/24
)
)
)</f>
        <v>7.83333333333333</v>
      </c>
      <c r="AX370" s="19" t="n">
        <f aca="false">24*(
MAX(0,
IF(NETWORKDAYS(AS370,AU370)=1,
MIN(MOD(AV370,1),TIME(17,30,0)) - MAX(MOD(AT370,1),TIME(8,30,0)),
(TIME(17,30,0)-MAX(MOD(AT370,1),TIME(8,30,0)))
+ (MIN(MOD(AV370,1),TIME(17,30,0))-TIME(8,30,0))
+ (NETWORKDAYS(AS370,AU370)-2)* (TIME(17,30,0)-TIME(8,30,0))
)
)
)</f>
        <v>7.83333333333333</v>
      </c>
      <c r="AY370" s="20" t="n">
        <f aca="false">ROUND(
IF(AS370=AU370,
MAX(0,
(MIN(MOD(AV370,1),TIME(17,30,0))-
MAX(MOD(AT370,1),TIME(8,30,0)))*24
),
(
(MAX(0,TIME(17,30,0)-MAX(MOD(AT370,1),TIME(8,30,0)))*24)
+
(MAX(0,MIN(MOD(AV370,1),TIME(17,30,0))-TIME(8,30,0))*24)
+
(MAX(0,NETWORKDAYS(AS370+1,AU370-1))*9)
)
),
2)</f>
        <v>8.47</v>
      </c>
      <c r="AZ370" s="0" t="n">
        <f aca="false" t="array" ref="AZ370:AZ370">_xlfn.XLOOKUP(J370,{"Low","Medium","High"},{270,72,24})</f>
        <v>270</v>
      </c>
      <c r="BA370" s="0" t="str">
        <f aca="false">IF(AW370&gt;AZ370,"Not Met","Met")</f>
        <v>Met</v>
      </c>
      <c r="BB370" s="21" t="str">
        <f aca="false">IF(AS370="","",TEXT(AS370,"MMM")&amp;"'"&amp;TEXT(AS370,"yy"))</f>
        <v>Jun'26</v>
      </c>
      <c r="BC370" s="0" t="str">
        <f aca="false">IF(AU370="","",TEXT(AU370,"MMM")&amp;"'"&amp;TEXT(AU370,"yy"))</f>
        <v>Jun'26</v>
      </c>
    </row>
    <row r="371" customFormat="false" ht="15" hidden="false" customHeight="false" outlineLevel="0" collapsed="false">
      <c r="A371" s="1" t="s">
        <v>1239</v>
      </c>
      <c r="B371" s="11" t="n">
        <v>46176</v>
      </c>
      <c r="C371" s="12" t="n">
        <v>0.9625</v>
      </c>
      <c r="D371" s="13" t="str">
        <f aca="false">IF(B371="","",TEXT(B371,"MMM")&amp;"'"&amp;TEXT(B371,"yy"))</f>
        <v>Jun'26</v>
      </c>
      <c r="E371" s="1" t="s">
        <v>55</v>
      </c>
      <c r="F371" s="1" t="s">
        <v>39</v>
      </c>
      <c r="G371" s="1" t="str">
        <f aca="false">IF(F371="Closed","Closed","Pending")</f>
        <v>Closed</v>
      </c>
      <c r="H371" s="27" t="s">
        <v>56</v>
      </c>
      <c r="I371" s="1" t="s">
        <v>386</v>
      </c>
      <c r="J371" s="1" t="s">
        <v>74</v>
      </c>
      <c r="K371" s="1" t="s">
        <v>59</v>
      </c>
      <c r="L371" s="35" t="s">
        <v>1240</v>
      </c>
      <c r="M371" s="35" t="s">
        <v>650</v>
      </c>
      <c r="N371" s="1" t="s">
        <v>65</v>
      </c>
      <c r="O371" s="1" t="s">
        <v>106</v>
      </c>
      <c r="Q371" s="1" t="s">
        <v>65</v>
      </c>
      <c r="R371" s="1" t="s">
        <v>87</v>
      </c>
      <c r="U371" s="25" t="n">
        <v>46177.0215277778</v>
      </c>
      <c r="V371" s="11" t="n">
        <v>46177</v>
      </c>
      <c r="W371" s="12" t="n">
        <v>0.891666666666667</v>
      </c>
      <c r="X371" s="11" t="n">
        <v>46189</v>
      </c>
      <c r="Y371" s="12" t="n">
        <v>0.86875</v>
      </c>
      <c r="Z371" s="1" t="s">
        <v>67</v>
      </c>
      <c r="AA371" s="1" t="s">
        <v>68</v>
      </c>
      <c r="AB371" s="2" t="n">
        <v>0.0590277777777778</v>
      </c>
      <c r="AC371" s="14" t="n">
        <f aca="false">(V371+W371)-(B371+C371)</f>
        <v>0.929166666666667</v>
      </c>
      <c r="AD371" s="4" t="str">
        <f aca="false">INT((V371+W371)-(B371+C371)) &amp; ":" &amp;
TEXT(HOUR((V371+W371)-(B371+C371)), "00") &amp; ":" &amp;
TEXT(MINUTE((V371+W371)-(B371+C371)), "00")</f>
        <v>0:22:18</v>
      </c>
      <c r="AE371" s="1" t="n">
        <f aca="false">IFERROR(
LEFT(AD371,FIND(":",AD371)-1)
+ MID(AD371,FIND(":",AD371)+1,2)/24
+ RIGHT(AD371,2)/1440,
"")</f>
        <v>0.929166666666667</v>
      </c>
      <c r="AF371" s="4" t="str">
        <f aca="false">INT((X371+Y371)-(B371+C371)) &amp; ":" &amp;
TEXT(HOUR((X371+Y371)-(B371+C371)), "00") &amp; ":" &amp;
TEXT(MINUTE((X371+Y371)-(B371+C371)), "00")</f>
        <v>12:21:45</v>
      </c>
      <c r="AG371" s="4" t="str">
        <f aca="false" t="array" ref="AG371:AG371">INT(_xlfn.XLOOKUP(J371,{"Low","Medium","High","Urgent"},{48,24,12,8})/24) &amp; ":" &amp;
TEXT(MOD(_xlfn.XLOOKUP(J371,{"Low","Medium","High","Urgent"},{48,24,12,8}),24)/24,"hh:mm")</f>
        <v>2:00:00</v>
      </c>
      <c r="AH371" s="4" t="str">
        <f aca="false">IF(AD371&gt;AG371,"Not Met","Met")</f>
        <v>Met</v>
      </c>
      <c r="AI371" s="4" t="str">
        <f aca="false">IF(AB371&lt;TIME(0,30,0),"Met","Not Met")</f>
        <v>Not Met</v>
      </c>
      <c r="AN371" s="1" t="str">
        <f aca="false">TEXT(B371,"dd")</f>
        <v>03</v>
      </c>
      <c r="AO371" s="1" t="str">
        <f aca="false">TEXT(X371,"dd")</f>
        <v>16</v>
      </c>
      <c r="AP371" s="16" t="str">
        <f aca="false">INT(
  NETWORKDAYS(B371,V371)-1
  + IF(WEEKDAY(V371,2)&lt;6,MOD(V371+W371,1),0)
  - IF(WEEKDAY(B371,2)&lt;6,MOD(B371+C371,1),0)
)
&amp; ":" &amp;
TEXT(HOUR(
  NETWORKDAYS(B371,V371)-1
  + IF(WEEKDAY(V371,2)&lt;6,MOD(V371+W371,1),0)
  - IF(WEEKDAY(B371,2)&lt;6,MOD(B371+C371,1),0)
),"00")
&amp; ":" &amp;
TEXT(MINUTE(
  NETWORKDAYS(B371,V371)-1
  + IF(WEEKDAY(V371,2)&lt;6,MOD(V371+W371,1),0)
  - IF(WEEKDAY(B371,2)&lt;6,MOD(B371+C371,1),0)
),"00")</f>
        <v>0:22:18</v>
      </c>
      <c r="AQ371" s="0" t="n">
        <f aca="false">IFERROR(
LEFT(AP371,FIND(":",AP371)-1)
+ MID(AP371,FIND(":",AP371)+1,2)/24
+ RIGHT(AP371,2)/1440,
"")</f>
        <v>0.929166666666667</v>
      </c>
      <c r="AR371" s="0" t="n">
        <f aca="false">WEEKNUM(B371,1)</f>
        <v>23</v>
      </c>
      <c r="AS371" s="17" t="n">
        <f aca="false">IF(B371&gt;0, (B371+C371)-TIME(13,30,0), "")</f>
        <v>46176.4</v>
      </c>
      <c r="AT371" s="18" t="n">
        <f aca="false">IF(B371&gt;0, (B371+C371)-TIME(13,30,0), "")</f>
        <v>46176.4</v>
      </c>
      <c r="AU371" s="17" t="n">
        <f aca="false">IF(V371&gt;0, (V371+W371)-TIME(13,30,0), "")</f>
        <v>46177.3291666667</v>
      </c>
      <c r="AV371" s="18" t="n">
        <f aca="false">IF(V371&gt;0, (V371+W371)-TIME(13,30,0), "")</f>
        <v>46177.3291666667</v>
      </c>
      <c r="AW371" s="19" t="n">
        <f aca="false">24*(
MAX(0,
IF(NETWORKDAYS(AS371,AU371)=1,
MIN(MOD(AV371,1),TIME(17,30,0)) - MAX(MOD(AT371,1),TIME(8,30,0)),
(TIME(17,30,0)-MAX(MOD(AT371,1),TIME(8,30,0)))
+ (MIN(MOD(AV371,1),TIME(17,30,0))-TIME(8,30,0))
+ (NETWORKDAYS(AS371,AU371)-2)*9/24
)
)
)</f>
        <v>7.3</v>
      </c>
      <c r="AX371" s="19" t="n">
        <f aca="false">24*(
MAX(0,
IF(NETWORKDAYS(AS371,AU371)=1,
MIN(MOD(AV371,1),TIME(17,30,0)) - MAX(MOD(AT371,1),TIME(8,30,0)),
(TIME(17,30,0)-MAX(MOD(AT371,1),TIME(8,30,0)))
+ (MIN(MOD(AV371,1),TIME(17,30,0))-TIME(8,30,0))
+ (NETWORKDAYS(AS371,AU371)-2)* (TIME(17,30,0)-TIME(8,30,0))
)
)
)</f>
        <v>7.3</v>
      </c>
      <c r="AY371" s="20" t="n">
        <f aca="false">ROUND(
IF(AS371=AU371,
MAX(0,
(MIN(MOD(AV371,1),TIME(17,30,0))-
MAX(MOD(AT371,1),TIME(8,30,0)))*24
),
(
(MAX(0,TIME(17,30,0)-MAX(MOD(AT371,1),TIME(8,30,0)))*24)
+
(MAX(0,MIN(MOD(AV371,1),TIME(17,30,0))-TIME(8,30,0))*24)
+
(MAX(0,NETWORKDAYS(AS371+1,AU371-1))*9)
)
),
2)</f>
        <v>7.9</v>
      </c>
      <c r="AZ371" s="0" t="n">
        <f aca="false" t="array" ref="AZ371:AZ371">_xlfn.XLOOKUP(J371,{"Low","Medium","High"},{270,72,24})</f>
        <v>270</v>
      </c>
      <c r="BA371" s="0" t="str">
        <f aca="false">IF(AW371&gt;AZ371,"Not Met","Met")</f>
        <v>Met</v>
      </c>
      <c r="BB371" s="21" t="str">
        <f aca="false">IF(AS371="","",TEXT(AS371,"MMM")&amp;"'"&amp;TEXT(AS371,"yy"))</f>
        <v>Jun'26</v>
      </c>
      <c r="BC371" s="0" t="str">
        <f aca="false">IF(AU371="","",TEXT(AU371,"MMM")&amp;"'"&amp;TEXT(AU371,"yy"))</f>
        <v>Jun'26</v>
      </c>
    </row>
    <row r="372" customFormat="false" ht="15" hidden="false" customHeight="false" outlineLevel="0" collapsed="false">
      <c r="A372" s="1" t="s">
        <v>1241</v>
      </c>
      <c r="B372" s="11" t="n">
        <v>46176</v>
      </c>
      <c r="C372" s="12" t="n">
        <v>0.98125</v>
      </c>
      <c r="D372" s="13" t="str">
        <f aca="false">IF(B372="","",TEXT(B372,"MMM")&amp;"'"&amp;TEXT(B372,"yy"))</f>
        <v>Jun'26</v>
      </c>
      <c r="E372" s="1" t="s">
        <v>55</v>
      </c>
      <c r="F372" s="1" t="s">
        <v>39</v>
      </c>
      <c r="G372" s="1" t="str">
        <f aca="false">IF(F372="Closed","Closed","Pending")</f>
        <v>Closed</v>
      </c>
      <c r="H372" s="27" t="s">
        <v>56</v>
      </c>
      <c r="I372" s="1" t="s">
        <v>386</v>
      </c>
      <c r="J372" s="1" t="s">
        <v>74</v>
      </c>
      <c r="K372" s="1" t="s">
        <v>59</v>
      </c>
      <c r="L372" s="35" t="s">
        <v>1242</v>
      </c>
      <c r="M372" s="35" t="s">
        <v>650</v>
      </c>
      <c r="N372" s="1" t="s">
        <v>65</v>
      </c>
      <c r="O372" s="1" t="s">
        <v>106</v>
      </c>
      <c r="Q372" s="1" t="s">
        <v>65</v>
      </c>
      <c r="R372" s="1" t="s">
        <v>87</v>
      </c>
      <c r="U372" s="25" t="n">
        <v>46177.0215277778</v>
      </c>
      <c r="V372" s="11" t="n">
        <v>46177</v>
      </c>
      <c r="W372" s="12" t="n">
        <v>0.897916666666667</v>
      </c>
      <c r="X372" s="11" t="n">
        <v>46179</v>
      </c>
      <c r="Y372" s="12" t="n">
        <v>0.0444444444444444</v>
      </c>
      <c r="Z372" s="1" t="s">
        <v>67</v>
      </c>
      <c r="AA372" s="1" t="s">
        <v>68</v>
      </c>
      <c r="AB372" s="2" t="n">
        <v>0.0402777777777778</v>
      </c>
      <c r="AC372" s="14" t="n">
        <f aca="false">(V372+W372)-(B372+C372)</f>
        <v>0.916666666666667</v>
      </c>
      <c r="AD372" s="4" t="str">
        <f aca="false">INT((V372+W372)-(B372+C372)) &amp; ":" &amp;
TEXT(HOUR((V372+W372)-(B372+C372)), "00") &amp; ":" &amp;
TEXT(MINUTE((V372+W372)-(B372+C372)), "00")</f>
        <v>0:22:00</v>
      </c>
      <c r="AE372" s="1" t="n">
        <f aca="false">IFERROR(
LEFT(AD372,FIND(":",AD372)-1)
+ MID(AD372,FIND(":",AD372)+1,2)/24
+ RIGHT(AD372,2)/1440,
"")</f>
        <v>0.916666666666667</v>
      </c>
      <c r="AF372" s="4" t="str">
        <f aca="false">INT((X372+Y372)-(B372+C372)) &amp; ":" &amp;
TEXT(HOUR((X372+Y372)-(B372+C372)), "00") &amp; ":" &amp;
TEXT(MINUTE((X372+Y372)-(B372+C372)), "00")</f>
        <v>2:01:31</v>
      </c>
      <c r="AG372" s="4" t="str">
        <f aca="false" t="array" ref="AG372:AG372">INT(_xlfn.XLOOKUP(J372,{"Low","Medium","High","Urgent"},{48,24,12,8})/24) &amp; ":" &amp;
TEXT(MOD(_xlfn.XLOOKUP(J372,{"Low","Medium","High","Urgent"},{48,24,12,8}),24)/24,"hh:mm")</f>
        <v>2:00:00</v>
      </c>
      <c r="AH372" s="4" t="str">
        <f aca="false">IF(AD372&gt;AG372,"Not Met","Met")</f>
        <v>Met</v>
      </c>
      <c r="AI372" s="4" t="str">
        <f aca="false">IF(AB372&lt;TIME(0,30,0),"Met","Not Met")</f>
        <v>Not Met</v>
      </c>
      <c r="AN372" s="1" t="str">
        <f aca="false">TEXT(B372,"dd")</f>
        <v>03</v>
      </c>
      <c r="AO372" s="1" t="str">
        <f aca="false">TEXT(X372,"dd")</f>
        <v>06</v>
      </c>
      <c r="AP372" s="16" t="str">
        <f aca="false">INT(
  NETWORKDAYS(B372,V372)-1
  + IF(WEEKDAY(V372,2)&lt;6,MOD(V372+W372,1),0)
  - IF(WEEKDAY(B372,2)&lt;6,MOD(B372+C372,1),0)
)
&amp; ":" &amp;
TEXT(HOUR(
  NETWORKDAYS(B372,V372)-1
  + IF(WEEKDAY(V372,2)&lt;6,MOD(V372+W372,1),0)
  - IF(WEEKDAY(B372,2)&lt;6,MOD(B372+C372,1),0)
),"00")
&amp; ":" &amp;
TEXT(MINUTE(
  NETWORKDAYS(B372,V372)-1
  + IF(WEEKDAY(V372,2)&lt;6,MOD(V372+W372,1),0)
  - IF(WEEKDAY(B372,2)&lt;6,MOD(B372+C372,1),0)
),"00")</f>
        <v>0:22:00</v>
      </c>
      <c r="AQ372" s="0" t="n">
        <f aca="false">IFERROR(
LEFT(AP372,FIND(":",AP372)-1)
+ MID(AP372,FIND(":",AP372)+1,2)/24
+ RIGHT(AP372,2)/1440,
"")</f>
        <v>0.916666666666667</v>
      </c>
      <c r="AR372" s="0" t="n">
        <f aca="false">WEEKNUM(B372,1)</f>
        <v>23</v>
      </c>
      <c r="AS372" s="17" t="n">
        <f aca="false">IF(B372&gt;0, (B372+C372)-TIME(13,30,0), "")</f>
        <v>46176.41875</v>
      </c>
      <c r="AT372" s="18" t="n">
        <f aca="false">IF(B372&gt;0, (B372+C372)-TIME(13,30,0), "")</f>
        <v>46176.41875</v>
      </c>
      <c r="AU372" s="17" t="n">
        <f aca="false">IF(V372&gt;0, (V372+W372)-TIME(13,30,0), "")</f>
        <v>46177.3354166667</v>
      </c>
      <c r="AV372" s="18" t="n">
        <f aca="false">IF(V372&gt;0, (V372+W372)-TIME(13,30,0), "")</f>
        <v>46177.3354166667</v>
      </c>
      <c r="AW372" s="19" t="n">
        <f aca="false">24*(
MAX(0,
IF(NETWORKDAYS(AS372,AU372)=1,
MIN(MOD(AV372,1),TIME(17,30,0)) - MAX(MOD(AT372,1),TIME(8,30,0)),
(TIME(17,30,0)-MAX(MOD(AT372,1),TIME(8,30,0)))
+ (MIN(MOD(AV372,1),TIME(17,30,0))-TIME(8,30,0))
+ (NETWORKDAYS(AS372,AU372)-2)*9/24
)
)
)</f>
        <v>7</v>
      </c>
      <c r="AX372" s="19" t="n">
        <f aca="false">24*(
MAX(0,
IF(NETWORKDAYS(AS372,AU372)=1,
MIN(MOD(AV372,1),TIME(17,30,0)) - MAX(MOD(AT372,1),TIME(8,30,0)),
(TIME(17,30,0)-MAX(MOD(AT372,1),TIME(8,30,0)))
+ (MIN(MOD(AV372,1),TIME(17,30,0))-TIME(8,30,0))
+ (NETWORKDAYS(AS372,AU372)-2)* (TIME(17,30,0)-TIME(8,30,0))
)
)
)</f>
        <v>7</v>
      </c>
      <c r="AY372" s="20" t="n">
        <f aca="false">ROUND(
IF(AS372=AU372,
MAX(0,
(MIN(MOD(AV372,1),TIME(17,30,0))-
MAX(MOD(AT372,1),TIME(8,30,0)))*24
),
(
(MAX(0,TIME(17,30,0)-MAX(MOD(AT372,1),TIME(8,30,0)))*24)
+
(MAX(0,MIN(MOD(AV372,1),TIME(17,30,0))-TIME(8,30,0))*24)
+
(MAX(0,NETWORKDAYS(AS372+1,AU372-1))*9)
)
),
2)</f>
        <v>7.45</v>
      </c>
      <c r="AZ372" s="0" t="n">
        <f aca="false" t="array" ref="AZ372:AZ372">_xlfn.XLOOKUP(J372,{"Low","Medium","High"},{270,72,24})</f>
        <v>270</v>
      </c>
      <c r="BA372" s="0" t="str">
        <f aca="false">IF(AW372&gt;AZ372,"Not Met","Met")</f>
        <v>Met</v>
      </c>
      <c r="BB372" s="21" t="str">
        <f aca="false">IF(AS372="","",TEXT(AS372,"MMM")&amp;"'"&amp;TEXT(AS372,"yy"))</f>
        <v>Jun'26</v>
      </c>
      <c r="BC372" s="0" t="str">
        <f aca="false">IF(AU372="","",TEXT(AU372,"MMM")&amp;"'"&amp;TEXT(AU372,"yy"))</f>
        <v>Jun'26</v>
      </c>
    </row>
    <row r="373" customFormat="false" ht="15" hidden="false" customHeight="false" outlineLevel="0" collapsed="false">
      <c r="A373" s="1" t="s">
        <v>1243</v>
      </c>
      <c r="B373" s="11" t="n">
        <v>46177</v>
      </c>
      <c r="C373" s="12" t="n">
        <v>0.167361111111111</v>
      </c>
      <c r="D373" s="13" t="str">
        <f aca="false">IF(B373="","",TEXT(B373,"MMM")&amp;"'"&amp;TEXT(B373,"yy"))</f>
        <v>Jun'26</v>
      </c>
      <c r="E373" s="1" t="s">
        <v>55</v>
      </c>
      <c r="F373" s="1" t="s">
        <v>39</v>
      </c>
      <c r="G373" s="1" t="str">
        <f aca="false">IF(F373="Closed","Closed","Pending")</f>
        <v>Closed</v>
      </c>
      <c r="H373" s="27" t="s">
        <v>72</v>
      </c>
      <c r="I373" s="1" t="s">
        <v>1015</v>
      </c>
      <c r="J373" s="1" t="s">
        <v>58</v>
      </c>
      <c r="K373" s="1" t="s">
        <v>59</v>
      </c>
      <c r="L373" s="35" t="s">
        <v>1244</v>
      </c>
      <c r="M373" s="35" t="s">
        <v>1245</v>
      </c>
      <c r="N373" s="1" t="s">
        <v>143</v>
      </c>
      <c r="O373" s="1" t="s">
        <v>143</v>
      </c>
      <c r="Q373" s="1" t="s">
        <v>143</v>
      </c>
      <c r="R373" s="1" t="s">
        <v>230</v>
      </c>
      <c r="U373" s="12" t="n">
        <v>0.170833333333333</v>
      </c>
      <c r="V373" s="11" t="n">
        <v>46181</v>
      </c>
      <c r="W373" s="12" t="n">
        <v>0.872916666666667</v>
      </c>
      <c r="X373" s="11" t="n">
        <v>46188</v>
      </c>
      <c r="Y373" s="12" t="n">
        <v>0.947222222222222</v>
      </c>
      <c r="Z373" s="1" t="s">
        <v>108</v>
      </c>
      <c r="AA373" s="1" t="s">
        <v>68</v>
      </c>
      <c r="AB373" s="2" t="n">
        <f aca="false">U373-C373</f>
        <v>0.00347222222222222</v>
      </c>
      <c r="AC373" s="14" t="n">
        <f aca="false">(V373+W373)-(B373+C373)</f>
        <v>4.70555555555556</v>
      </c>
      <c r="AD373" s="4" t="str">
        <f aca="false">INT((V373+W373)-(B373+C373)) &amp; ":" &amp;
TEXT(HOUR((V373+W373)-(B373+C373)), "00") &amp; ":" &amp;
TEXT(MINUTE((V373+W373)-(B373+C373)), "00")</f>
        <v>4:16:56</v>
      </c>
      <c r="AE373" s="1" t="n">
        <f aca="false">IFERROR(
LEFT(AD373,FIND(":",AD373)-1)
+ MID(AD373,FIND(":",AD373)+1,2)/24
+ RIGHT(AD373,2)/1440,
"")</f>
        <v>4.70555555555556</v>
      </c>
      <c r="AF373" s="4" t="str">
        <f aca="false">INT((X373+Y373)-(B373+C373)) &amp; ":" &amp;
TEXT(HOUR((X373+Y373)-(B373+C373)), "00") &amp; ":" &amp;
TEXT(MINUTE((X373+Y373)-(B373+C373)), "00")</f>
        <v>11:18:43</v>
      </c>
      <c r="AG373" s="4" t="str">
        <f aca="false" t="array" ref="AG373:AG373">INT(_xlfn.XLOOKUP(J373,{"Low","Medium","High","Urgent"},{48,24,12,8})/24) &amp; ":" &amp;
TEXT(MOD(_xlfn.XLOOKUP(J373,{"Low","Medium","High","Urgent"},{48,24,12,8}),24)/24,"hh:mm")</f>
        <v>1:00:00</v>
      </c>
      <c r="AH373" s="4" t="str">
        <f aca="false">IF(AD373&gt;AG373,"Not Met","Met")</f>
        <v>Not Met</v>
      </c>
      <c r="AI373" s="4" t="str">
        <f aca="false">IF(AB373&lt;TIME(0,30,0),"Met","Not Met")</f>
        <v>Met</v>
      </c>
      <c r="AN373" s="1" t="str">
        <f aca="false">TEXT(B373,"dd")</f>
        <v>04</v>
      </c>
      <c r="AO373" s="1" t="str">
        <f aca="false">TEXT(X373,"dd")</f>
        <v>15</v>
      </c>
      <c r="AP373" s="16" t="str">
        <f aca="false">INT(
  NETWORKDAYS(B373,V373)-1
  + IF(WEEKDAY(V373,2)&lt;6,MOD(V373+W373,1),0)
  - IF(WEEKDAY(B373,2)&lt;6,MOD(B373+C373,1),0)
)
&amp; ":" &amp;
TEXT(HOUR(
  NETWORKDAYS(B373,V373)-1
  + IF(WEEKDAY(V373,2)&lt;6,MOD(V373+W373,1),0)
  - IF(WEEKDAY(B373,2)&lt;6,MOD(B373+C373,1),0)
),"00")
&amp; ":" &amp;
TEXT(MINUTE(
  NETWORKDAYS(B373,V373)-1
  + IF(WEEKDAY(V373,2)&lt;6,MOD(V373+W373,1),0)
  - IF(WEEKDAY(B373,2)&lt;6,MOD(B373+C373,1),0)
),"00")</f>
        <v>2:16:56</v>
      </c>
      <c r="AQ373" s="0" t="n">
        <f aca="false">IFERROR(
LEFT(AP373,FIND(":",AP373)-1)
+ MID(AP373,FIND(":",AP373)+1,2)/24
+ RIGHT(AP373,2)/1440,
"")</f>
        <v>2.70555555555556</v>
      </c>
      <c r="AR373" s="0" t="n">
        <f aca="false">WEEKNUM(B373,1)</f>
        <v>23</v>
      </c>
      <c r="AS373" s="17" t="n">
        <f aca="false">IF(B373&gt;0, (B373+C373)-TIME(13,30,0), "")</f>
        <v>46176.6048611111</v>
      </c>
      <c r="AT373" s="18" t="n">
        <f aca="false">IF(B373&gt;0, (B373+C373)-TIME(13,30,0), "")</f>
        <v>46176.6048611111</v>
      </c>
      <c r="AU373" s="17" t="n">
        <f aca="false">IF(V373&gt;0, (V373+W373)-TIME(13,30,0), "")</f>
        <v>46181.3104166667</v>
      </c>
      <c r="AV373" s="18" t="n">
        <f aca="false">IF(V373&gt;0, (V373+W373)-TIME(13,30,0), "")</f>
        <v>46181.3104166667</v>
      </c>
      <c r="AW373" s="19" t="n">
        <f aca="false">24*(
MAX(0,
IF(NETWORKDAYS(AS373,AU373)=1,
MIN(MOD(AV373,1),TIME(17,30,0)) - MAX(MOD(AT373,1),TIME(8,30,0)),
(TIME(17,30,0)-MAX(MOD(AT373,1),TIME(8,30,0)))
+ (MIN(MOD(AV373,1),TIME(17,30,0))-TIME(8,30,0))
+ (NETWORKDAYS(AS373,AU373)-2)*9/24
)
)
)</f>
        <v>19.9333333333333</v>
      </c>
      <c r="AX373" s="19" t="n">
        <f aca="false">24*(
MAX(0,
IF(NETWORKDAYS(AS373,AU373)=1,
MIN(MOD(AV373,1),TIME(17,30,0)) - MAX(MOD(AT373,1),TIME(8,30,0)),
(TIME(17,30,0)-MAX(MOD(AT373,1),TIME(8,30,0)))
+ (MIN(MOD(AV373,1),TIME(17,30,0))-TIME(8,30,0))
+ (NETWORKDAYS(AS373,AU373)-2)* (TIME(17,30,0)-TIME(8,30,0))
)
)
)</f>
        <v>19.9333333333333</v>
      </c>
      <c r="AY373" s="20" t="n">
        <f aca="false">ROUND(
IF(AS373=AU373,
MAX(0,
(MIN(MOD(AV373,1),TIME(17,30,0))-
MAX(MOD(AT373,1),TIME(8,30,0)))*24
),
(
(MAX(0,TIME(17,30,0)-MAX(MOD(AT373,1),TIME(8,30,0)))*24)
+
(MAX(0,MIN(MOD(AV373,1),TIME(17,30,0))-TIME(8,30,0))*24)
+
(MAX(0,NETWORKDAYS(AS373+1,AU373-1))*9)
)
),
2)</f>
        <v>20.98</v>
      </c>
      <c r="AZ373" s="0" t="n">
        <f aca="false" t="array" ref="AZ373:AZ373">_xlfn.XLOOKUP(J373,{"Low","Medium","High"},{270,72,24})</f>
        <v>72</v>
      </c>
      <c r="BA373" s="0" t="str">
        <f aca="false">IF(AW373&gt;AZ373,"Not Met","Met")</f>
        <v>Met</v>
      </c>
      <c r="BB373" s="21" t="str">
        <f aca="false">IF(AS373="","",TEXT(AS373,"MMM")&amp;"'"&amp;TEXT(AS373,"yy"))</f>
        <v>Jun'26</v>
      </c>
      <c r="BC373" s="0" t="str">
        <f aca="false">IF(AU373="","",TEXT(AU373,"MMM")&amp;"'"&amp;TEXT(AU373,"yy"))</f>
        <v>Jun'26</v>
      </c>
    </row>
    <row r="374" customFormat="false" ht="15" hidden="false" customHeight="false" outlineLevel="0" collapsed="false">
      <c r="A374" s="1" t="s">
        <v>1246</v>
      </c>
      <c r="B374" s="11" t="n">
        <v>46177</v>
      </c>
      <c r="C374" s="12" t="n">
        <v>0.255555555555556</v>
      </c>
      <c r="D374" s="13" t="str">
        <f aca="false">IF(B374="","",TEXT(B374,"MMM")&amp;"'"&amp;TEXT(B374,"yy"))</f>
        <v>Jun'26</v>
      </c>
      <c r="E374" s="1" t="s">
        <v>55</v>
      </c>
      <c r="F374" s="1" t="s">
        <v>39</v>
      </c>
      <c r="G374" s="1" t="str">
        <f aca="false">IF(F374="Closed","Closed","Pending")</f>
        <v>Closed</v>
      </c>
      <c r="H374" s="27" t="s">
        <v>691</v>
      </c>
      <c r="I374" s="1" t="s">
        <v>436</v>
      </c>
      <c r="J374" s="1" t="s">
        <v>74</v>
      </c>
      <c r="K374" s="1" t="s">
        <v>59</v>
      </c>
      <c r="L374" s="50" t="s">
        <v>1247</v>
      </c>
      <c r="M374" s="35" t="s">
        <v>1248</v>
      </c>
      <c r="N374" s="1" t="s">
        <v>65</v>
      </c>
      <c r="O374" s="1" t="s">
        <v>77</v>
      </c>
      <c r="Q374" s="1" t="s">
        <v>65</v>
      </c>
      <c r="R374" s="1" t="s">
        <v>1249</v>
      </c>
      <c r="U374" s="12" t="n">
        <v>0.867361111111111</v>
      </c>
      <c r="V374" s="11" t="n">
        <v>46177</v>
      </c>
      <c r="W374" s="12" t="n">
        <v>0.867361111111111</v>
      </c>
      <c r="X374" s="11" t="n">
        <v>46177</v>
      </c>
      <c r="Y374" s="12" t="n">
        <v>0.896527777777778</v>
      </c>
      <c r="Z374" s="1" t="s">
        <v>108</v>
      </c>
      <c r="AA374" s="1" t="s">
        <v>68</v>
      </c>
      <c r="AB374" s="2" t="n">
        <f aca="false">U374-C374</f>
        <v>0.611805555555556</v>
      </c>
      <c r="AC374" s="14" t="n">
        <f aca="false">(V374+W374)-(B374+C374)</f>
        <v>0.611805555555556</v>
      </c>
      <c r="AD374" s="4" t="str">
        <f aca="false">INT((V374+W374)-(B374+C374)) &amp; ":" &amp;
TEXT(HOUR((V374+W374)-(B374+C374)), "00") &amp; ":" &amp;
TEXT(MINUTE((V374+W374)-(B374+C374)), "00")</f>
        <v>0:14:41</v>
      </c>
      <c r="AE374" s="1" t="n">
        <f aca="false">IFERROR(
LEFT(AD374,FIND(":",AD374)-1)
+ MID(AD374,FIND(":",AD374)+1,2)/24
+ RIGHT(AD374,2)/1440,
"")</f>
        <v>0.611805555555556</v>
      </c>
      <c r="AF374" s="4" t="str">
        <f aca="false">INT((X374+Y374)-(B374+C374)) &amp; ":" &amp;
TEXT(HOUR((X374+Y374)-(B374+C374)), "00") &amp; ":" &amp;
TEXT(MINUTE((X374+Y374)-(B374+C374)), "00")</f>
        <v>0:15:23</v>
      </c>
      <c r="AG374" s="4" t="str">
        <f aca="false" t="array" ref="AG374:AG374">INT(_xlfn.XLOOKUP(J374,{"Low","Medium","High","Urgent"},{48,24,12,8})/24) &amp; ":" &amp;
TEXT(MOD(_xlfn.XLOOKUP(J374,{"Low","Medium","High","Urgent"},{48,24,12,8}),24)/24,"hh:mm")</f>
        <v>2:00:00</v>
      </c>
      <c r="AH374" s="4" t="str">
        <f aca="false">IF(AD374&gt;AG374,"Not Met","Met")</f>
        <v>Met</v>
      </c>
      <c r="AI374" s="4" t="str">
        <f aca="false">IF(AB374&lt;TIME(0,30,0),"Met","Not Met")</f>
        <v>Not Met</v>
      </c>
      <c r="AN374" s="1" t="str">
        <f aca="false">TEXT(B374,"dd")</f>
        <v>04</v>
      </c>
      <c r="AO374" s="1" t="str">
        <f aca="false">TEXT(X374,"dd")</f>
        <v>04</v>
      </c>
      <c r="AP374" s="16" t="str">
        <f aca="false">INT(
  NETWORKDAYS(B374,V374)-1
  + IF(WEEKDAY(V374,2)&lt;6,MOD(V374+W374,1),0)
  - IF(WEEKDAY(B374,2)&lt;6,MOD(B374+C374,1),0)
)
&amp; ":" &amp;
TEXT(HOUR(
  NETWORKDAYS(B374,V374)-1
  + IF(WEEKDAY(V374,2)&lt;6,MOD(V374+W374,1),0)
  - IF(WEEKDAY(B374,2)&lt;6,MOD(B374+C374,1),0)
),"00")
&amp; ":" &amp;
TEXT(MINUTE(
  NETWORKDAYS(B374,V374)-1
  + IF(WEEKDAY(V374,2)&lt;6,MOD(V374+W374,1),0)
  - IF(WEEKDAY(B374,2)&lt;6,MOD(B374+C374,1),0)
),"00")</f>
        <v>0:14:40</v>
      </c>
      <c r="AQ374" s="0" t="n">
        <f aca="false">IFERROR(
LEFT(AP374,FIND(":",AP374)-1)
+ MID(AP374,FIND(":",AP374)+1,2)/24
+ RIGHT(AP374,2)/1440,
"")</f>
        <v>0.611111111111111</v>
      </c>
      <c r="AR374" s="0" t="n">
        <f aca="false">WEEKNUM(B374,1)</f>
        <v>23</v>
      </c>
      <c r="AS374" s="17" t="n">
        <f aca="false">IF(B374&gt;0, (B374+C374)-TIME(13,30,0), "")</f>
        <v>46176.6930555556</v>
      </c>
      <c r="AT374" s="18" t="n">
        <f aca="false">IF(B374&gt;0, (B374+C374)-TIME(13,30,0), "")</f>
        <v>46176.6930555556</v>
      </c>
      <c r="AU374" s="17" t="n">
        <f aca="false">IF(V374&gt;0, (V374+W374)-TIME(13,30,0), "")</f>
        <v>46177.3048611111</v>
      </c>
      <c r="AV374" s="18" t="n">
        <f aca="false">IF(V374&gt;0, (V374+W374)-TIME(13,30,0), "")</f>
        <v>46177.3048611111</v>
      </c>
      <c r="AW374" s="19" t="n">
        <f aca="false">24*(
MAX(0,
IF(NETWORKDAYS(AS374,AU374)=1,
MIN(MOD(AV374,1),TIME(17,30,0)) - MAX(MOD(AT374,1),TIME(8,30,0)),
(TIME(17,30,0)-MAX(MOD(AT374,1),TIME(8,30,0)))
+ (MIN(MOD(AV374,1),TIME(17,30,0))-TIME(8,30,0))
+ (NETWORKDAYS(AS374,AU374)-2)*9/24
)
)
)</f>
        <v>0</v>
      </c>
      <c r="AX374" s="19" t="n">
        <f aca="false">24*(
MAX(0,
IF(NETWORKDAYS(AS374,AU374)=1,
MIN(MOD(AV374,1),TIME(17,30,0)) - MAX(MOD(AT374,1),TIME(8,30,0)),
(TIME(17,30,0)-MAX(MOD(AT374,1),TIME(8,30,0)))
+ (MIN(MOD(AV374,1),TIME(17,30,0))-TIME(8,30,0))
+ (NETWORKDAYS(AS374,AU374)-2)* (TIME(17,30,0)-TIME(8,30,0))
)
)
)</f>
        <v>0</v>
      </c>
      <c r="AY374" s="20" t="n">
        <f aca="false">ROUND(
IF(AS374=AU374,
MAX(0,
(MIN(MOD(AV374,1),TIME(17,30,0))-
MAX(MOD(AT374,1),TIME(8,30,0)))*24
),
(
(MAX(0,TIME(17,30,0)-MAX(MOD(AT374,1),TIME(8,30,0)))*24)
+
(MAX(0,MIN(MOD(AV374,1),TIME(17,30,0))-TIME(8,30,0))*24)
+
(MAX(0,NETWORKDAYS(AS374+1,AU374-1))*9)
)
),
2)</f>
        <v>0.87</v>
      </c>
      <c r="AZ374" s="0" t="n">
        <f aca="false" t="array" ref="AZ374:AZ374">_xlfn.XLOOKUP(J374,{"Low","Medium","High"},{270,72,24})</f>
        <v>270</v>
      </c>
      <c r="BA374" s="0" t="str">
        <f aca="false">IF(AW374&gt;AZ374,"Not Met","Met")</f>
        <v>Met</v>
      </c>
      <c r="BB374" s="21" t="str">
        <f aca="false">IF(AS374="","",TEXT(AS374,"MMM")&amp;"'"&amp;TEXT(AS374,"yy"))</f>
        <v>Jun'26</v>
      </c>
      <c r="BC374" s="0" t="str">
        <f aca="false">IF(AU374="","",TEXT(AU374,"MMM")&amp;"'"&amp;TEXT(AU374,"yy"))</f>
        <v>Jun'26</v>
      </c>
    </row>
    <row r="375" customFormat="false" ht="15" hidden="false" customHeight="false" outlineLevel="0" collapsed="false">
      <c r="A375" s="1" t="s">
        <v>1250</v>
      </c>
      <c r="B375" s="11" t="n">
        <v>46177</v>
      </c>
      <c r="C375" s="12" t="n">
        <v>0.389583333333333</v>
      </c>
      <c r="D375" s="13" t="str">
        <f aca="false">IF(B375="","",TEXT(B375,"MMM")&amp;"'"&amp;TEXT(B375,"yy"))</f>
        <v>Jun'26</v>
      </c>
      <c r="E375" s="1" t="s">
        <v>55</v>
      </c>
      <c r="F375" s="1" t="s">
        <v>39</v>
      </c>
      <c r="G375" s="1" t="str">
        <f aca="false">IF(F375="Closed","Closed","Pending")</f>
        <v>Closed</v>
      </c>
      <c r="H375" s="27" t="s">
        <v>1227</v>
      </c>
      <c r="I375" s="1" t="s">
        <v>1228</v>
      </c>
      <c r="J375" s="1" t="s">
        <v>74</v>
      </c>
      <c r="K375" s="1" t="s">
        <v>59</v>
      </c>
      <c r="L375" s="35" t="s">
        <v>1251</v>
      </c>
      <c r="M375" s="1" t="s">
        <v>1252</v>
      </c>
      <c r="N375" s="1" t="s">
        <v>65</v>
      </c>
      <c r="O375" s="1" t="s">
        <v>77</v>
      </c>
      <c r="Q375" s="1" t="s">
        <v>65</v>
      </c>
      <c r="R375" s="1" t="s">
        <v>87</v>
      </c>
      <c r="U375" s="12" t="n">
        <v>0.500694444444444</v>
      </c>
      <c r="V375" s="11" t="n">
        <v>46177</v>
      </c>
      <c r="W375" s="12" t="n">
        <v>0.500694444444444</v>
      </c>
      <c r="X375" s="11" t="n">
        <v>46177</v>
      </c>
      <c r="Y375" s="12" t="n">
        <v>0.724305555555556</v>
      </c>
      <c r="Z375" s="1" t="s">
        <v>108</v>
      </c>
      <c r="AA375" s="1" t="s">
        <v>68</v>
      </c>
      <c r="AB375" s="2" t="n">
        <f aca="false">U375-C375</f>
        <v>0.111111111111111</v>
      </c>
      <c r="AC375" s="14" t="n">
        <f aca="false">(V375+W375)-(B375+C375)</f>
        <v>0.111111111111111</v>
      </c>
      <c r="AD375" s="4" t="str">
        <f aca="false">INT((V375+W375)-(B375+C375)) &amp; ":" &amp;
TEXT(HOUR((V375+W375)-(B375+C375)), "00") &amp; ":" &amp;
TEXT(MINUTE((V375+W375)-(B375+C375)), "00")</f>
        <v>0:02:40</v>
      </c>
      <c r="AE375" s="1" t="n">
        <f aca="false">IFERROR(
LEFT(AD375,FIND(":",AD375)-1)
+ MID(AD375,FIND(":",AD375)+1,2)/24
+ RIGHT(AD375,2)/1440,
"")</f>
        <v>0.111111111111111</v>
      </c>
      <c r="AF375" s="4" t="str">
        <f aca="false">INT((X375+Y375)-(B375+C375)) &amp; ":" &amp;
TEXT(HOUR((X375+Y375)-(B375+C375)), "00") &amp; ":" &amp;
TEXT(MINUTE((X375+Y375)-(B375+C375)), "00")</f>
        <v>0:08:02</v>
      </c>
      <c r="AG375" s="4" t="str">
        <f aca="false" t="array" ref="AG375:AG375">INT(_xlfn.XLOOKUP(J375,{"Low","Medium","High","Urgent"},{48,24,12,8})/24) &amp; ":" &amp;
TEXT(MOD(_xlfn.XLOOKUP(J375,{"Low","Medium","High","Urgent"},{48,24,12,8}),24)/24,"hh:mm")</f>
        <v>2:00:00</v>
      </c>
      <c r="AH375" s="4" t="str">
        <f aca="false">IF(AD375&gt;AG375,"Not Met","Met")</f>
        <v>Met</v>
      </c>
      <c r="AI375" s="4" t="str">
        <f aca="false">IF(AB375&lt;TIME(0,30,0),"Met","Not Met")</f>
        <v>Not Met</v>
      </c>
      <c r="AN375" s="1" t="str">
        <f aca="false">TEXT(B375,"dd")</f>
        <v>04</v>
      </c>
      <c r="AO375" s="1" t="str">
        <f aca="false">TEXT(X375,"dd")</f>
        <v>04</v>
      </c>
      <c r="AP375" s="16" t="str">
        <f aca="false">INT(
  NETWORKDAYS(B375,V375)-1
  + IF(WEEKDAY(V375,2)&lt;6,MOD(V375+W375,1),0)
  - IF(WEEKDAY(B375,2)&lt;6,MOD(B375+C375,1),0)
)
&amp; ":" &amp;
TEXT(HOUR(
  NETWORKDAYS(B375,V375)-1
  + IF(WEEKDAY(V375,2)&lt;6,MOD(V375+W375,1),0)
  - IF(WEEKDAY(B375,2)&lt;6,MOD(B375+C375,1),0)
),"00")
&amp; ":" &amp;
TEXT(MINUTE(
  NETWORKDAYS(B375,V375)-1
  + IF(WEEKDAY(V375,2)&lt;6,MOD(V375+W375,1),0)
  - IF(WEEKDAY(B375,2)&lt;6,MOD(B375+C375,1),0)
),"00")</f>
        <v>0:02:40</v>
      </c>
      <c r="AQ375" s="0" t="n">
        <f aca="false">IFERROR(
LEFT(AP375,FIND(":",AP375)-1)
+ MID(AP375,FIND(":",AP375)+1,2)/24
+ RIGHT(AP375,2)/1440,
"")</f>
        <v>0.111111111111111</v>
      </c>
      <c r="AR375" s="0" t="n">
        <f aca="false">WEEKNUM(B375,1)</f>
        <v>23</v>
      </c>
      <c r="AS375" s="17" t="n">
        <f aca="false">IF(B375&gt;0, (B375+C375)-TIME(13,30,0), "")</f>
        <v>46176.8270833333</v>
      </c>
      <c r="AT375" s="18" t="n">
        <f aca="false">IF(B375&gt;0, (B375+C375)-TIME(13,30,0), "")</f>
        <v>46176.8270833333</v>
      </c>
      <c r="AU375" s="17" t="n">
        <f aca="false">IF(V375&gt;0, (V375+W375)-TIME(13,30,0), "")</f>
        <v>46176.9381944445</v>
      </c>
      <c r="AV375" s="18" t="n">
        <f aca="false">IF(V375&gt;0, (V375+W375)-TIME(13,30,0), "")</f>
        <v>46176.9381944445</v>
      </c>
      <c r="AW375" s="19" t="n">
        <f aca="false">24*(
MAX(0,
IF(NETWORKDAYS(AS375,AU375)=1,
MIN(MOD(AV375,1),TIME(17,30,0)) - MAX(MOD(AT375,1),TIME(8,30,0)),
(TIME(17,30,0)-MAX(MOD(AT375,1),TIME(8,30,0)))
+ (MIN(MOD(AV375,1),TIME(17,30,0))-TIME(8,30,0))
+ (NETWORKDAYS(AS375,AU375)-2)*9/24
)
)
)</f>
        <v>0</v>
      </c>
      <c r="AX375" s="19" t="n">
        <f aca="false">24*(
MAX(0,
IF(NETWORKDAYS(AS375,AU375)=1,
MIN(MOD(AV375,1),TIME(17,30,0)) - MAX(MOD(AT375,1),TIME(8,30,0)),
(TIME(17,30,0)-MAX(MOD(AT375,1),TIME(8,30,0)))
+ (MIN(MOD(AV375,1),TIME(17,30,0))-TIME(8,30,0))
+ (NETWORKDAYS(AS375,AU375)-2)* (TIME(17,30,0)-TIME(8,30,0))
)
)
)</f>
        <v>0</v>
      </c>
      <c r="AY375" s="20" t="n">
        <f aca="false">ROUND(
IF(AS375=AU375,
MAX(0,
(MIN(MOD(AV375,1),TIME(17,30,0))-
MAX(MOD(AT375,1),TIME(8,30,0)))*24
),
(
(MAX(0,TIME(17,30,0)-MAX(MOD(AT375,1),TIME(8,30,0)))*24)
+
(MAX(0,MIN(MOD(AV375,1),TIME(17,30,0))-TIME(8,30,0))*24)
+
(MAX(0,NETWORKDAYS(AS375+1,AU375-1))*9)
)
),
2)</f>
        <v>9</v>
      </c>
      <c r="AZ375" s="0" t="n">
        <f aca="false" t="array" ref="AZ375:AZ375">_xlfn.XLOOKUP(J375,{"Low","Medium","High"},{270,72,24})</f>
        <v>270</v>
      </c>
      <c r="BA375" s="0" t="str">
        <f aca="false">IF(AW375&gt;AZ375,"Not Met","Met")</f>
        <v>Met</v>
      </c>
      <c r="BB375" s="21" t="str">
        <f aca="false">IF(AS375="","",TEXT(AS375,"MMM")&amp;"'"&amp;TEXT(AS375,"yy"))</f>
        <v>Jun'26</v>
      </c>
      <c r="BC375" s="0" t="str">
        <f aca="false">IF(AU375="","",TEXT(AU375,"MMM")&amp;"'"&amp;TEXT(AU375,"yy"))</f>
        <v>Jun'26</v>
      </c>
    </row>
    <row r="376" customFormat="false" ht="15" hidden="false" customHeight="false" outlineLevel="0" collapsed="false">
      <c r="A376" s="1" t="s">
        <v>1253</v>
      </c>
      <c r="B376" s="11" t="n">
        <v>46177</v>
      </c>
      <c r="C376" s="12" t="n">
        <v>0.954166666666667</v>
      </c>
      <c r="D376" s="13" t="str">
        <f aca="false">IF(B376="","",TEXT(B376,"MMM")&amp;"'"&amp;TEXT(B376,"yy"))</f>
        <v>Jun'26</v>
      </c>
      <c r="E376" s="1" t="s">
        <v>55</v>
      </c>
      <c r="F376" s="1" t="s">
        <v>140</v>
      </c>
      <c r="G376" s="1" t="str">
        <f aca="false">IF(F376="Closed","Closed","Pending")</f>
        <v>Pending</v>
      </c>
      <c r="H376" s="1" t="s">
        <v>263</v>
      </c>
      <c r="I376" s="1" t="s">
        <v>639</v>
      </c>
      <c r="J376" s="29" t="s">
        <v>74</v>
      </c>
      <c r="K376" s="29" t="s">
        <v>59</v>
      </c>
      <c r="L376" s="1" t="s">
        <v>530</v>
      </c>
      <c r="M376" s="1" t="s">
        <v>1254</v>
      </c>
      <c r="N376" s="1" t="s">
        <v>62</v>
      </c>
      <c r="O376" s="1" t="s">
        <v>63</v>
      </c>
      <c r="Q376" s="1" t="s">
        <v>63</v>
      </c>
      <c r="R376" s="1" t="s">
        <v>87</v>
      </c>
      <c r="U376" s="12" t="n">
        <v>0.969444444444444</v>
      </c>
      <c r="Z376" s="1" t="s">
        <v>108</v>
      </c>
      <c r="AB376" s="2" t="n">
        <f aca="false">U376-C376</f>
        <v>0.0152777777777778</v>
      </c>
      <c r="AC376" s="14" t="n">
        <f aca="false">(V376+W376)-(B376+C376)</f>
        <v>-46177.9541666667</v>
      </c>
      <c r="AD376" s="4" t="str">
        <f aca="false">INT((V376+W376)-(B376+C376)) &amp; ":" &amp;
TEXT(HOUR((V376+W376)-(B376+C376)), "00") &amp; ":" &amp;
TEXT(MINUTE((V376+W376)-(B376+C376)), "00")</f>
        <v>-46178:01:06</v>
      </c>
      <c r="AE376" s="1" t="n">
        <f aca="false">IFERROR(
LEFT(AD376,FIND(":",AD376)-1)
+ MID(AD376,FIND(":",AD376)+1,2)/24
+ RIGHT(AD376,2)/1440,
"")</f>
        <v>-46177.9541666667</v>
      </c>
      <c r="AF376" s="4" t="str">
        <f aca="false">INT((X376+Y376)-(B376+C376)) &amp; ":" &amp;
TEXT(HOUR((X376+Y376)-(B376+C376)), "00") &amp; ":" &amp;
TEXT(MINUTE((X376+Y376)-(B376+C376)), "00")</f>
        <v>-46178:01:06</v>
      </c>
      <c r="AG376" s="4" t="str">
        <f aca="false" t="array" ref="AG376:AG376">INT(_xlfn.XLOOKUP(J376,{"Low","Medium","High","Urgent"},{48,24,12,8})/24) &amp; ":" &amp;
TEXT(MOD(_xlfn.XLOOKUP(J376,{"Low","Medium","High","Urgent"},{48,24,12,8}),24)/24,"hh:mm")</f>
        <v>2:00:00</v>
      </c>
      <c r="AH376" s="4" t="str">
        <f aca="false">IF(AD376&gt;AG376,"Not Met","Met")</f>
        <v>Met</v>
      </c>
      <c r="AI376" s="4" t="str">
        <f aca="false">IF(AB376&lt;TIME(0,30,0),"Met","Not Met")</f>
        <v>Met</v>
      </c>
      <c r="AN376" s="1" t="str">
        <f aca="false">TEXT(B376,"dd")</f>
        <v>04</v>
      </c>
      <c r="AO376" s="1" t="str">
        <f aca="false">TEXT(X376,"dd")</f>
        <v>30</v>
      </c>
      <c r="AP376" s="16" t="str">
        <f aca="false">INT(
  NETWORKDAYS(B376,V376)-1
  + IF(WEEKDAY(V376,2)&lt;6,MOD(V376+W376,1),0)
  - IF(WEEKDAY(B376,2)&lt;6,MOD(B376+C376,1),0)
)
&amp; ":" &amp;
TEXT(HOUR(
  NETWORKDAYS(B376,V376)-1
  + IF(WEEKDAY(V376,2)&lt;6,MOD(V376+W376,1),0)
  - IF(WEEKDAY(B376,2)&lt;6,MOD(B376+C376,1),0)
),"00")
&amp; ":" &amp;
TEXT(MINUTE(
  NETWORKDAYS(B376,V376)-1
  + IF(WEEKDAY(V376,2)&lt;6,MOD(V376+W376,1),0)
  - IF(WEEKDAY(B376,2)&lt;6,MOD(B376+C376,1),0)
),"00")</f>
        <v>-32986:01:06</v>
      </c>
      <c r="AQ376" s="0" t="n">
        <f aca="false">IFERROR(
LEFT(AP376,FIND(":",AP376)-1)
+ MID(AP376,FIND(":",AP376)+1,2)/24
+ RIGHT(AP376,2)/1440,
"")</f>
        <v>-32985.9541666667</v>
      </c>
      <c r="AR376" s="0" t="n">
        <f aca="false">WEEKNUM(B376,1)</f>
        <v>23</v>
      </c>
      <c r="AS376" s="17" t="n">
        <f aca="false">IF(B376&gt;0, (B376+C376)-TIME(13,30,0), "")</f>
        <v>46177.3916666667</v>
      </c>
      <c r="AT376" s="18" t="n">
        <f aca="false">IF(B376&gt;0, (B376+C376)-TIME(13,30,0), "")</f>
        <v>46177.3916666667</v>
      </c>
      <c r="AU376" s="17" t="str">
        <f aca="false">IF(V376&gt;0, (V376+W376)-TIME(13,30,0), "")</f>
        <v/>
      </c>
      <c r="AV376" s="18" t="str">
        <f aca="false">IF(V376&gt;0, (V376+W376)-TIME(13,30,0), "")</f>
        <v/>
      </c>
      <c r="AW376" s="19" t="e">
        <f aca="false">24*(
MAX(0,
IF(NETWORKDAYS(AS376,AU376)=1,
MIN(MOD(AV376,1),TIME(17,30,0)) - MAX(MOD(AT376,1),TIME(8,30,0)),
(TIME(17,30,0)-MAX(MOD(AT376,1),TIME(8,30,0)))
+ (MIN(MOD(AV376,1),TIME(17,30,0))-TIME(8,30,0))
+ (NETWORKDAYS(AS376,AU376)-2)*9/24
)
)
)</f>
        <v>#VALUE!</v>
      </c>
      <c r="AX376" s="19" t="e">
        <f aca="false">24*(
MAX(0,
IF(NETWORKDAYS(AS376,AU376)=1,
MIN(MOD(AV376,1),TIME(17,30,0)) - MAX(MOD(AT376,1),TIME(8,30,0)),
(TIME(17,30,0)-MAX(MOD(AT376,1),TIME(8,30,0)))
+ (MIN(MOD(AV376,1),TIME(17,30,0))-TIME(8,30,0))
+ (NETWORKDAYS(AS376,AU376)-2)* (TIME(17,30,0)-TIME(8,30,0))
)
)
)</f>
        <v>#VALUE!</v>
      </c>
      <c r="AY376" s="20" t="e">
        <f aca="false">ROUND(
IF(AS376=AU376,
MAX(0,
(MIN(MOD(AV376,1),TIME(17,30,0))-
MAX(MOD(AT376,1),TIME(8,30,0)))*24
),
(
(MAX(0,TIME(17,30,0)-MAX(MOD(AT376,1),TIME(8,30,0)))*24)
+
(MAX(0,MIN(MOD(AV376,1),TIME(17,30,0))-TIME(8,30,0))*24)
+
(MAX(0,NETWORKDAYS(AS376+1,AU376-1))*9)
)
),
2)</f>
        <v>#VALUE!</v>
      </c>
      <c r="AZ376" s="0" t="n">
        <f aca="false" t="array" ref="AZ376:AZ376">_xlfn.XLOOKUP(J376,{"Low","Medium","High"},{270,72,24})</f>
        <v>270</v>
      </c>
      <c r="BA376" s="0" t="e">
        <f aca="false">IF(AW376&gt;AZ376,"Not Met","Met")</f>
        <v>#VALUE!</v>
      </c>
      <c r="BB376" s="21" t="str">
        <f aca="false">IF(AS376="","",TEXT(AS376,"MMM")&amp;"'"&amp;TEXT(AS376,"yy"))</f>
        <v>Jun'26</v>
      </c>
      <c r="BC376" s="0" t="str">
        <f aca="false">IF(AU376="","",TEXT(AU376,"MMM")&amp;"'"&amp;TEXT(AU376,"yy"))</f>
        <v/>
      </c>
    </row>
    <row r="377" customFormat="false" ht="15" hidden="false" customHeight="false" outlineLevel="0" collapsed="false">
      <c r="A377" s="1" t="s">
        <v>1255</v>
      </c>
      <c r="B377" s="11" t="n">
        <v>46178</v>
      </c>
      <c r="C377" s="12" t="n">
        <v>0.0340277777777778</v>
      </c>
      <c r="D377" s="13" t="str">
        <f aca="false">IF(B377="","",TEXT(B377,"MMM")&amp;"'"&amp;TEXT(B377,"yy"))</f>
        <v>Jun'26</v>
      </c>
      <c r="E377" s="1" t="s">
        <v>55</v>
      </c>
      <c r="F377" s="1" t="s">
        <v>39</v>
      </c>
      <c r="G377" s="1" t="str">
        <f aca="false">IF(F377="Closed","Closed","Pending")</f>
        <v>Closed</v>
      </c>
      <c r="H377" s="27" t="s">
        <v>691</v>
      </c>
      <c r="I377" s="26" t="s">
        <v>436</v>
      </c>
      <c r="J377" s="26" t="s">
        <v>74</v>
      </c>
      <c r="K377" s="26" t="s">
        <v>59</v>
      </c>
      <c r="L377" s="1" t="s">
        <v>1256</v>
      </c>
      <c r="M377" s="1" t="s">
        <v>1257</v>
      </c>
      <c r="N377" s="1" t="s">
        <v>65</v>
      </c>
      <c r="O377" s="1" t="s">
        <v>106</v>
      </c>
      <c r="Q377" s="1" t="s">
        <v>65</v>
      </c>
      <c r="R377" s="1" t="s">
        <v>87</v>
      </c>
      <c r="U377" s="12" t="n">
        <v>0.10625</v>
      </c>
      <c r="V377" s="11" t="n">
        <v>46181</v>
      </c>
      <c r="W377" s="12" t="n">
        <v>0.874305555555556</v>
      </c>
      <c r="X377" s="11" t="n">
        <v>46188</v>
      </c>
      <c r="Y377" s="12" t="n">
        <v>0.938888888888889</v>
      </c>
      <c r="Z377" s="1" t="s">
        <v>67</v>
      </c>
      <c r="AA377" s="1" t="s">
        <v>68</v>
      </c>
      <c r="AB377" s="2" t="n">
        <f aca="false">U377-C377</f>
        <v>0.0722222222222222</v>
      </c>
      <c r="AC377" s="14" t="n">
        <f aca="false">(V377+W377)-(B377+C377)</f>
        <v>3.84027777777778</v>
      </c>
      <c r="AD377" s="4" t="str">
        <f aca="false">INT((V377+W377)-(B377+C377)) &amp; ":" &amp;
TEXT(HOUR((V377+W377)-(B377+C377)), "00") &amp; ":" &amp;
TEXT(MINUTE((V377+W377)-(B377+C377)), "00")</f>
        <v>3:20:10</v>
      </c>
      <c r="AE377" s="1" t="n">
        <f aca="false">IFERROR(
LEFT(AD377,FIND(":",AD377)-1)
+ MID(AD377,FIND(":",AD377)+1,2)/24
+ RIGHT(AD377,2)/1440,
"")</f>
        <v>3.84027777777778</v>
      </c>
      <c r="AF377" s="4" t="str">
        <f aca="false">INT((X377+Y377)-(B377+C377)) &amp; ":" &amp;
TEXT(HOUR((X377+Y377)-(B377+C377)), "00") &amp; ":" &amp;
TEXT(MINUTE((X377+Y377)-(B377+C377)), "00")</f>
        <v>10:21:43</v>
      </c>
      <c r="AG377" s="4" t="str">
        <f aca="false" t="array" ref="AG377:AG377">INT(_xlfn.XLOOKUP(J377,{"Low","Medium","High","Urgent"},{48,24,12,8})/24) &amp; ":" &amp;
TEXT(MOD(_xlfn.XLOOKUP(J377,{"Low","Medium","High","Urgent"},{48,24,12,8}),24)/24,"hh:mm")</f>
        <v>2:00:00</v>
      </c>
      <c r="AH377" s="4" t="str">
        <f aca="false">IF(AD377&gt;AG377,"Not Met","Met")</f>
        <v>Not Met</v>
      </c>
      <c r="AI377" s="4" t="str">
        <f aca="false">IF(AB377&lt;TIME(0,30,0),"Met","Not Met")</f>
        <v>Not Met</v>
      </c>
      <c r="AN377" s="1" t="str">
        <f aca="false">TEXT(B377,"dd")</f>
        <v>05</v>
      </c>
      <c r="AO377" s="1" t="str">
        <f aca="false">TEXT(X377,"dd")</f>
        <v>15</v>
      </c>
      <c r="AP377" s="16" t="str">
        <f aca="false">INT(
  NETWORKDAYS(B377,V377)-1
  + IF(WEEKDAY(V377,2)&lt;6,MOD(V377+W377,1),0)
  - IF(WEEKDAY(B377,2)&lt;6,MOD(B377+C377,1),0)
)
&amp; ":" &amp;
TEXT(HOUR(
  NETWORKDAYS(B377,V377)-1
  + IF(WEEKDAY(V377,2)&lt;6,MOD(V377+W377,1),0)
  - IF(WEEKDAY(B377,2)&lt;6,MOD(B377+C377,1),0)
),"00")
&amp; ":" &amp;
TEXT(MINUTE(
  NETWORKDAYS(B377,V377)-1
  + IF(WEEKDAY(V377,2)&lt;6,MOD(V377+W377,1),0)
  - IF(WEEKDAY(B377,2)&lt;6,MOD(B377+C377,1),0)
),"00")</f>
        <v>1:20:09</v>
      </c>
      <c r="AQ377" s="0" t="n">
        <f aca="false">IFERROR(
LEFT(AP377,FIND(":",AP377)-1)
+ MID(AP377,FIND(":",AP377)+1,2)/24
+ RIGHT(AP377,2)/1440,
"")</f>
        <v>1.83958333333333</v>
      </c>
      <c r="AR377" s="0" t="n">
        <f aca="false">WEEKNUM(B377,1)</f>
        <v>23</v>
      </c>
      <c r="AS377" s="17" t="n">
        <f aca="false">IF(B377&gt;0, (B377+C377)-TIME(13,30,0), "")</f>
        <v>46177.4715277778</v>
      </c>
      <c r="AT377" s="18" t="n">
        <f aca="false">IF(B377&gt;0, (B377+C377)-TIME(13,30,0), "")</f>
        <v>46177.4715277778</v>
      </c>
      <c r="AU377" s="17" t="n">
        <f aca="false">IF(V377&gt;0, (V377+W377)-TIME(13,30,0), "")</f>
        <v>46181.3118055556</v>
      </c>
      <c r="AV377" s="18" t="n">
        <f aca="false">IF(V377&gt;0, (V377+W377)-TIME(13,30,0), "")</f>
        <v>46181.3118055556</v>
      </c>
      <c r="AW377" s="19" t="n">
        <f aca="false">24*(
MAX(0,
IF(NETWORKDAYS(AS377,AU377)=1,
MIN(MOD(AV377,1),TIME(17,30,0)) - MAX(MOD(AT377,1),TIME(8,30,0)),
(TIME(17,30,0)-MAX(MOD(AT377,1),TIME(8,30,0)))
+ (MIN(MOD(AV377,1),TIME(17,30,0))-TIME(8,30,0))
+ (NETWORKDAYS(AS377,AU377)-2)*9/24
)
)
)</f>
        <v>14.1666666665575</v>
      </c>
      <c r="AX377" s="19" t="n">
        <f aca="false">24*(
MAX(0,
IF(NETWORKDAYS(AS377,AU377)=1,
MIN(MOD(AV377,1),TIME(17,30,0)) - MAX(MOD(AT377,1),TIME(8,30,0)),
(TIME(17,30,0)-MAX(MOD(AT377,1),TIME(8,30,0)))
+ (MIN(MOD(AV377,1),TIME(17,30,0))-TIME(8,30,0))
+ (NETWORKDAYS(AS377,AU377)-2)* (TIME(17,30,0)-TIME(8,30,0))
)
)
)</f>
        <v>14.1666666665575</v>
      </c>
      <c r="AY377" s="20" t="n">
        <f aca="false">ROUND(
IF(AS377=AU377,
MAX(0,
(MIN(MOD(AV377,1),TIME(17,30,0))-
MAX(MOD(AT377,1),TIME(8,30,0)))*24
),
(
(MAX(0,TIME(17,30,0)-MAX(MOD(AT377,1),TIME(8,30,0)))*24)
+
(MAX(0,MIN(MOD(AV377,1),TIME(17,30,0))-TIME(8,30,0))*24)
+
(MAX(0,NETWORKDAYS(AS377+1,AU377-1))*9)
)
),
2)</f>
        <v>15.18</v>
      </c>
      <c r="AZ377" s="0" t="n">
        <f aca="false" t="array" ref="AZ377:AZ377">_xlfn.XLOOKUP(J377,{"Low","Medium","High"},{270,72,24})</f>
        <v>270</v>
      </c>
      <c r="BA377" s="0" t="str">
        <f aca="false">IF(AW377&gt;AZ377,"Not Met","Met")</f>
        <v>Met</v>
      </c>
      <c r="BB377" s="21" t="str">
        <f aca="false">IF(AS377="","",TEXT(AS377,"MMM")&amp;"'"&amp;TEXT(AS377,"yy"))</f>
        <v>Jun'26</v>
      </c>
      <c r="BC377" s="0" t="str">
        <f aca="false">IF(AU377="","",TEXT(AU377,"MMM")&amp;"'"&amp;TEXT(AU377,"yy"))</f>
        <v>Jun'26</v>
      </c>
    </row>
    <row r="378" customFormat="false" ht="15" hidden="false" customHeight="false" outlineLevel="0" collapsed="false">
      <c r="A378" s="1" t="s">
        <v>1258</v>
      </c>
      <c r="B378" s="11" t="n">
        <v>46178</v>
      </c>
      <c r="C378" s="12" t="n">
        <v>0.0402777777777778</v>
      </c>
      <c r="D378" s="13" t="str">
        <f aca="false">IF(B378="","",TEXT(B378,"MMM")&amp;"'"&amp;TEXT(B378,"yy"))</f>
        <v>Jun'26</v>
      </c>
      <c r="E378" s="1" t="s">
        <v>55</v>
      </c>
      <c r="F378" s="1" t="s">
        <v>39</v>
      </c>
      <c r="G378" s="1" t="str">
        <f aca="false">IF(F378="Closed","Closed","Pending")</f>
        <v>Closed</v>
      </c>
      <c r="H378" s="27" t="s">
        <v>691</v>
      </c>
      <c r="I378" s="1" t="s">
        <v>436</v>
      </c>
      <c r="J378" s="1" t="s">
        <v>74</v>
      </c>
      <c r="K378" s="1" t="s">
        <v>59</v>
      </c>
      <c r="L378" s="35" t="s">
        <v>1259</v>
      </c>
      <c r="M378" s="1" t="s">
        <v>1257</v>
      </c>
      <c r="N378" s="1" t="s">
        <v>65</v>
      </c>
      <c r="O378" s="1" t="s">
        <v>106</v>
      </c>
      <c r="Q378" s="1" t="s">
        <v>65</v>
      </c>
      <c r="R378" s="1" t="s">
        <v>87</v>
      </c>
      <c r="U378" s="12" t="n">
        <v>0.10625</v>
      </c>
      <c r="V378" s="11" t="n">
        <v>46181</v>
      </c>
      <c r="W378" s="12" t="n">
        <v>0.875694444444444</v>
      </c>
      <c r="X378" s="11" t="n">
        <v>46188</v>
      </c>
      <c r="Y378" s="12" t="n">
        <v>0.938888888888889</v>
      </c>
      <c r="Z378" s="1" t="s">
        <v>67</v>
      </c>
      <c r="AA378" s="1" t="s">
        <v>68</v>
      </c>
      <c r="AB378" s="2" t="n">
        <f aca="false">U378-C378</f>
        <v>0.0659722222222222</v>
      </c>
      <c r="AC378" s="14" t="n">
        <f aca="false">(V378+W378)-(B378+C378)</f>
        <v>3.83541666666667</v>
      </c>
      <c r="AD378" s="4" t="str">
        <f aca="false">INT((V378+W378)-(B378+C378)) &amp; ":" &amp;
TEXT(HOUR((V378+W378)-(B378+C378)), "00") &amp; ":" &amp;
TEXT(MINUTE((V378+W378)-(B378+C378)), "00")</f>
        <v>3:20:03</v>
      </c>
      <c r="AE378" s="1" t="n">
        <f aca="false">IFERROR(
LEFT(AD378,FIND(":",AD378)-1)
+ MID(AD378,FIND(":",AD378)+1,2)/24
+ RIGHT(AD378,2)/1440,
"")</f>
        <v>3.83541666666667</v>
      </c>
      <c r="AF378" s="4" t="str">
        <f aca="false">INT((X378+Y378)-(B378+C378)) &amp; ":" &amp;
TEXT(HOUR((X378+Y378)-(B378+C378)), "00") &amp; ":" &amp;
TEXT(MINUTE((X378+Y378)-(B378+C378)), "00")</f>
        <v>10:21:34</v>
      </c>
      <c r="AG378" s="4" t="str">
        <f aca="false" t="array" ref="AG378:AG378">INT(_xlfn.XLOOKUP(J378,{"Low","Medium","High","Urgent"},{48,24,12,8})/24) &amp; ":" &amp;
TEXT(MOD(_xlfn.XLOOKUP(J378,{"Low","Medium","High","Urgent"},{48,24,12,8}),24)/24,"hh:mm")</f>
        <v>2:00:00</v>
      </c>
      <c r="AH378" s="4" t="str">
        <f aca="false">IF(AD378&gt;AG378,"Not Met","Met")</f>
        <v>Not Met</v>
      </c>
      <c r="AI378" s="4" t="str">
        <f aca="false">IF(AB378&lt;TIME(0,30,0),"Met","Not Met")</f>
        <v>Not Met</v>
      </c>
      <c r="AN378" s="1" t="str">
        <f aca="false">TEXT(B378,"dd")</f>
        <v>05</v>
      </c>
      <c r="AO378" s="1" t="str">
        <f aca="false">TEXT(X378,"dd")</f>
        <v>15</v>
      </c>
      <c r="AP378" s="16" t="str">
        <f aca="false">INT(
  NETWORKDAYS(B378,V378)-1
  + IF(WEEKDAY(V378,2)&lt;6,MOD(V378+W378,1),0)
  - IF(WEEKDAY(B378,2)&lt;6,MOD(B378+C378,1),0)
)
&amp; ":" &amp;
TEXT(HOUR(
  NETWORKDAYS(B378,V378)-1
  + IF(WEEKDAY(V378,2)&lt;6,MOD(V378+W378,1),0)
  - IF(WEEKDAY(B378,2)&lt;6,MOD(B378+C378,1),0)
),"00")
&amp; ":" &amp;
TEXT(MINUTE(
  NETWORKDAYS(B378,V378)-1
  + IF(WEEKDAY(V378,2)&lt;6,MOD(V378+W378,1),0)
  - IF(WEEKDAY(B378,2)&lt;6,MOD(B378+C378,1),0)
),"00")</f>
        <v>1:20:03</v>
      </c>
      <c r="AQ378" s="0" t="n">
        <f aca="false">IFERROR(
LEFT(AP378,FIND(":",AP378)-1)
+ MID(AP378,FIND(":",AP378)+1,2)/24
+ RIGHT(AP378,2)/1440,
"")</f>
        <v>1.83541666666667</v>
      </c>
      <c r="AR378" s="0" t="n">
        <f aca="false">WEEKNUM(B378,1)</f>
        <v>23</v>
      </c>
      <c r="AS378" s="17" t="n">
        <f aca="false">IF(B378&gt;0, (B378+C378)-TIME(13,30,0), "")</f>
        <v>46177.4777777778</v>
      </c>
      <c r="AT378" s="18" t="n">
        <f aca="false">IF(B378&gt;0, (B378+C378)-TIME(13,30,0), "")</f>
        <v>46177.4777777778</v>
      </c>
      <c r="AU378" s="17" t="n">
        <f aca="false">IF(V378&gt;0, (V378+W378)-TIME(13,30,0), "")</f>
        <v>46181.3131944445</v>
      </c>
      <c r="AV378" s="18" t="n">
        <f aca="false">IF(V378&gt;0, (V378+W378)-TIME(13,30,0), "")</f>
        <v>46181.3131944445</v>
      </c>
      <c r="AW378" s="19" t="n">
        <f aca="false">24*(
MAX(0,
IF(NETWORKDAYS(AS378,AU378)=1,
MIN(MOD(AV378,1),TIME(17,30,0)) - MAX(MOD(AT378,1),TIME(8,30,0)),
(TIME(17,30,0)-MAX(MOD(AT378,1),TIME(8,30,0)))
+ (MIN(MOD(AV378,1),TIME(17,30,0))-TIME(8,30,0))
+ (NETWORKDAYS(AS378,AU378)-2)*9/24
)
)
)</f>
        <v>14.05</v>
      </c>
      <c r="AX378" s="19" t="n">
        <f aca="false">24*(
MAX(0,
IF(NETWORKDAYS(AS378,AU378)=1,
MIN(MOD(AV378,1),TIME(17,30,0)) - MAX(MOD(AT378,1),TIME(8,30,0)),
(TIME(17,30,0)-MAX(MOD(AT378,1),TIME(8,30,0)))
+ (MIN(MOD(AV378,1),TIME(17,30,0))-TIME(8,30,0))
+ (NETWORKDAYS(AS378,AU378)-2)* (TIME(17,30,0)-TIME(8,30,0))
)
)
)</f>
        <v>14.05</v>
      </c>
      <c r="AY378" s="20" t="n">
        <f aca="false">ROUND(
IF(AS378=AU378,
MAX(0,
(MIN(MOD(AV378,1),TIME(17,30,0))-
MAX(MOD(AT378,1),TIME(8,30,0)))*24
),
(
(MAX(0,TIME(17,30,0)-MAX(MOD(AT378,1),TIME(8,30,0)))*24)
+
(MAX(0,MIN(MOD(AV378,1),TIME(17,30,0))-TIME(8,30,0))*24)
+
(MAX(0,NETWORKDAYS(AS378+1,AU378-1))*9)
)
),
2)</f>
        <v>15.03</v>
      </c>
      <c r="AZ378" s="0" t="n">
        <f aca="false" t="array" ref="AZ378:AZ378">_xlfn.XLOOKUP(J378,{"Low","Medium","High"},{270,72,24})</f>
        <v>270</v>
      </c>
      <c r="BA378" s="0" t="str">
        <f aca="false">IF(AW378&gt;AZ378,"Not Met","Met")</f>
        <v>Met</v>
      </c>
      <c r="BB378" s="21" t="str">
        <f aca="false">IF(AS378="","",TEXT(AS378,"MMM")&amp;"'"&amp;TEXT(AS378,"yy"))</f>
        <v>Jun'26</v>
      </c>
      <c r="BC378" s="0" t="str">
        <f aca="false">IF(AU378="","",TEXT(AU378,"MMM")&amp;"'"&amp;TEXT(AU378,"yy"))</f>
        <v>Jun'26</v>
      </c>
    </row>
    <row r="379" customFormat="false" ht="15" hidden="false" customHeight="false" outlineLevel="0" collapsed="false">
      <c r="A379" s="1" t="s">
        <v>1260</v>
      </c>
      <c r="B379" s="11" t="n">
        <v>46179</v>
      </c>
      <c r="C379" s="12" t="n">
        <v>0.0236111111111111</v>
      </c>
      <c r="D379" s="13" t="str">
        <f aca="false">IF(B379="","",TEXT(B379,"MMM")&amp;"'"&amp;TEXT(B379,"yy"))</f>
        <v>Jun'26</v>
      </c>
      <c r="E379" s="1" t="s">
        <v>55</v>
      </c>
      <c r="F379" s="1" t="s">
        <v>140</v>
      </c>
      <c r="G379" s="1" t="str">
        <f aca="false">IF(F379="Closed","Closed","Pending")</f>
        <v>Pending</v>
      </c>
      <c r="H379" s="27" t="s">
        <v>691</v>
      </c>
      <c r="I379" s="1" t="s">
        <v>270</v>
      </c>
      <c r="J379" s="1" t="s">
        <v>74</v>
      </c>
      <c r="K379" s="1" t="s">
        <v>59</v>
      </c>
      <c r="L379" s="35" t="s">
        <v>1261</v>
      </c>
      <c r="M379" s="1" t="s">
        <v>1262</v>
      </c>
      <c r="N379" s="1" t="s">
        <v>65</v>
      </c>
      <c r="O379" s="1" t="s">
        <v>77</v>
      </c>
      <c r="Q379" s="1" t="s">
        <v>65</v>
      </c>
      <c r="R379" s="1" t="s">
        <v>87</v>
      </c>
      <c r="U379" s="12" t="n">
        <v>0.0291666666666667</v>
      </c>
      <c r="Z379" s="1" t="s">
        <v>108</v>
      </c>
      <c r="AB379" s="2" t="n">
        <f aca="false">U379-C379</f>
        <v>0.00555555555555556</v>
      </c>
      <c r="AC379" s="14" t="n">
        <f aca="false">(V379+W379)-(B379+C379)</f>
        <v>-46179.0236111111</v>
      </c>
      <c r="AD379" s="4" t="str">
        <f aca="false">INT((V379+W379)-(B379+C379)) &amp; ":" &amp;
TEXT(HOUR((V379+W379)-(B379+C379)), "00") &amp; ":" &amp;
TEXT(MINUTE((V379+W379)-(B379+C379)), "00")</f>
        <v>-46180:23:26</v>
      </c>
      <c r="AE379" s="1" t="n">
        <f aca="false">IFERROR(
LEFT(AD379,FIND(":",AD379)-1)
+ MID(AD379,FIND(":",AD379)+1,2)/24
+ RIGHT(AD379,2)/1440,
"")</f>
        <v>-46179.0236111111</v>
      </c>
      <c r="AF379" s="4" t="str">
        <f aca="false">INT((X379+Y379)-(B379+C379)) &amp; ":" &amp;
TEXT(HOUR((X379+Y379)-(B379+C379)), "00") &amp; ":" &amp;
TEXT(MINUTE((X379+Y379)-(B379+C379)), "00")</f>
        <v>-46180:23:26</v>
      </c>
      <c r="AG379" s="4" t="str">
        <f aca="false" t="array" ref="AG379:AG379">INT(_xlfn.XLOOKUP(J379,{"Low","Medium","High","Urgent"},{48,24,12,8})/24) &amp; ":" &amp;
TEXT(MOD(_xlfn.XLOOKUP(J379,{"Low","Medium","High","Urgent"},{48,24,12,8}),24)/24,"hh:mm")</f>
        <v>2:00:00</v>
      </c>
      <c r="AH379" s="4" t="str">
        <f aca="false">IF(AD379&gt;AG379,"Not Met","Met")</f>
        <v>Met</v>
      </c>
      <c r="AI379" s="4" t="str">
        <f aca="false">IF(AB379&lt;TIME(0,30,0),"Met","Not Met")</f>
        <v>Met</v>
      </c>
      <c r="AN379" s="1" t="str">
        <f aca="false">TEXT(B379,"dd")</f>
        <v>06</v>
      </c>
      <c r="AO379" s="1" t="str">
        <f aca="false">TEXT(X379,"dd")</f>
        <v>30</v>
      </c>
      <c r="AP379" s="16" t="str">
        <f aca="false">INT(
  NETWORKDAYS(B379,V379)-1
  + IF(WEEKDAY(V379,2)&lt;6,MOD(V379+W379,1),0)
  - IF(WEEKDAY(B379,2)&lt;6,MOD(B379+C379,1),0)
)
&amp; ":" &amp;
TEXT(HOUR(
  NETWORKDAYS(B379,V379)-1
  + IF(WEEKDAY(V379,2)&lt;6,MOD(V379+W379,1),0)
  - IF(WEEKDAY(B379,2)&lt;6,MOD(B379+C379,1),0)
),"00")
&amp; ":" &amp;
TEXT(MINUTE(
  NETWORKDAYS(B379,V379)-1
  + IF(WEEKDAY(V379,2)&lt;6,MOD(V379+W379,1),0)
  - IF(WEEKDAY(B379,2)&lt;6,MOD(B379+C379,1),0)
),"00")</f>
        <v>-32986:00:00</v>
      </c>
      <c r="AQ379" s="0" t="n">
        <f aca="false">IFERROR(
LEFT(AP379,FIND(":",AP379)-1)
+ MID(AP379,FIND(":",AP379)+1,2)/24
+ RIGHT(AP379,2)/1440,
"")</f>
        <v>-32986</v>
      </c>
      <c r="AR379" s="0" t="n">
        <f aca="false">WEEKNUM(B379,1)</f>
        <v>23</v>
      </c>
      <c r="AS379" s="17" t="n">
        <f aca="false">IF(B379&gt;0, (B379+C379)-TIME(13,30,0), "")</f>
        <v>46178.4611111111</v>
      </c>
      <c r="AT379" s="18" t="n">
        <f aca="false">IF(B379&gt;0, (B379+C379)-TIME(13,30,0), "")</f>
        <v>46178.4611111111</v>
      </c>
      <c r="AU379" s="17" t="str">
        <f aca="false">IF(V379&gt;0, (V379+W379)-TIME(13,30,0), "")</f>
        <v/>
      </c>
      <c r="AV379" s="18" t="str">
        <f aca="false">IF(V379&gt;0, (V379+W379)-TIME(13,30,0), "")</f>
        <v/>
      </c>
      <c r="AW379" s="19" t="e">
        <f aca="false">24*(
MAX(0,
IF(NETWORKDAYS(AS379,AU379)=1,
MIN(MOD(AV379,1),TIME(17,30,0)) - MAX(MOD(AT379,1),TIME(8,30,0)),
(TIME(17,30,0)-MAX(MOD(AT379,1),TIME(8,30,0)))
+ (MIN(MOD(AV379,1),TIME(17,30,0))-TIME(8,30,0))
+ (NETWORKDAYS(AS379,AU379)-2)*9/24
)
)
)</f>
        <v>#VALUE!</v>
      </c>
      <c r="AX379" s="19" t="e">
        <f aca="false">24*(
MAX(0,
IF(NETWORKDAYS(AS379,AU379)=1,
MIN(MOD(AV379,1),TIME(17,30,0)) - MAX(MOD(AT379,1),TIME(8,30,0)),
(TIME(17,30,0)-MAX(MOD(AT379,1),TIME(8,30,0)))
+ (MIN(MOD(AV379,1),TIME(17,30,0))-TIME(8,30,0))
+ (NETWORKDAYS(AS379,AU379)-2)* (TIME(17,30,0)-TIME(8,30,0))
)
)
)</f>
        <v>#VALUE!</v>
      </c>
      <c r="AY379" s="20" t="e">
        <f aca="false">ROUND(
IF(AS379=AU379,
MAX(0,
(MIN(MOD(AV379,1),TIME(17,30,0))-
MAX(MOD(AT379,1),TIME(8,30,0)))*24
),
(
(MAX(0,TIME(17,30,0)-MAX(MOD(AT379,1),TIME(8,30,0)))*24)
+
(MAX(0,MIN(MOD(AV379,1),TIME(17,30,0))-TIME(8,30,0))*24)
+
(MAX(0,NETWORKDAYS(AS379+1,AU379-1))*9)
)
),
2)</f>
        <v>#VALUE!</v>
      </c>
      <c r="AZ379" s="0" t="n">
        <f aca="false" t="array" ref="AZ379:AZ379">_xlfn.XLOOKUP(J379,{"Low","Medium","High"},{270,72,24})</f>
        <v>270</v>
      </c>
      <c r="BA379" s="0" t="e">
        <f aca="false">IF(AW379&gt;AZ379,"Not Met","Met")</f>
        <v>#VALUE!</v>
      </c>
      <c r="BB379" s="21" t="str">
        <f aca="false">IF(AS379="","",TEXT(AS379,"MMM")&amp;"'"&amp;TEXT(AS379,"yy"))</f>
        <v>Jun'26</v>
      </c>
      <c r="BC379" s="0" t="str">
        <f aca="false">IF(AU379="","",TEXT(AU379,"MMM")&amp;"'"&amp;TEXT(AU379,"yy"))</f>
        <v/>
      </c>
    </row>
    <row r="380" customFormat="false" ht="15" hidden="false" customHeight="false" outlineLevel="0" collapsed="false">
      <c r="A380" s="1" t="s">
        <v>1263</v>
      </c>
      <c r="B380" s="11" t="n">
        <v>46181</v>
      </c>
      <c r="C380" s="12" t="n">
        <v>0.753472222222222</v>
      </c>
      <c r="D380" s="13" t="str">
        <f aca="false">IF(B380="","",TEXT(B380,"MMM")&amp;"'"&amp;TEXT(B380,"yy"))</f>
        <v>Jun'26</v>
      </c>
      <c r="E380" s="1" t="s">
        <v>55</v>
      </c>
      <c r="F380" s="34" t="s">
        <v>1130</v>
      </c>
      <c r="G380" s="1" t="str">
        <f aca="false">IF(F380="Closed","Closed","Pending")</f>
        <v>Pending</v>
      </c>
      <c r="H380" s="27" t="s">
        <v>185</v>
      </c>
      <c r="I380" s="1" t="s">
        <v>302</v>
      </c>
      <c r="J380" s="1" t="s">
        <v>74</v>
      </c>
      <c r="K380" s="1" t="s">
        <v>59</v>
      </c>
      <c r="L380" s="35" t="s">
        <v>1264</v>
      </c>
      <c r="M380" s="1" t="s">
        <v>1265</v>
      </c>
      <c r="N380" s="1" t="s">
        <v>62</v>
      </c>
      <c r="O380" s="1" t="s">
        <v>63</v>
      </c>
      <c r="Q380" s="1" t="s">
        <v>63</v>
      </c>
      <c r="R380" s="1" t="s">
        <v>87</v>
      </c>
      <c r="U380" s="12" t="n">
        <v>0.880555555555556</v>
      </c>
      <c r="Z380" s="1" t="s">
        <v>67</v>
      </c>
      <c r="AB380" s="2" t="n">
        <f aca="false">U380-C380</f>
        <v>0.127083333333333</v>
      </c>
      <c r="AC380" s="14" t="n">
        <f aca="false">(V380+W380)-(B380+C380)</f>
        <v>-46181.7534722222</v>
      </c>
      <c r="AD380" s="4" t="str">
        <f aca="false">INT((V380+W380)-(B380+C380)) &amp; ":" &amp;
TEXT(HOUR((V380+W380)-(B380+C380)), "00") &amp; ":" &amp;
TEXT(MINUTE((V380+W380)-(B380+C380)), "00")</f>
        <v>-46182:05:55</v>
      </c>
      <c r="AE380" s="1" t="n">
        <f aca="false">IFERROR(
LEFT(AD380,FIND(":",AD380)-1)
+ MID(AD380,FIND(":",AD380)+1,2)/24
+ RIGHT(AD380,2)/1440,
"")</f>
        <v>-46181.7534722222</v>
      </c>
      <c r="AF380" s="4" t="str">
        <f aca="false">INT((X380+Y380)-(B380+C380)) &amp; ":" &amp;
TEXT(HOUR((X380+Y380)-(B380+C380)), "00") &amp; ":" &amp;
TEXT(MINUTE((X380+Y380)-(B380+C380)), "00")</f>
        <v>-46182:05:55</v>
      </c>
      <c r="AG380" s="4" t="str">
        <f aca="false" t="array" ref="AG380:AG380">INT(_xlfn.XLOOKUP(J380,{"Low","Medium","High","Urgent"},{48,24,12,8})/24) &amp; ":" &amp;
TEXT(MOD(_xlfn.XLOOKUP(J380,{"Low","Medium","High","Urgent"},{48,24,12,8}),24)/24,"hh:mm")</f>
        <v>2:00:00</v>
      </c>
      <c r="AH380" s="4" t="str">
        <f aca="false">IF(AD380&gt;AG380,"Not Met","Met")</f>
        <v>Met</v>
      </c>
      <c r="AI380" s="4" t="str">
        <f aca="false">IF(AB380&lt;TIME(0,30,0),"Met","Not Met")</f>
        <v>Not Met</v>
      </c>
      <c r="AN380" s="1" t="str">
        <f aca="false">TEXT(B380,"dd")</f>
        <v>08</v>
      </c>
      <c r="AO380" s="1" t="str">
        <f aca="false">TEXT(X380,"dd")</f>
        <v>30</v>
      </c>
      <c r="AP380" s="16" t="str">
        <f aca="false">INT(
  NETWORKDAYS(B380,V380)-1
  + IF(WEEKDAY(V380,2)&lt;6,MOD(V380+W380,1),0)
  - IF(WEEKDAY(B380,2)&lt;6,MOD(B380+C380,1),0)
)
&amp; ":" &amp;
TEXT(HOUR(
  NETWORKDAYS(B380,V380)-1
  + IF(WEEKDAY(V380,2)&lt;6,MOD(V380+W380,1),0)
  - IF(WEEKDAY(B380,2)&lt;6,MOD(B380+C380,1),0)
),"00")
&amp; ":" &amp;
TEXT(MINUTE(
  NETWORKDAYS(B380,V380)-1
  + IF(WEEKDAY(V380,2)&lt;6,MOD(V380+W380,1),0)
  - IF(WEEKDAY(B380,2)&lt;6,MOD(B380+C380,1),0)
),"00")</f>
        <v>-32988:05:55</v>
      </c>
      <c r="AQ380" s="0" t="n">
        <f aca="false">IFERROR(
LEFT(AP380,FIND(":",AP380)-1)
+ MID(AP380,FIND(":",AP380)+1,2)/24
+ RIGHT(AP380,2)/1440,
"")</f>
        <v>-32987.7534722222</v>
      </c>
      <c r="AR380" s="0" t="n">
        <f aca="false">WEEKNUM(B380,1)</f>
        <v>24</v>
      </c>
      <c r="AS380" s="17" t="n">
        <f aca="false">IF(B380&gt;0, (B380+C380)-TIME(13,30,0), "")</f>
        <v>46181.1909722222</v>
      </c>
      <c r="AT380" s="18" t="n">
        <f aca="false">IF(B380&gt;0, (B380+C380)-TIME(13,30,0), "")</f>
        <v>46181.1909722222</v>
      </c>
      <c r="AU380" s="17" t="str">
        <f aca="false">IF(V380&gt;0, (V380+W380)-TIME(13,30,0), "")</f>
        <v/>
      </c>
      <c r="AV380" s="18" t="str">
        <f aca="false">IF(V380&gt;0, (V380+W380)-TIME(13,30,0), "")</f>
        <v/>
      </c>
      <c r="AW380" s="19" t="e">
        <f aca="false">24*(
MAX(0,
IF(NETWORKDAYS(AS380,AU380)=1,
MIN(MOD(AV380,1),TIME(17,30,0)) - MAX(MOD(AT380,1),TIME(8,30,0)),
(TIME(17,30,0)-MAX(MOD(AT380,1),TIME(8,30,0)))
+ (MIN(MOD(AV380,1),TIME(17,30,0))-TIME(8,30,0))
+ (NETWORKDAYS(AS380,AU380)-2)*9/24
)
)
)</f>
        <v>#VALUE!</v>
      </c>
      <c r="AX380" s="19" t="e">
        <f aca="false">24*(
MAX(0,
IF(NETWORKDAYS(AS380,AU380)=1,
MIN(MOD(AV380,1),TIME(17,30,0)) - MAX(MOD(AT380,1),TIME(8,30,0)),
(TIME(17,30,0)-MAX(MOD(AT380,1),TIME(8,30,0)))
+ (MIN(MOD(AV380,1),TIME(17,30,0))-TIME(8,30,0))
+ (NETWORKDAYS(AS380,AU380)-2)* (TIME(17,30,0)-TIME(8,30,0))
)
)
)</f>
        <v>#VALUE!</v>
      </c>
      <c r="AY380" s="20" t="e">
        <f aca="false">ROUND(
IF(AS380=AU380,
MAX(0,
(MIN(MOD(AV380,1),TIME(17,30,0))-
MAX(MOD(AT380,1),TIME(8,30,0)))*24
),
(
(MAX(0,TIME(17,30,0)-MAX(MOD(AT380,1),TIME(8,30,0)))*24)
+
(MAX(0,MIN(MOD(AV380,1),TIME(17,30,0))-TIME(8,30,0))*24)
+
(MAX(0,NETWORKDAYS(AS380+1,AU380-1))*9)
)
),
2)</f>
        <v>#VALUE!</v>
      </c>
      <c r="AZ380" s="0" t="n">
        <f aca="false" t="array" ref="AZ380:AZ380">_xlfn.XLOOKUP(J380,{"Low","Medium","High"},{270,72,24})</f>
        <v>270</v>
      </c>
      <c r="BA380" s="0" t="e">
        <f aca="false">IF(AW380&gt;AZ380,"Not Met","Met")</f>
        <v>#VALUE!</v>
      </c>
      <c r="BB380" s="21" t="str">
        <f aca="false">IF(AS380="","",TEXT(AS380,"MMM")&amp;"'"&amp;TEXT(AS380,"yy"))</f>
        <v>Jun'26</v>
      </c>
      <c r="BC380" s="0" t="str">
        <f aca="false">IF(AU380="","",TEXT(AU380,"MMM")&amp;"'"&amp;TEXT(AU380,"yy"))</f>
        <v/>
      </c>
    </row>
    <row r="381" customFormat="false" ht="15" hidden="false" customHeight="false" outlineLevel="0" collapsed="false">
      <c r="A381" s="1" t="s">
        <v>1266</v>
      </c>
      <c r="B381" s="11" t="n">
        <v>46181</v>
      </c>
      <c r="C381" s="12" t="n">
        <v>0.870138888888889</v>
      </c>
      <c r="D381" s="13" t="str">
        <f aca="false">IF(B381="","",TEXT(B381,"MMM")&amp;"'"&amp;TEXT(B381,"yy"))</f>
        <v>Jun'26</v>
      </c>
      <c r="E381" s="1" t="s">
        <v>55</v>
      </c>
      <c r="F381" s="1" t="s">
        <v>140</v>
      </c>
      <c r="G381" s="1" t="str">
        <f aca="false">IF(F381="Closed","Closed","Pending")</f>
        <v>Pending</v>
      </c>
      <c r="H381" s="27" t="s">
        <v>72</v>
      </c>
      <c r="I381" s="1" t="s">
        <v>1015</v>
      </c>
      <c r="J381" s="1" t="s">
        <v>74</v>
      </c>
      <c r="K381" s="1" t="s">
        <v>59</v>
      </c>
      <c r="L381" s="35" t="s">
        <v>1267</v>
      </c>
      <c r="M381" s="69" t="s">
        <v>1268</v>
      </c>
      <c r="N381" s="1" t="s">
        <v>65</v>
      </c>
      <c r="O381" s="1" t="s">
        <v>77</v>
      </c>
      <c r="Q381" s="1" t="s">
        <v>65</v>
      </c>
      <c r="R381" s="1" t="s">
        <v>1269</v>
      </c>
      <c r="U381" s="12" t="n">
        <v>0.880555555555556</v>
      </c>
      <c r="Z381" s="1" t="s">
        <v>108</v>
      </c>
      <c r="AB381" s="2" t="n">
        <f aca="false">U381-C381</f>
        <v>0.0104166666666667</v>
      </c>
      <c r="AC381" s="14" t="n">
        <f aca="false">(V381+W381)-(B381+C381)</f>
        <v>-46181.8701388889</v>
      </c>
      <c r="AD381" s="4" t="str">
        <f aca="false">INT((V381+W381)-(B381+C381)) &amp; ":" &amp;
TEXT(HOUR((V381+W381)-(B381+C381)), "00") &amp; ":" &amp;
TEXT(MINUTE((V381+W381)-(B381+C381)), "00")</f>
        <v>-46182:03:07</v>
      </c>
      <c r="AE381" s="1" t="n">
        <f aca="false">IFERROR(
LEFT(AD381,FIND(":",AD381)-1)
+ MID(AD381,FIND(":",AD381)+1,2)/24
+ RIGHT(AD381,2)/1440,
"")</f>
        <v>-46181.8701388889</v>
      </c>
      <c r="AF381" s="4" t="str">
        <f aca="false">INT((X381+Y381)-(B381+C381)) &amp; ":" &amp;
TEXT(HOUR((X381+Y381)-(B381+C381)), "00") &amp; ":" &amp;
TEXT(MINUTE((X381+Y381)-(B381+C381)), "00")</f>
        <v>-46182:03:07</v>
      </c>
      <c r="AG381" s="4" t="str">
        <f aca="false" t="array" ref="AG381:AG381">INT(_xlfn.XLOOKUP(J381,{"Low","Medium","High","Urgent"},{48,24,12,8})/24) &amp; ":" &amp;
TEXT(MOD(_xlfn.XLOOKUP(J381,{"Low","Medium","High","Urgent"},{48,24,12,8}),24)/24,"hh:mm")</f>
        <v>2:00:00</v>
      </c>
      <c r="AH381" s="4" t="str">
        <f aca="false">IF(AD381&gt;AG381,"Not Met","Met")</f>
        <v>Met</v>
      </c>
      <c r="AI381" s="4" t="str">
        <f aca="false">IF(AB381&lt;TIME(0,30,0),"Met","Not Met")</f>
        <v>Met</v>
      </c>
      <c r="AN381" s="1" t="str">
        <f aca="false">TEXT(B381,"dd")</f>
        <v>08</v>
      </c>
      <c r="AO381" s="1" t="str">
        <f aca="false">TEXT(X381,"dd")</f>
        <v>30</v>
      </c>
      <c r="AP381" s="16" t="str">
        <f aca="false">INT(
  NETWORKDAYS(B381,V381)-1
  + IF(WEEKDAY(V381,2)&lt;6,MOD(V381+W381,1),0)
  - IF(WEEKDAY(B381,2)&lt;6,MOD(B381+C381,1),0)
)
&amp; ":" &amp;
TEXT(HOUR(
  NETWORKDAYS(B381,V381)-1
  + IF(WEEKDAY(V381,2)&lt;6,MOD(V381+W381,1),0)
  - IF(WEEKDAY(B381,2)&lt;6,MOD(B381+C381,1),0)
),"00")
&amp; ":" &amp;
TEXT(MINUTE(
  NETWORKDAYS(B381,V381)-1
  + IF(WEEKDAY(V381,2)&lt;6,MOD(V381+W381,1),0)
  - IF(WEEKDAY(B381,2)&lt;6,MOD(B381+C381,1),0)
),"00")</f>
        <v>-32988:03:07</v>
      </c>
      <c r="AQ381" s="0" t="n">
        <f aca="false">IFERROR(
LEFT(AP381,FIND(":",AP381)-1)
+ MID(AP381,FIND(":",AP381)+1,2)/24
+ RIGHT(AP381,2)/1440,
"")</f>
        <v>-32987.8701388889</v>
      </c>
      <c r="AR381" s="0" t="n">
        <f aca="false">WEEKNUM(B381,1)</f>
        <v>24</v>
      </c>
      <c r="AS381" s="17" t="n">
        <f aca="false">IF(B381&gt;0, (B381+C381)-TIME(13,30,0), "")</f>
        <v>46181.3076388889</v>
      </c>
      <c r="AT381" s="18" t="n">
        <f aca="false">IF(B381&gt;0, (B381+C381)-TIME(13,30,0), "")</f>
        <v>46181.3076388889</v>
      </c>
      <c r="AU381" s="17" t="str">
        <f aca="false">IF(V381&gt;0, (V381+W381)-TIME(13,30,0), "")</f>
        <v/>
      </c>
      <c r="AV381" s="18" t="str">
        <f aca="false">IF(V381&gt;0, (V381+W381)-TIME(13,30,0), "")</f>
        <v/>
      </c>
      <c r="AW381" s="19" t="e">
        <f aca="false">24*(
MAX(0,
IF(NETWORKDAYS(AS381,AU381)=1,
MIN(MOD(AV381,1),TIME(17,30,0)) - MAX(MOD(AT381,1),TIME(8,30,0)),
(TIME(17,30,0)-MAX(MOD(AT381,1),TIME(8,30,0)))
+ (MIN(MOD(AV381,1),TIME(17,30,0))-TIME(8,30,0))
+ (NETWORKDAYS(AS381,AU381)-2)*9/24
)
)
)</f>
        <v>#VALUE!</v>
      </c>
      <c r="AX381" s="19" t="e">
        <f aca="false">24*(
MAX(0,
IF(NETWORKDAYS(AS381,AU381)=1,
MIN(MOD(AV381,1),TIME(17,30,0)) - MAX(MOD(AT381,1),TIME(8,30,0)),
(TIME(17,30,0)-MAX(MOD(AT381,1),TIME(8,30,0)))
+ (MIN(MOD(AV381,1),TIME(17,30,0))-TIME(8,30,0))
+ (NETWORKDAYS(AS381,AU381)-2)* (TIME(17,30,0)-TIME(8,30,0))
)
)
)</f>
        <v>#VALUE!</v>
      </c>
      <c r="AY381" s="20" t="e">
        <f aca="false">ROUND(
IF(AS381=AU381,
MAX(0,
(MIN(MOD(AV381,1),TIME(17,30,0))-
MAX(MOD(AT381,1),TIME(8,30,0)))*24
),
(
(MAX(0,TIME(17,30,0)-MAX(MOD(AT381,1),TIME(8,30,0)))*24)
+
(MAX(0,MIN(MOD(AV381,1),TIME(17,30,0))-TIME(8,30,0))*24)
+
(MAX(0,NETWORKDAYS(AS381+1,AU381-1))*9)
)
),
2)</f>
        <v>#VALUE!</v>
      </c>
      <c r="AZ381" s="0" t="n">
        <f aca="false" t="array" ref="AZ381:AZ381">_xlfn.XLOOKUP(J381,{"Low","Medium","High"},{270,72,24})</f>
        <v>270</v>
      </c>
      <c r="BA381" s="0" t="e">
        <f aca="false">IF(AW381&gt;AZ381,"Not Met","Met")</f>
        <v>#VALUE!</v>
      </c>
      <c r="BB381" s="21" t="str">
        <f aca="false">IF(AS381="","",TEXT(AS381,"MMM")&amp;"'"&amp;TEXT(AS381,"yy"))</f>
        <v>Jun'26</v>
      </c>
      <c r="BC381" s="0" t="str">
        <f aca="false">IF(AU381="","",TEXT(AU381,"MMM")&amp;"'"&amp;TEXT(AU381,"yy"))</f>
        <v/>
      </c>
    </row>
    <row r="382" customFormat="false" ht="15" hidden="false" customHeight="false" outlineLevel="0" collapsed="false">
      <c r="A382" s="1" t="s">
        <v>1270</v>
      </c>
      <c r="B382" s="11" t="n">
        <v>46182</v>
      </c>
      <c r="C382" s="12" t="n">
        <v>0.00625</v>
      </c>
      <c r="D382" s="13" t="str">
        <f aca="false">IF(B382="","",TEXT(B382,"MMM")&amp;"'"&amp;TEXT(B382,"yy"))</f>
        <v>Jun'26</v>
      </c>
      <c r="E382" s="1" t="s">
        <v>55</v>
      </c>
      <c r="F382" s="1" t="s">
        <v>39</v>
      </c>
      <c r="G382" s="1" t="str">
        <f aca="false">IF(F382="Closed","Closed","Pending")</f>
        <v>Closed</v>
      </c>
      <c r="H382" s="27" t="s">
        <v>81</v>
      </c>
      <c r="I382" s="1" t="s">
        <v>386</v>
      </c>
      <c r="J382" s="1" t="s">
        <v>74</v>
      </c>
      <c r="K382" s="1" t="s">
        <v>59</v>
      </c>
      <c r="L382" s="35" t="s">
        <v>1271</v>
      </c>
      <c r="M382" s="35" t="s">
        <v>650</v>
      </c>
      <c r="N382" s="1" t="s">
        <v>65</v>
      </c>
      <c r="O382" s="1" t="s">
        <v>106</v>
      </c>
      <c r="Q382" s="1" t="s">
        <v>65</v>
      </c>
      <c r="R382" s="1" t="s">
        <v>87</v>
      </c>
      <c r="U382" s="12" t="n">
        <v>0.0284722222222222</v>
      </c>
      <c r="V382" s="11" t="n">
        <v>46184</v>
      </c>
      <c r="W382" s="12" t="n">
        <v>0.895833333333333</v>
      </c>
      <c r="X382" s="11" t="n">
        <v>46184</v>
      </c>
      <c r="Y382" s="12" t="n">
        <v>0.909027777777778</v>
      </c>
      <c r="Z382" s="1" t="s">
        <v>67</v>
      </c>
      <c r="AA382" s="1" t="s">
        <v>68</v>
      </c>
      <c r="AB382" s="2" t="n">
        <f aca="false">U382-C382</f>
        <v>0.0222222222222222</v>
      </c>
      <c r="AC382" s="14" t="n">
        <f aca="false">(V382+W382)-(B382+C382)</f>
        <v>2.88958333333333</v>
      </c>
      <c r="AD382" s="4" t="str">
        <f aca="false">INT((V382+W382)-(B382+C382)) &amp; ":" &amp;
TEXT(HOUR((V382+W382)-(B382+C382)), "00") &amp; ":" &amp;
TEXT(MINUTE((V382+W382)-(B382+C382)), "00")</f>
        <v>2:21:21</v>
      </c>
      <c r="AE382" s="1" t="n">
        <f aca="false">IFERROR(
LEFT(AD382,FIND(":",AD382)-1)
+ MID(AD382,FIND(":",AD382)+1,2)/24
+ RIGHT(AD382,2)/1440,
"")</f>
        <v>2.88958333333333</v>
      </c>
      <c r="AF382" s="4" t="str">
        <f aca="false">INT((X382+Y382)-(B382+C382)) &amp; ":" &amp;
TEXT(HOUR((X382+Y382)-(B382+C382)), "00") &amp; ":" &amp;
TEXT(MINUTE((X382+Y382)-(B382+C382)), "00")</f>
        <v>2:21:40</v>
      </c>
      <c r="AG382" s="4" t="str">
        <f aca="false" t="array" ref="AG382:AG382">INT(_xlfn.XLOOKUP(J382,{"Low","Medium","High","Urgent"},{48,24,12,8})/24) &amp; ":" &amp;
TEXT(MOD(_xlfn.XLOOKUP(J382,{"Low","Medium","High","Urgent"},{48,24,12,8}),24)/24,"hh:mm")</f>
        <v>2:00:00</v>
      </c>
      <c r="AH382" s="4" t="str">
        <f aca="false">IF(AD382&gt;AG382,"Not Met","Met")</f>
        <v>Not Met</v>
      </c>
      <c r="AI382" s="4" t="str">
        <f aca="false">IF(AB382&lt;TIME(0,30,0),"Met","Not Met")</f>
        <v>Not Met</v>
      </c>
      <c r="AN382" s="1" t="str">
        <f aca="false">TEXT(B382,"dd")</f>
        <v>09</v>
      </c>
      <c r="AO382" s="1" t="str">
        <f aca="false">TEXT(X382,"dd")</f>
        <v>11</v>
      </c>
      <c r="AP382" s="16" t="str">
        <f aca="false">INT(
  NETWORKDAYS(B382,V382)-1
  + IF(WEEKDAY(V382,2)&lt;6,MOD(V382+W382,1),0)
  - IF(WEEKDAY(B382,2)&lt;6,MOD(B382+C382,1),0)
)
&amp; ":" &amp;
TEXT(HOUR(
  NETWORKDAYS(B382,V382)-1
  + IF(WEEKDAY(V382,2)&lt;6,MOD(V382+W382,1),0)
  - IF(WEEKDAY(B382,2)&lt;6,MOD(B382+C382,1),0)
),"00")
&amp; ":" &amp;
TEXT(MINUTE(
  NETWORKDAYS(B382,V382)-1
  + IF(WEEKDAY(V382,2)&lt;6,MOD(V382+W382,1),0)
  - IF(WEEKDAY(B382,2)&lt;6,MOD(B382+C382,1),0)
),"00")</f>
        <v>2:21:21</v>
      </c>
      <c r="AQ382" s="0" t="n">
        <f aca="false">IFERROR(
LEFT(AP382,FIND(":",AP382)-1)
+ MID(AP382,FIND(":",AP382)+1,2)/24
+ RIGHT(AP382,2)/1440,
"")</f>
        <v>2.88958333333333</v>
      </c>
      <c r="AR382" s="0" t="n">
        <f aca="false">WEEKNUM(B382,1)</f>
        <v>24</v>
      </c>
      <c r="AS382" s="17" t="n">
        <f aca="false">IF(B382&gt;0, (B382+C382)-TIME(13,30,0), "")</f>
        <v>46181.44375</v>
      </c>
      <c r="AT382" s="18" t="n">
        <f aca="false">IF(B382&gt;0, (B382+C382)-TIME(13,30,0), "")</f>
        <v>46181.44375</v>
      </c>
      <c r="AU382" s="17" t="n">
        <f aca="false">IF(V382&gt;0, (V382+W382)-TIME(13,30,0), "")</f>
        <v>46184.3333333333</v>
      </c>
      <c r="AV382" s="18" t="n">
        <f aca="false">IF(V382&gt;0, (V382+W382)-TIME(13,30,0), "")</f>
        <v>46184.3333333333</v>
      </c>
      <c r="AW382" s="19" t="n">
        <f aca="false">24*(
MAX(0,
IF(NETWORKDAYS(AS382,AU382)=1,
MIN(MOD(AV382,1),TIME(17,30,0)) - MAX(MOD(AT382,1),TIME(8,30,0)),
(TIME(17,30,0)-MAX(MOD(AT382,1),TIME(8,30,0)))
+ (MIN(MOD(AV382,1),TIME(17,30,0))-TIME(8,30,0))
+ (NETWORKDAYS(AS382,AU382)-2)*9/24
)
)
)</f>
        <v>24.35</v>
      </c>
      <c r="AX382" s="19" t="n">
        <f aca="false">24*(
MAX(0,
IF(NETWORKDAYS(AS382,AU382)=1,
MIN(MOD(AV382,1),TIME(17,30,0)) - MAX(MOD(AT382,1),TIME(8,30,0)),
(TIME(17,30,0)-MAX(MOD(AT382,1),TIME(8,30,0)))
+ (MIN(MOD(AV382,1),TIME(17,30,0))-TIME(8,30,0))
+ (NETWORKDAYS(AS382,AU382)-2)* (TIME(17,30,0)-TIME(8,30,0))
)
)
)</f>
        <v>24.35</v>
      </c>
      <c r="AY382" s="20" t="n">
        <f aca="false">ROUND(
IF(AS382=AU382,
MAX(0,
(MIN(MOD(AV382,1),TIME(17,30,0))-
MAX(MOD(AT382,1),TIME(8,30,0)))*24
),
(
(MAX(0,TIME(17,30,0)-MAX(MOD(AT382,1),TIME(8,30,0)))*24)
+
(MAX(0,MIN(MOD(AV382,1),TIME(17,30,0))-TIME(8,30,0))*24)
+
(MAX(0,NETWORKDAYS(AS382+1,AU382-1))*9)
)
),
2)</f>
        <v>24.85</v>
      </c>
      <c r="AZ382" s="0" t="n">
        <f aca="false" t="array" ref="AZ382:AZ382">_xlfn.XLOOKUP(J382,{"Low","Medium","High"},{270,72,24})</f>
        <v>270</v>
      </c>
      <c r="BA382" s="0" t="str">
        <f aca="false">IF(AW382&gt;AZ382,"Not Met","Met")</f>
        <v>Met</v>
      </c>
      <c r="BB382" s="21" t="str">
        <f aca="false">IF(AS382="","",TEXT(AS382,"MMM")&amp;"'"&amp;TEXT(AS382,"yy"))</f>
        <v>Jun'26</v>
      </c>
      <c r="BC382" s="0" t="str">
        <f aca="false">IF(AU382="","",TEXT(AU382,"MMM")&amp;"'"&amp;TEXT(AU382,"yy"))</f>
        <v>Jun'26</v>
      </c>
    </row>
    <row r="383" customFormat="false" ht="15" hidden="false" customHeight="false" outlineLevel="0" collapsed="false">
      <c r="A383" s="1" t="s">
        <v>1272</v>
      </c>
      <c r="B383" s="11" t="n">
        <v>46182</v>
      </c>
      <c r="C383" s="12" t="n">
        <v>0.0340277777777778</v>
      </c>
      <c r="D383" s="13" t="str">
        <f aca="false">IF(B383="","",TEXT(B383,"MMM")&amp;"'"&amp;TEXT(B383,"yy"))</f>
        <v>Jun'26</v>
      </c>
      <c r="E383" s="1" t="s">
        <v>55</v>
      </c>
      <c r="F383" s="1" t="s">
        <v>39</v>
      </c>
      <c r="G383" s="1" t="str">
        <f aca="false">IF(F383="Closed","Closed","Pending")</f>
        <v>Closed</v>
      </c>
      <c r="H383" s="27" t="s">
        <v>691</v>
      </c>
      <c r="I383" s="1" t="s">
        <v>270</v>
      </c>
      <c r="J383" s="1" t="s">
        <v>93</v>
      </c>
      <c r="K383" s="1" t="s">
        <v>59</v>
      </c>
      <c r="L383" s="35" t="s">
        <v>1273</v>
      </c>
      <c r="M383" s="1" t="s">
        <v>1274</v>
      </c>
      <c r="N383" s="1" t="s">
        <v>65</v>
      </c>
      <c r="O383" s="1" t="s">
        <v>77</v>
      </c>
      <c r="Q383" s="1" t="s">
        <v>65</v>
      </c>
      <c r="R383" s="1" t="s">
        <v>87</v>
      </c>
      <c r="U383" s="12" t="n">
        <v>0.136111111111111</v>
      </c>
      <c r="V383" s="11" t="n">
        <v>46182</v>
      </c>
      <c r="W383" s="12" t="n">
        <v>0.967361111111111</v>
      </c>
      <c r="X383" s="11" t="n">
        <v>46186</v>
      </c>
      <c r="Y383" s="12" t="n">
        <v>0.06875</v>
      </c>
      <c r="Z383" s="1" t="s">
        <v>108</v>
      </c>
      <c r="AA383" s="1" t="s">
        <v>68</v>
      </c>
      <c r="AB383" s="2" t="n">
        <f aca="false">U383-C383</f>
        <v>0.102083333333333</v>
      </c>
      <c r="AC383" s="14" t="n">
        <f aca="false">(V383+W383)-(B383+C383)</f>
        <v>0.933333333333333</v>
      </c>
      <c r="AD383" s="4" t="str">
        <f aca="false">INT((V383+W383)-(B383+C383)) &amp; ":" &amp;
TEXT(HOUR((V383+W383)-(B383+C383)), "00") &amp; ":" &amp;
TEXT(MINUTE((V383+W383)-(B383+C383)), "00")</f>
        <v>0:22:24</v>
      </c>
      <c r="AE383" s="1" t="n">
        <f aca="false">IFERROR(
LEFT(AD383,FIND(":",AD383)-1)
+ MID(AD383,FIND(":",AD383)+1,2)/24
+ RIGHT(AD383,2)/1440,
"")</f>
        <v>0.933333333333333</v>
      </c>
      <c r="AF383" s="4" t="str">
        <f aca="false">INT((X383+Y383)-(B383+C383)) &amp; ":" &amp;
TEXT(HOUR((X383+Y383)-(B383+C383)), "00") &amp; ":" &amp;
TEXT(MINUTE((X383+Y383)-(B383+C383)), "00")</f>
        <v>4:00:50</v>
      </c>
      <c r="AG383" s="4" t="str">
        <f aca="false" t="array" ref="AG383:AG383">INT(_xlfn.XLOOKUP(J383,{"Low","Medium","High","Urgent"},{48,24,12,8})/24) &amp; ":" &amp;
TEXT(MOD(_xlfn.XLOOKUP(J383,{"Low","Medium","High","Urgent"},{48,24,12,8}),24)/24,"hh:mm")</f>
        <v>0:12:00</v>
      </c>
      <c r="AH383" s="4" t="str">
        <f aca="false">IF(AD383&gt;AG383,"Not Met","Met")</f>
        <v>Not Met</v>
      </c>
      <c r="AI383" s="4" t="str">
        <f aca="false">IF(AB383&lt;TIME(0,30,0),"Met","Not Met")</f>
        <v>Not Met</v>
      </c>
      <c r="AN383" s="1" t="str">
        <f aca="false">TEXT(B383,"dd")</f>
        <v>09</v>
      </c>
      <c r="AO383" s="1" t="str">
        <f aca="false">TEXT(X383,"dd")</f>
        <v>13</v>
      </c>
      <c r="AP383" s="16" t="str">
        <f aca="false">INT(
  NETWORKDAYS(B383,V383)-1
  + IF(WEEKDAY(V383,2)&lt;6,MOD(V383+W383,1),0)
  - IF(WEEKDAY(B383,2)&lt;6,MOD(B383+C383,1),0)
)
&amp; ":" &amp;
TEXT(HOUR(
  NETWORKDAYS(B383,V383)-1
  + IF(WEEKDAY(V383,2)&lt;6,MOD(V383+W383,1),0)
  - IF(WEEKDAY(B383,2)&lt;6,MOD(B383+C383,1),0)
),"00")
&amp; ":" &amp;
TEXT(MINUTE(
  NETWORKDAYS(B383,V383)-1
  + IF(WEEKDAY(V383,2)&lt;6,MOD(V383+W383,1),0)
  - IF(WEEKDAY(B383,2)&lt;6,MOD(B383+C383,1),0)
),"00")</f>
        <v>0:22:24</v>
      </c>
      <c r="AQ383" s="0" t="n">
        <f aca="false">IFERROR(
LEFT(AP383,FIND(":",AP383)-1)
+ MID(AP383,FIND(":",AP383)+1,2)/24
+ RIGHT(AP383,2)/1440,
"")</f>
        <v>0.933333333333333</v>
      </c>
      <c r="AR383" s="0" t="n">
        <f aca="false">WEEKNUM(B383,1)</f>
        <v>24</v>
      </c>
      <c r="AS383" s="17" t="n">
        <f aca="false">IF(B383&gt;0, (B383+C383)-TIME(13,30,0), "")</f>
        <v>46181.4715277778</v>
      </c>
      <c r="AT383" s="18" t="n">
        <f aca="false">IF(B383&gt;0, (B383+C383)-TIME(13,30,0), "")</f>
        <v>46181.4715277778</v>
      </c>
      <c r="AU383" s="17" t="n">
        <f aca="false">IF(V383&gt;0, (V383+W383)-TIME(13,30,0), "")</f>
        <v>46182.4048611111</v>
      </c>
      <c r="AV383" s="18" t="n">
        <f aca="false">IF(V383&gt;0, (V383+W383)-TIME(13,30,0), "")</f>
        <v>46182.4048611111</v>
      </c>
      <c r="AW383" s="19" t="n">
        <f aca="false">24*(
MAX(0,
IF(NETWORKDAYS(AS383,AU383)=1,
MIN(MOD(AV383,1),TIME(17,30,0)) - MAX(MOD(AT383,1),TIME(8,30,0)),
(TIME(17,30,0)-MAX(MOD(AT383,1),TIME(8,30,0)))
+ (MIN(MOD(AV383,1),TIME(17,30,0))-TIME(8,30,0))
+ (NETWORKDAYS(AS383,AU383)-2)*9/24
)
)
)</f>
        <v>7.4</v>
      </c>
      <c r="AX383" s="19" t="n">
        <f aca="false">24*(
MAX(0,
IF(NETWORKDAYS(AS383,AU383)=1,
MIN(MOD(AV383,1),TIME(17,30,0)) - MAX(MOD(AT383,1),TIME(8,30,0)),
(TIME(17,30,0)-MAX(MOD(AT383,1),TIME(8,30,0)))
+ (MIN(MOD(AV383,1),TIME(17,30,0))-TIME(8,30,0))
+ (NETWORKDAYS(AS383,AU383)-2)* (TIME(17,30,0)-TIME(8,30,0))
)
)
)</f>
        <v>7.4</v>
      </c>
      <c r="AY383" s="20" t="n">
        <f aca="false">ROUND(
IF(AS383=AU383,
MAX(0,
(MIN(MOD(AV383,1),TIME(17,30,0))-
MAX(MOD(AT383,1),TIME(8,30,0)))*24
),
(
(MAX(0,TIME(17,30,0)-MAX(MOD(AT383,1),TIME(8,30,0)))*24)
+
(MAX(0,MIN(MOD(AV383,1),TIME(17,30,0))-TIME(8,30,0))*24)
+
(MAX(0,NETWORKDAYS(AS383+1,AU383-1))*9)
)
),
2)</f>
        <v>7.4</v>
      </c>
      <c r="AZ383" s="0" t="n">
        <f aca="false" t="array" ref="AZ383:AZ383">_xlfn.XLOOKUP(J383,{"Low","Medium","High"},{270,72,24})</f>
        <v>24</v>
      </c>
      <c r="BA383" s="0" t="str">
        <f aca="false">IF(AW383&gt;AZ383,"Not Met","Met")</f>
        <v>Met</v>
      </c>
      <c r="BB383" s="21" t="str">
        <f aca="false">IF(AS383="","",TEXT(AS383,"MMM")&amp;"'"&amp;TEXT(AS383,"yy"))</f>
        <v>Jun'26</v>
      </c>
      <c r="BC383" s="0" t="str">
        <f aca="false">IF(AU383="","",TEXT(AU383,"MMM")&amp;"'"&amp;TEXT(AU383,"yy"))</f>
        <v>Jun'26</v>
      </c>
    </row>
    <row r="384" customFormat="false" ht="15" hidden="false" customHeight="false" outlineLevel="0" collapsed="false">
      <c r="A384" s="1" t="s">
        <v>1275</v>
      </c>
      <c r="B384" s="11" t="n">
        <v>46182</v>
      </c>
      <c r="C384" s="12" t="n">
        <v>0.0694444444444445</v>
      </c>
      <c r="D384" s="13" t="str">
        <f aca="false">IF(B384="","",TEXT(B384,"MMM")&amp;"'"&amp;TEXT(B384,"yy"))</f>
        <v>Jun'26</v>
      </c>
      <c r="E384" s="1" t="s">
        <v>55</v>
      </c>
      <c r="F384" s="1" t="s">
        <v>39</v>
      </c>
      <c r="G384" s="1" t="str">
        <f aca="false">IF(F384="Closed","Closed","Pending")</f>
        <v>Closed</v>
      </c>
      <c r="H384" s="27" t="s">
        <v>72</v>
      </c>
      <c r="I384" s="1" t="s">
        <v>501</v>
      </c>
      <c r="J384" s="1" t="s">
        <v>93</v>
      </c>
      <c r="K384" s="1" t="s">
        <v>59</v>
      </c>
      <c r="L384" s="35" t="s">
        <v>1276</v>
      </c>
      <c r="M384" s="1" t="s">
        <v>1277</v>
      </c>
      <c r="N384" s="1" t="s">
        <v>65</v>
      </c>
      <c r="O384" s="1" t="s">
        <v>77</v>
      </c>
      <c r="Q384" s="1" t="s">
        <v>65</v>
      </c>
      <c r="R384" s="1" t="s">
        <v>87</v>
      </c>
      <c r="U384" s="12" t="n">
        <v>0.136111111111111</v>
      </c>
      <c r="V384" s="11" t="n">
        <v>46186</v>
      </c>
      <c r="W384" s="12" t="n">
        <v>0.0270833333333333</v>
      </c>
      <c r="X384" s="11" t="n">
        <v>46199</v>
      </c>
      <c r="Y384" s="12" t="n">
        <v>0.995833333333333</v>
      </c>
      <c r="Z384" s="1" t="s">
        <v>108</v>
      </c>
      <c r="AA384" s="1" t="s">
        <v>68</v>
      </c>
      <c r="AB384" s="2" t="n">
        <f aca="false">U384-C384</f>
        <v>0.0666666666666667</v>
      </c>
      <c r="AC384" s="14" t="n">
        <f aca="false">(V384+W384)-(B384+C384)</f>
        <v>3.95763888888889</v>
      </c>
      <c r="AD384" s="4" t="str">
        <f aca="false">INT((V384+W384)-(B384+C384)) &amp; ":" &amp;
TEXT(HOUR((V384+W384)-(B384+C384)), "00") &amp; ":" &amp;
TEXT(MINUTE((V384+W384)-(B384+C384)), "00")</f>
        <v>3:22:59</v>
      </c>
      <c r="AE384" s="1" t="n">
        <f aca="false">IFERROR(
LEFT(AD384,FIND(":",AD384)-1)
+ MID(AD384,FIND(":",AD384)+1,2)/24
+ RIGHT(AD384,2)/1440,
"")</f>
        <v>3.95763888888889</v>
      </c>
      <c r="AF384" s="4" t="str">
        <f aca="false">INT((X384+Y384)-(B384+C384)) &amp; ":" &amp;
TEXT(HOUR((X384+Y384)-(B384+C384)), "00") &amp; ":" &amp;
TEXT(MINUTE((X384+Y384)-(B384+C384)), "00")</f>
        <v>17:22:14</v>
      </c>
      <c r="AG384" s="4" t="str">
        <f aca="false" t="array" ref="AG384:AG384">INT(_xlfn.XLOOKUP(J384,{"Low","Medium","High","Urgent"},{48,24,12,8})/24) &amp; ":" &amp;
TEXT(MOD(_xlfn.XLOOKUP(J384,{"Low","Medium","High","Urgent"},{48,24,12,8}),24)/24,"hh:mm")</f>
        <v>0:12:00</v>
      </c>
      <c r="AH384" s="4" t="str">
        <f aca="false">IF(AD384&gt;AG384,"Not Met","Met")</f>
        <v>Not Met</v>
      </c>
      <c r="AI384" s="4" t="str">
        <f aca="false">IF(AB384&lt;TIME(0,30,0),"Met","Not Met")</f>
        <v>Not Met</v>
      </c>
      <c r="AN384" s="1" t="str">
        <f aca="false">TEXT(B384,"dd")</f>
        <v>09</v>
      </c>
      <c r="AO384" s="1" t="str">
        <f aca="false">TEXT(X384,"dd")</f>
        <v>26</v>
      </c>
      <c r="AP384" s="16" t="str">
        <f aca="false">INT(
  NETWORKDAYS(B384,V384)-1
  + IF(WEEKDAY(V384,2)&lt;6,MOD(V384+W384,1),0)
  - IF(WEEKDAY(B384,2)&lt;6,MOD(B384+C384,1),0)
)
&amp; ":" &amp;
TEXT(HOUR(
  NETWORKDAYS(B384,V384)-1
  + IF(WEEKDAY(V384,2)&lt;6,MOD(V384+W384,1),0)
  - IF(WEEKDAY(B384,2)&lt;6,MOD(B384+C384,1),0)
),"00")
&amp; ":" &amp;
TEXT(MINUTE(
  NETWORKDAYS(B384,V384)-1
  + IF(WEEKDAY(V384,2)&lt;6,MOD(V384+W384,1),0)
  - IF(WEEKDAY(B384,2)&lt;6,MOD(B384+C384,1),0)
),"00")</f>
        <v>2:22:19</v>
      </c>
      <c r="AQ384" s="0" t="n">
        <f aca="false">IFERROR(
LEFT(AP384,FIND(":",AP384)-1)
+ MID(AP384,FIND(":",AP384)+1,2)/24
+ RIGHT(AP384,2)/1440,
"")</f>
        <v>2.92986111111111</v>
      </c>
      <c r="AR384" s="0" t="n">
        <f aca="false">WEEKNUM(B384,1)</f>
        <v>24</v>
      </c>
      <c r="AS384" s="17" t="n">
        <f aca="false">IF(B384&gt;0, (B384+C384)-TIME(13,30,0), "")</f>
        <v>46181.5069444444</v>
      </c>
      <c r="AT384" s="18" t="n">
        <f aca="false">IF(B384&gt;0, (B384+C384)-TIME(13,30,0), "")</f>
        <v>46181.5069444444</v>
      </c>
      <c r="AU384" s="17" t="n">
        <f aca="false">IF(V384&gt;0, (V384+W384)-TIME(13,30,0), "")</f>
        <v>46185.4645833333</v>
      </c>
      <c r="AV384" s="18" t="n">
        <f aca="false">IF(V384&gt;0, (V384+W384)-TIME(13,30,0), "")</f>
        <v>46185.4645833333</v>
      </c>
      <c r="AW384" s="19" t="n">
        <f aca="false">24*(
MAX(0,
IF(NETWORKDAYS(AS384,AU384)=1,
MIN(MOD(AV384,1),TIME(17,30,0)) - MAX(MOD(AT384,1),TIME(8,30,0)),
(TIME(17,30,0)-MAX(MOD(AT384,1),TIME(8,30,0)))
+ (MIN(MOD(AV384,1),TIME(17,30,0))-TIME(8,30,0))
+ (NETWORKDAYS(AS384,AU384)-2)*9/24
)
)
)</f>
        <v>34.9833333333333</v>
      </c>
      <c r="AX384" s="19" t="n">
        <f aca="false">24*(
MAX(0,
IF(NETWORKDAYS(AS384,AU384)=1,
MIN(MOD(AV384,1),TIME(17,30,0)) - MAX(MOD(AT384,1),TIME(8,30,0)),
(TIME(17,30,0)-MAX(MOD(AT384,1),TIME(8,30,0)))
+ (MIN(MOD(AV384,1),TIME(17,30,0))-TIME(8,30,0))
+ (NETWORKDAYS(AS384,AU384)-2)* (TIME(17,30,0)-TIME(8,30,0))
)
)
)</f>
        <v>34.9833333333333</v>
      </c>
      <c r="AY384" s="20" t="n">
        <f aca="false">ROUND(
IF(AS384=AU384,
MAX(0,
(MIN(MOD(AV384,1),TIME(17,30,0))-
MAX(MOD(AT384,1),TIME(8,30,0)))*24
),
(
(MAX(0,TIME(17,30,0)-MAX(MOD(AT384,1),TIME(8,30,0)))*24)
+
(MAX(0,MIN(MOD(AV384,1),TIME(17,30,0))-TIME(8,30,0))*24)
+
(MAX(0,NETWORKDAYS(AS384+1,AU384-1))*9)
)
),
2)</f>
        <v>34.98</v>
      </c>
      <c r="AZ384" s="0" t="n">
        <f aca="false" t="array" ref="AZ384:AZ384">_xlfn.XLOOKUP(J384,{"Low","Medium","High"},{270,72,24})</f>
        <v>24</v>
      </c>
      <c r="BA384" s="0" t="str">
        <f aca="false">IF(AW384&gt;AZ384,"Not Met","Met")</f>
        <v>Not Met</v>
      </c>
      <c r="BB384" s="21" t="str">
        <f aca="false">IF(AS384="","",TEXT(AS384,"MMM")&amp;"'"&amp;TEXT(AS384,"yy"))</f>
        <v>Jun'26</v>
      </c>
      <c r="BC384" s="0" t="str">
        <f aca="false">IF(AU384="","",TEXT(AU384,"MMM")&amp;"'"&amp;TEXT(AU384,"yy"))</f>
        <v>Jun'26</v>
      </c>
    </row>
    <row r="385" customFormat="false" ht="15" hidden="false" customHeight="false" outlineLevel="0" collapsed="false">
      <c r="A385" s="1" t="s">
        <v>1278</v>
      </c>
      <c r="B385" s="11" t="n">
        <v>46184</v>
      </c>
      <c r="C385" s="12" t="n">
        <v>0.203472222222222</v>
      </c>
      <c r="D385" s="13" t="str">
        <f aca="false">IF(B385="","",TEXT(B385,"MMM")&amp;"'"&amp;TEXT(B385,"yy"))</f>
        <v>Jun'26</v>
      </c>
      <c r="E385" s="1" t="s">
        <v>55</v>
      </c>
      <c r="F385" s="1" t="s">
        <v>39</v>
      </c>
      <c r="G385" s="1" t="str">
        <f aca="false">IF(F385="Closed","Closed","Pending")</f>
        <v>Closed</v>
      </c>
      <c r="H385" s="1" t="s">
        <v>72</v>
      </c>
      <c r="I385" s="1" t="s">
        <v>327</v>
      </c>
      <c r="J385" s="29" t="s">
        <v>74</v>
      </c>
      <c r="K385" s="29" t="s">
        <v>59</v>
      </c>
      <c r="L385" s="1" t="s">
        <v>1279</v>
      </c>
      <c r="M385" s="1" t="s">
        <v>1280</v>
      </c>
      <c r="N385" s="1" t="s">
        <v>62</v>
      </c>
      <c r="O385" s="1" t="s">
        <v>63</v>
      </c>
      <c r="P385" s="1" t="s">
        <v>1281</v>
      </c>
      <c r="Q385" s="1" t="s">
        <v>63</v>
      </c>
      <c r="R385" s="1" t="s">
        <v>87</v>
      </c>
      <c r="U385" s="12" t="n">
        <v>0.214583333333333</v>
      </c>
      <c r="V385" s="11" t="n">
        <v>46191</v>
      </c>
      <c r="W385" s="12" t="n">
        <v>0.919444444444444</v>
      </c>
      <c r="X385" s="11" t="n">
        <v>46191</v>
      </c>
      <c r="Y385" s="12" t="n">
        <v>0.929861111111111</v>
      </c>
      <c r="Z385" s="1" t="s">
        <v>67</v>
      </c>
      <c r="AA385" s="1" t="s">
        <v>68</v>
      </c>
      <c r="AB385" s="2" t="n">
        <f aca="false">U385-C385</f>
        <v>0.0111111111111111</v>
      </c>
      <c r="AC385" s="14" t="n">
        <f aca="false">(V385+W385)-(B385+C385)</f>
        <v>7.71597222222222</v>
      </c>
      <c r="AD385" s="4" t="str">
        <f aca="false">INT((V385+W385)-(B385+C385)) &amp; ":" &amp;
TEXT(HOUR((V385+W385)-(B385+C385)), "00") &amp; ":" &amp;
TEXT(MINUTE((V385+W385)-(B385+C385)), "00")</f>
        <v>7:17:11</v>
      </c>
      <c r="AE385" s="1" t="n">
        <f aca="false">IFERROR(
LEFT(AD385,FIND(":",AD385)-1)
+ MID(AD385,FIND(":",AD385)+1,2)/24
+ RIGHT(AD385,2)/1440,
"")</f>
        <v>7.71597222222222</v>
      </c>
      <c r="AF385" s="4" t="str">
        <f aca="false">INT((X385+Y385)-(B385+C385)) &amp; ":" &amp;
TEXT(HOUR((X385+Y385)-(B385+C385)), "00") &amp; ":" &amp;
TEXT(MINUTE((X385+Y385)-(B385+C385)), "00")</f>
        <v>7:17:26</v>
      </c>
      <c r="AG385" s="4" t="str">
        <f aca="false" t="array" ref="AG385:AG385">INT(_xlfn.XLOOKUP(J385,{"Low","Medium","High","Urgent"},{48,24,12,8})/24) &amp; ":" &amp;
TEXT(MOD(_xlfn.XLOOKUP(J385,{"Low","Medium","High","Urgent"},{48,24,12,8}),24)/24,"hh:mm")</f>
        <v>2:00:00</v>
      </c>
      <c r="AH385" s="4" t="str">
        <f aca="false">IF(AD385&gt;AG385,"Not Met","Met")</f>
        <v>Not Met</v>
      </c>
      <c r="AI385" s="4" t="str">
        <f aca="false">IF(AB385&lt;TIME(0,30,0),"Met","Not Met")</f>
        <v>Met</v>
      </c>
      <c r="AN385" s="1" t="str">
        <f aca="false">TEXT(B385,"dd")</f>
        <v>11</v>
      </c>
      <c r="AO385" s="1" t="str">
        <f aca="false">TEXT(X385,"dd")</f>
        <v>18</v>
      </c>
      <c r="AP385" s="16" t="str">
        <f aca="false">INT(
  NETWORKDAYS(B385,V385)-1
  + IF(WEEKDAY(V385,2)&lt;6,MOD(V385+W385,1),0)
  - IF(WEEKDAY(B385,2)&lt;6,MOD(B385+C385,1),0)
)
&amp; ":" &amp;
TEXT(HOUR(
  NETWORKDAYS(B385,V385)-1
  + IF(WEEKDAY(V385,2)&lt;6,MOD(V385+W385,1),0)
  - IF(WEEKDAY(B385,2)&lt;6,MOD(B385+C385,1),0)
),"00")
&amp; ":" &amp;
TEXT(MINUTE(
  NETWORKDAYS(B385,V385)-1
  + IF(WEEKDAY(V385,2)&lt;6,MOD(V385+W385,1),0)
  - IF(WEEKDAY(B385,2)&lt;6,MOD(B385+C385,1),0)
),"00")</f>
        <v>5:17:10</v>
      </c>
      <c r="AQ385" s="0" t="n">
        <f aca="false">IFERROR(
LEFT(AP385,FIND(":",AP385)-1)
+ MID(AP385,FIND(":",AP385)+1,2)/24
+ RIGHT(AP385,2)/1440,
"")</f>
        <v>5.71527777777778</v>
      </c>
      <c r="AR385" s="0" t="n">
        <f aca="false">WEEKNUM(B385,1)</f>
        <v>24</v>
      </c>
      <c r="AS385" s="17" t="n">
        <f aca="false">IF(B385&gt;0, (B385+C385)-TIME(13,30,0), "")</f>
        <v>46183.6409722222</v>
      </c>
      <c r="AT385" s="18" t="n">
        <f aca="false">IF(B385&gt;0, (B385+C385)-TIME(13,30,0), "")</f>
        <v>46183.6409722222</v>
      </c>
      <c r="AU385" s="17" t="n">
        <f aca="false">IF(V385&gt;0, (V385+W385)-TIME(13,30,0), "")</f>
        <v>46191.3569444444</v>
      </c>
      <c r="AV385" s="18" t="n">
        <f aca="false">IF(V385&gt;0, (V385+W385)-TIME(13,30,0), "")</f>
        <v>46191.3569444444</v>
      </c>
      <c r="AW385" s="19" t="n">
        <f aca="false">24*(
MAX(0,
IF(NETWORKDAYS(AS385,AU385)=1,
MIN(MOD(AV385,1),TIME(17,30,0)) - MAX(MOD(AT385,1),TIME(8,30,0)),
(TIME(17,30,0)-MAX(MOD(AT385,1),TIME(8,30,0)))
+ (MIN(MOD(AV385,1),TIME(17,30,0))-TIME(8,30,0))
+ (NETWORKDAYS(AS385,AU385)-2)*9/24
)
)
)</f>
        <v>47.1833333333333</v>
      </c>
      <c r="AX385" s="19" t="n">
        <f aca="false">24*(
MAX(0,
IF(NETWORKDAYS(AS385,AU385)=1,
MIN(MOD(AV385,1),TIME(17,30,0)) - MAX(MOD(AT385,1),TIME(8,30,0)),
(TIME(17,30,0)-MAX(MOD(AT385,1),TIME(8,30,0)))
+ (MIN(MOD(AV385,1),TIME(17,30,0))-TIME(8,30,0))
+ (NETWORKDAYS(AS385,AU385)-2)* (TIME(17,30,0)-TIME(8,30,0))
)
)
)</f>
        <v>47.1833333333333</v>
      </c>
      <c r="AY385" s="20" t="n">
        <f aca="false">ROUND(
IF(AS385=AU385,
MAX(0,
(MIN(MOD(AV385,1),TIME(17,30,0))-
MAX(MOD(AT385,1),TIME(8,30,0)))*24
),
(
(MAX(0,TIME(17,30,0)-MAX(MOD(AT385,1),TIME(8,30,0)))*24)
+
(MAX(0,MIN(MOD(AV385,1),TIME(17,30,0))-TIME(8,30,0))*24)
+
(MAX(0,NETWORKDAYS(AS385+1,AU385-1))*9)
)
),
2)</f>
        <v>47.18</v>
      </c>
      <c r="AZ385" s="0" t="n">
        <f aca="false" t="array" ref="AZ385:AZ385">_xlfn.XLOOKUP(J385,{"Low","Medium","High"},{270,72,24})</f>
        <v>270</v>
      </c>
      <c r="BA385" s="0" t="str">
        <f aca="false">IF(AW385&gt;AZ385,"Not Met","Met")</f>
        <v>Met</v>
      </c>
      <c r="BB385" s="21" t="str">
        <f aca="false">IF(AS385="","",TEXT(AS385,"MMM")&amp;"'"&amp;TEXT(AS385,"yy"))</f>
        <v>Jun'26</v>
      </c>
      <c r="BC385" s="0" t="str">
        <f aca="false">IF(AU385="","",TEXT(AU385,"MMM")&amp;"'"&amp;TEXT(AU385,"yy"))</f>
        <v>Jun'26</v>
      </c>
    </row>
    <row r="386" customFormat="false" ht="15" hidden="false" customHeight="false" outlineLevel="0" collapsed="false">
      <c r="A386" s="23" t="s">
        <v>1282</v>
      </c>
      <c r="B386" s="24" t="n">
        <v>46185</v>
      </c>
      <c r="C386" s="12" t="n">
        <v>0.1125</v>
      </c>
      <c r="D386" s="13" t="str">
        <f aca="false">IF(B386="","",TEXT(B386,"MMM")&amp;"'"&amp;TEXT(B386,"yy"))</f>
        <v>Jun'26</v>
      </c>
      <c r="E386" s="1" t="s">
        <v>55</v>
      </c>
      <c r="F386" s="1" t="s">
        <v>39</v>
      </c>
      <c r="G386" s="1" t="str">
        <f aca="false">IF(F386="Closed","Closed","Pending")</f>
        <v>Closed</v>
      </c>
      <c r="H386" s="1" t="s">
        <v>72</v>
      </c>
      <c r="I386" s="1" t="s">
        <v>501</v>
      </c>
      <c r="J386" s="1" t="s">
        <v>74</v>
      </c>
      <c r="K386" s="1" t="s">
        <v>59</v>
      </c>
      <c r="L386" s="1" t="s">
        <v>1283</v>
      </c>
      <c r="M386" s="1" t="s">
        <v>1284</v>
      </c>
      <c r="N386" s="1" t="s">
        <v>65</v>
      </c>
      <c r="O386" s="1" t="s">
        <v>77</v>
      </c>
      <c r="Q386" s="1" t="s">
        <v>65</v>
      </c>
      <c r="R386" s="1" t="s">
        <v>87</v>
      </c>
      <c r="U386" s="12" t="n">
        <v>0.185416666666667</v>
      </c>
      <c r="V386" s="11" t="n">
        <v>46188</v>
      </c>
      <c r="W386" s="12" t="n">
        <v>0.877777777777778</v>
      </c>
      <c r="X386" s="11" t="n">
        <v>46188</v>
      </c>
      <c r="Y386" s="12" t="n">
        <v>0.880555555555556</v>
      </c>
      <c r="Z386" s="1" t="s">
        <v>67</v>
      </c>
      <c r="AA386" s="1" t="s">
        <v>68</v>
      </c>
      <c r="AB386" s="2" t="n">
        <f aca="false">U386-C386</f>
        <v>0.0729166666666667</v>
      </c>
      <c r="AC386" s="14" t="n">
        <f aca="false">(V386+W386)-(B386+C386)</f>
        <v>3.76527777777778</v>
      </c>
      <c r="AD386" s="4" t="str">
        <f aca="false">INT((V386+W386)-(B386+C386)) &amp; ":" &amp;
TEXT(HOUR((V386+W386)-(B386+C386)), "00") &amp; ":" &amp;
TEXT(MINUTE((V386+W386)-(B386+C386)), "00")</f>
        <v>3:18:22</v>
      </c>
      <c r="AE386" s="1" t="n">
        <f aca="false">IFERROR(
LEFT(AD386,FIND(":",AD386)-1)
+ MID(AD386,FIND(":",AD386)+1,2)/24
+ RIGHT(AD386,2)/1440,
"")</f>
        <v>3.76527777777778</v>
      </c>
      <c r="AF386" s="4" t="str">
        <f aca="false">INT((X386+Y386)-(B386+C386)) &amp; ":" &amp;
TEXT(HOUR((X386+Y386)-(B386+C386)), "00") &amp; ":" &amp;
TEXT(MINUTE((X386+Y386)-(B386+C386)), "00")</f>
        <v>3:18:26</v>
      </c>
      <c r="AG386" s="4" t="str">
        <f aca="false" t="array" ref="AG386:AG386">INT(_xlfn.XLOOKUP(J386,{"Low","Medium","High","Urgent"},{48,24,12,8})/24) &amp; ":" &amp;
TEXT(MOD(_xlfn.XLOOKUP(J386,{"Low","Medium","High","Urgent"},{48,24,12,8}),24)/24,"hh:mm")</f>
        <v>2:00:00</v>
      </c>
      <c r="AH386" s="4" t="str">
        <f aca="false">IF(AD386&gt;AG386,"Not Met","Met")</f>
        <v>Not Met</v>
      </c>
      <c r="AI386" s="4" t="str">
        <f aca="false">IF(AB386&lt;TIME(0,30,0),"Met","Not Met")</f>
        <v>Not Met</v>
      </c>
      <c r="AN386" s="1" t="str">
        <f aca="false">TEXT(B386,"dd")</f>
        <v>12</v>
      </c>
      <c r="AO386" s="1" t="str">
        <f aca="false">TEXT(X386,"dd")</f>
        <v>15</v>
      </c>
      <c r="AP386" s="16" t="str">
        <f aca="false">INT(
  NETWORKDAYS(B386,V386)-1
  + IF(WEEKDAY(V386,2)&lt;6,MOD(V386+W386,1),0)
  - IF(WEEKDAY(B386,2)&lt;6,MOD(B386+C386,1),0)
)
&amp; ":" &amp;
TEXT(HOUR(
  NETWORKDAYS(B386,V386)-1
  + IF(WEEKDAY(V386,2)&lt;6,MOD(V386+W386,1),0)
  - IF(WEEKDAY(B386,2)&lt;6,MOD(B386+C386,1),0)
),"00")
&amp; ":" &amp;
TEXT(MINUTE(
  NETWORKDAYS(B386,V386)-1
  + IF(WEEKDAY(V386,2)&lt;6,MOD(V386+W386,1),0)
  - IF(WEEKDAY(B386,2)&lt;6,MOD(B386+C386,1),0)
),"00")</f>
        <v>1:18:21</v>
      </c>
      <c r="AQ386" s="0" t="n">
        <f aca="false">IFERROR(
LEFT(AP386,FIND(":",AP386)-1)
+ MID(AP386,FIND(":",AP386)+1,2)/24
+ RIGHT(AP386,2)/1440,
"")</f>
        <v>1.76458333333333</v>
      </c>
      <c r="AR386" s="0" t="n">
        <f aca="false">WEEKNUM(B386,1)</f>
        <v>24</v>
      </c>
      <c r="AS386" s="17" t="n">
        <f aca="false">IF(B386&gt;0, (B386+C386)-TIME(13,30,0), "")</f>
        <v>46184.55</v>
      </c>
      <c r="AT386" s="18" t="n">
        <f aca="false">IF(B386&gt;0, (B386+C386)-TIME(13,30,0), "")</f>
        <v>46184.55</v>
      </c>
      <c r="AU386" s="17" t="n">
        <f aca="false">IF(V386&gt;0, (V386+W386)-TIME(13,30,0), "")</f>
        <v>46188.3152777778</v>
      </c>
      <c r="AV386" s="18" t="n">
        <f aca="false">IF(V386&gt;0, (V386+W386)-TIME(13,30,0), "")</f>
        <v>46188.3152777778</v>
      </c>
      <c r="AW386" s="19" t="n">
        <f aca="false">24*(
MAX(0,
IF(NETWORKDAYS(AS386,AU386)=1,
MIN(MOD(AV386,1),TIME(17,30,0)) - MAX(MOD(AT386,1),TIME(8,30,0)),
(TIME(17,30,0)-MAX(MOD(AT386,1),TIME(8,30,0)))
+ (MIN(MOD(AV386,1),TIME(17,30,0))-TIME(8,30,0))
+ (NETWORKDAYS(AS386,AU386)-2)*9/24
)
)
)</f>
        <v>12.3666666666667</v>
      </c>
      <c r="AX386" s="19" t="n">
        <f aca="false">24*(
MAX(0,
IF(NETWORKDAYS(AS386,AU386)=1,
MIN(MOD(AV386,1),TIME(17,30,0)) - MAX(MOD(AT386,1),TIME(8,30,0)),
(TIME(17,30,0)-MAX(MOD(AT386,1),TIME(8,30,0)))
+ (MIN(MOD(AV386,1),TIME(17,30,0))-TIME(8,30,0))
+ (NETWORKDAYS(AS386,AU386)-2)* (TIME(17,30,0)-TIME(8,30,0))
)
)
)</f>
        <v>12.3666666666667</v>
      </c>
      <c r="AY386" s="20" t="n">
        <f aca="false">ROUND(
IF(AS386=AU386,
MAX(0,
(MIN(MOD(AV386,1),TIME(17,30,0))-
MAX(MOD(AT386,1),TIME(8,30,0)))*24
),
(
(MAX(0,TIME(17,30,0)-MAX(MOD(AT386,1),TIME(8,30,0)))*24)
+
(MAX(0,MIN(MOD(AV386,1),TIME(17,30,0))-TIME(8,30,0))*24)
+
(MAX(0,NETWORKDAYS(AS386+1,AU386-1))*9)
)
),
2)</f>
        <v>13.3</v>
      </c>
      <c r="AZ386" s="0" t="n">
        <f aca="false" t="array" ref="AZ386:AZ386">_xlfn.XLOOKUP(J386,{"Low","Medium","High"},{270,72,24})</f>
        <v>270</v>
      </c>
      <c r="BA386" s="0" t="str">
        <f aca="false">IF(AW386&gt;AZ386,"Not Met","Met")</f>
        <v>Met</v>
      </c>
      <c r="BB386" s="21" t="str">
        <f aca="false">IF(AS386="","",TEXT(AS386,"MMM")&amp;"'"&amp;TEXT(AS386,"yy"))</f>
        <v>Jun'26</v>
      </c>
      <c r="BC386" s="0" t="str">
        <f aca="false">IF(AU386="","",TEXT(AU386,"MMM")&amp;"'"&amp;TEXT(AU386,"yy"))</f>
        <v>Jun'26</v>
      </c>
    </row>
    <row r="387" customFormat="false" ht="15" hidden="false" customHeight="false" outlineLevel="0" collapsed="false">
      <c r="A387" s="23" t="s">
        <v>1285</v>
      </c>
      <c r="B387" s="24" t="n">
        <v>46185</v>
      </c>
      <c r="C387" s="12" t="n">
        <v>0.139583333333333</v>
      </c>
      <c r="D387" s="13" t="str">
        <f aca="false">IF(B387="","",TEXT(B387,"MMM")&amp;"'"&amp;TEXT(B387,"yy"))</f>
        <v>Jun'26</v>
      </c>
      <c r="E387" s="1" t="s">
        <v>55</v>
      </c>
      <c r="F387" s="1" t="s">
        <v>39</v>
      </c>
      <c r="G387" s="1" t="str">
        <f aca="false">IF(F387="Closed","Closed","Pending")</f>
        <v>Closed</v>
      </c>
      <c r="H387" s="27" t="s">
        <v>120</v>
      </c>
      <c r="I387" s="26" t="s">
        <v>349</v>
      </c>
      <c r="J387" s="1" t="s">
        <v>74</v>
      </c>
      <c r="K387" s="1" t="s">
        <v>59</v>
      </c>
      <c r="L387" s="1" t="s">
        <v>1286</v>
      </c>
      <c r="M387" s="1" t="s">
        <v>1287</v>
      </c>
      <c r="N387" s="1" t="s">
        <v>62</v>
      </c>
      <c r="O387" s="1" t="s">
        <v>63</v>
      </c>
      <c r="Q387" s="1" t="s">
        <v>63</v>
      </c>
      <c r="R387" s="1" t="s">
        <v>87</v>
      </c>
      <c r="U387" s="12" t="n">
        <v>0.185416666666667</v>
      </c>
      <c r="V387" s="11" t="n">
        <v>46186</v>
      </c>
      <c r="W387" s="12" t="n">
        <v>0.0319444444444444</v>
      </c>
      <c r="X387" s="11" t="n">
        <v>46186</v>
      </c>
      <c r="Y387" s="12" t="n">
        <v>0.0416666666666667</v>
      </c>
      <c r="Z387" s="1" t="s">
        <v>108</v>
      </c>
      <c r="AA387" s="1" t="s">
        <v>68</v>
      </c>
      <c r="AB387" s="2" t="n">
        <f aca="false">U387-C387</f>
        <v>0.0458333333333333</v>
      </c>
      <c r="AC387" s="14" t="n">
        <f aca="false">(V387+W387)-(B387+C387)</f>
        <v>0.892361111111111</v>
      </c>
      <c r="AD387" s="4" t="str">
        <f aca="false">INT((V387+W387)-(B387+C387)) &amp; ":" &amp;
TEXT(HOUR((V387+W387)-(B387+C387)), "00") &amp; ":" &amp;
TEXT(MINUTE((V387+W387)-(B387+C387)), "00")</f>
        <v>0:21:25</v>
      </c>
      <c r="AE387" s="1" t="n">
        <f aca="false">IFERROR(
LEFT(AD387,FIND(":",AD387)-1)
+ MID(AD387,FIND(":",AD387)+1,2)/24
+ RIGHT(AD387,2)/1440,
"")</f>
        <v>0.892361111111111</v>
      </c>
      <c r="AF387" s="4" t="str">
        <f aca="false">INT((X387+Y387)-(B387+C387)) &amp; ":" &amp;
TEXT(HOUR((X387+Y387)-(B387+C387)), "00") &amp; ":" &amp;
TEXT(MINUTE((X387+Y387)-(B387+C387)), "00")</f>
        <v>0:21:39</v>
      </c>
      <c r="AG387" s="4" t="str">
        <f aca="false" t="array" ref="AG387:AG387">INT(_xlfn.XLOOKUP(J387,{"Low","Medium","High","Urgent"},{48,24,12,8})/24) &amp; ":" &amp;
TEXT(MOD(_xlfn.XLOOKUP(J387,{"Low","Medium","High","Urgent"},{48,24,12,8}),24)/24,"hh:mm")</f>
        <v>2:00:00</v>
      </c>
      <c r="AH387" s="4" t="str">
        <f aca="false">IF(AD387&gt;AG387,"Not Met","Met")</f>
        <v>Met</v>
      </c>
      <c r="AI387" s="4" t="str">
        <f aca="false">IF(AB387&lt;TIME(0,30,0),"Met","Not Met")</f>
        <v>Not Met</v>
      </c>
      <c r="AN387" s="1" t="str">
        <f aca="false">TEXT(B387,"dd")</f>
        <v>12</v>
      </c>
      <c r="AO387" s="1" t="str">
        <f aca="false">TEXT(X387,"dd")</f>
        <v>13</v>
      </c>
      <c r="AP387" s="16" t="str">
        <f aca="false">INT(
  NETWORKDAYS(B387,V387)-1
  + IF(WEEKDAY(V387,2)&lt;6,MOD(V387+W387,1),0)
  - IF(WEEKDAY(B387,2)&lt;6,MOD(B387+C387,1),0)
)
&amp; ":" &amp;
TEXT(HOUR(
  NETWORKDAYS(B387,V387)-1
  + IF(WEEKDAY(V387,2)&lt;6,MOD(V387+W387,1),0)
  - IF(WEEKDAY(B387,2)&lt;6,MOD(B387+C387,1),0)
),"00")
&amp; ":" &amp;
TEXT(MINUTE(
  NETWORKDAYS(B387,V387)-1
  + IF(WEEKDAY(V387,2)&lt;6,MOD(V387+W387,1),0)
  - IF(WEEKDAY(B387,2)&lt;6,MOD(B387+C387,1),0)
),"00")</f>
        <v>-1:20:39</v>
      </c>
      <c r="AQ387" s="0" t="n">
        <f aca="false">IFERROR(
LEFT(AP387,FIND(":",AP387)-1)
+ MID(AP387,FIND(":",AP387)+1,2)/24
+ RIGHT(AP387,2)/1440,
"")</f>
        <v>-0.139583333333333</v>
      </c>
      <c r="AR387" s="0" t="n">
        <f aca="false">WEEKNUM(B387,1)</f>
        <v>24</v>
      </c>
      <c r="AS387" s="17" t="n">
        <f aca="false">IF(B387&gt;0, (B387+C387)-TIME(13,30,0), "")</f>
        <v>46184.5770833333</v>
      </c>
      <c r="AT387" s="18" t="n">
        <f aca="false">IF(B387&gt;0, (B387+C387)-TIME(13,30,0), "")</f>
        <v>46184.5770833333</v>
      </c>
      <c r="AU387" s="17" t="n">
        <f aca="false">IF(V387&gt;0, (V387+W387)-TIME(13,30,0), "")</f>
        <v>46185.4694444445</v>
      </c>
      <c r="AV387" s="18" t="n">
        <f aca="false">IF(V387&gt;0, (V387+W387)-TIME(13,30,0), "")</f>
        <v>46185.4694444445</v>
      </c>
      <c r="AW387" s="19" t="n">
        <f aca="false">24*(
MAX(0,
IF(NETWORKDAYS(AS387,AU387)=1,
MIN(MOD(AV387,1),TIME(17,30,0)) - MAX(MOD(AT387,1),TIME(8,30,0)),
(TIME(17,30,0)-MAX(MOD(AT387,1),TIME(8,30,0)))
+ (MIN(MOD(AV387,1),TIME(17,30,0))-TIME(8,30,0))
+ (NETWORKDAYS(AS387,AU387)-2)*9/24
)
)
)</f>
        <v>6.41666666666667</v>
      </c>
      <c r="AX387" s="19" t="n">
        <f aca="false">24*(
MAX(0,
IF(NETWORKDAYS(AS387,AU387)=1,
MIN(MOD(AV387,1),TIME(17,30,0)) - MAX(MOD(AT387,1),TIME(8,30,0)),
(TIME(17,30,0)-MAX(MOD(AT387,1),TIME(8,30,0)))
+ (MIN(MOD(AV387,1),TIME(17,30,0))-TIME(8,30,0))
+ (NETWORKDAYS(AS387,AU387)-2)* (TIME(17,30,0)-TIME(8,30,0))
)
)
)</f>
        <v>6.41666666666667</v>
      </c>
      <c r="AY387" s="20" t="n">
        <f aca="false">ROUND(
IF(AS387=AU387,
MAX(0,
(MIN(MOD(AV387,1),TIME(17,30,0))-
MAX(MOD(AT387,1),TIME(8,30,0)))*24
),
(
(MAX(0,TIME(17,30,0)-MAX(MOD(AT387,1),TIME(8,30,0)))*24)
+
(MAX(0,MIN(MOD(AV387,1),TIME(17,30,0))-TIME(8,30,0))*24)
+
(MAX(0,NETWORKDAYS(AS387+1,AU387-1))*9)
)
),
2)</f>
        <v>6.42</v>
      </c>
      <c r="AZ387" s="0" t="n">
        <f aca="false" t="array" ref="AZ387:AZ387">_xlfn.XLOOKUP(J387,{"Low","Medium","High"},{270,72,24})</f>
        <v>270</v>
      </c>
      <c r="BA387" s="0" t="str">
        <f aca="false">IF(AW387&gt;AZ387,"Not Met","Met")</f>
        <v>Met</v>
      </c>
      <c r="BB387" s="21" t="str">
        <f aca="false">IF(AS387="","",TEXT(AS387,"MMM")&amp;"'"&amp;TEXT(AS387,"yy"))</f>
        <v>Jun'26</v>
      </c>
      <c r="BC387" s="0" t="str">
        <f aca="false">IF(AU387="","",TEXT(AU387,"MMM")&amp;"'"&amp;TEXT(AU387,"yy"))</f>
        <v>Jun'26</v>
      </c>
    </row>
    <row r="388" customFormat="false" ht="15" hidden="false" customHeight="false" outlineLevel="0" collapsed="false">
      <c r="A388" s="1" t="s">
        <v>1288</v>
      </c>
      <c r="B388" s="11" t="n">
        <v>46185</v>
      </c>
      <c r="C388" s="12" t="n">
        <v>0.861805555555556</v>
      </c>
      <c r="D388" s="13" t="str">
        <f aca="false">IF(B388="","",TEXT(B388,"MMM")&amp;"'"&amp;TEXT(B388,"yy"))</f>
        <v>Jun'26</v>
      </c>
      <c r="E388" s="1" t="s">
        <v>55</v>
      </c>
      <c r="F388" s="1" t="s">
        <v>39</v>
      </c>
      <c r="G388" s="1" t="str">
        <f aca="false">IF(F388="Closed","Closed","Pending")</f>
        <v>Closed</v>
      </c>
      <c r="H388" s="27" t="s">
        <v>81</v>
      </c>
      <c r="I388" s="1" t="s">
        <v>82</v>
      </c>
      <c r="J388" s="35" t="s">
        <v>74</v>
      </c>
      <c r="K388" s="1" t="s">
        <v>59</v>
      </c>
      <c r="L388" s="1" t="s">
        <v>1289</v>
      </c>
      <c r="M388" s="1" t="s">
        <v>1290</v>
      </c>
      <c r="N388" s="1" t="s">
        <v>62</v>
      </c>
      <c r="O388" s="1" t="s">
        <v>63</v>
      </c>
      <c r="Q388" s="1" t="s">
        <v>63</v>
      </c>
      <c r="R388" s="1" t="s">
        <v>87</v>
      </c>
      <c r="U388" s="12" t="n">
        <v>0.904166666666667</v>
      </c>
      <c r="V388" s="11" t="n">
        <v>46189</v>
      </c>
      <c r="W388" s="12" t="n">
        <v>0.892361111111111</v>
      </c>
      <c r="X388" s="11" t="n">
        <v>46189</v>
      </c>
      <c r="Y388" s="12" t="n">
        <v>0.900694444444445</v>
      </c>
      <c r="Z388" s="1" t="s">
        <v>67</v>
      </c>
      <c r="AA388" s="1" t="s">
        <v>68</v>
      </c>
      <c r="AB388" s="2" t="n">
        <f aca="false">U388-C388</f>
        <v>0.0423611111111111</v>
      </c>
      <c r="AC388" s="14" t="n">
        <f aca="false">(V388+W388)-(B388+C388)</f>
        <v>4.03055555555556</v>
      </c>
      <c r="AD388" s="4" t="str">
        <f aca="false">INT((V388+W388)-(B388+C388)) &amp; ":" &amp;
TEXT(HOUR((V388+W388)-(B388+C388)), "00") &amp; ":" &amp;
TEXT(MINUTE((V388+W388)-(B388+C388)), "00")</f>
        <v>4:00:44</v>
      </c>
      <c r="AE388" s="1" t="n">
        <f aca="false">IFERROR(
LEFT(AD388,FIND(":",AD388)-1)
+ MID(AD388,FIND(":",AD388)+1,2)/24
+ RIGHT(AD388,2)/1440,
"")</f>
        <v>4.03055555555556</v>
      </c>
      <c r="AF388" s="4" t="str">
        <f aca="false">INT((X388+Y388)-(B388+C388)) &amp; ":" &amp;
TEXT(HOUR((X388+Y388)-(B388+C388)), "00") &amp; ":" &amp;
TEXT(MINUTE((X388+Y388)-(B388+C388)), "00")</f>
        <v>4:00:56</v>
      </c>
      <c r="AG388" s="4" t="str">
        <f aca="false" t="array" ref="AG388:AG388">INT(_xlfn.XLOOKUP(J388,{"Low","Medium","High","Urgent"},{48,24,12,8})/24) &amp; ":" &amp;
TEXT(MOD(_xlfn.XLOOKUP(J388,{"Low","Medium","High","Urgent"},{48,24,12,8}),24)/24,"hh:mm")</f>
        <v>2:00:00</v>
      </c>
      <c r="AH388" s="4" t="str">
        <f aca="false">IF(AD388&gt;AG388,"Not Met","Met")</f>
        <v>Not Met</v>
      </c>
      <c r="AI388" s="4" t="str">
        <f aca="false">IF(AB388&lt;TIME(0,30,0),"Met","Not Met")</f>
        <v>Not Met</v>
      </c>
      <c r="AN388" s="1" t="str">
        <f aca="false">TEXT(B388,"dd")</f>
        <v>12</v>
      </c>
      <c r="AO388" s="1" t="str">
        <f aca="false">TEXT(X388,"dd")</f>
        <v>16</v>
      </c>
      <c r="AP388" s="16" t="str">
        <f aca="false">INT(
  NETWORKDAYS(B388,V388)-1
  + IF(WEEKDAY(V388,2)&lt;6,MOD(V388+W388,1),0)
  - IF(WEEKDAY(B388,2)&lt;6,MOD(B388+C388,1),0)
)
&amp; ":" &amp;
TEXT(HOUR(
  NETWORKDAYS(B388,V388)-1
  + IF(WEEKDAY(V388,2)&lt;6,MOD(V388+W388,1),0)
  - IF(WEEKDAY(B388,2)&lt;6,MOD(B388+C388,1),0)
),"00")
&amp; ":" &amp;
TEXT(MINUTE(
  NETWORKDAYS(B388,V388)-1
  + IF(WEEKDAY(V388,2)&lt;6,MOD(V388+W388,1),0)
  - IF(WEEKDAY(B388,2)&lt;6,MOD(B388+C388,1),0)
),"00")</f>
        <v>2:00:43</v>
      </c>
      <c r="AQ388" s="0" t="n">
        <f aca="false">IFERROR(
LEFT(AP388,FIND(":",AP388)-1)
+ MID(AP388,FIND(":",AP388)+1,2)/24
+ RIGHT(AP388,2)/1440,
"")</f>
        <v>2.02986111111111</v>
      </c>
      <c r="AR388" s="0" t="n">
        <f aca="false">WEEKNUM(B388,1)</f>
        <v>24</v>
      </c>
      <c r="AS388" s="17" t="n">
        <f aca="false">IF(B388&gt;0, (B388+C388)-TIME(13,30,0), "")</f>
        <v>46185.2993055556</v>
      </c>
      <c r="AT388" s="18" t="n">
        <f aca="false">IF(B388&gt;0, (B388+C388)-TIME(13,30,0), "")</f>
        <v>46185.2993055556</v>
      </c>
      <c r="AU388" s="17" t="n">
        <f aca="false">IF(V388&gt;0, (V388+W388)-TIME(13,30,0), "")</f>
        <v>46189.3298611111</v>
      </c>
      <c r="AV388" s="18" t="n">
        <f aca="false">IF(V388&gt;0, (V388+W388)-TIME(13,30,0), "")</f>
        <v>46189.3298611111</v>
      </c>
      <c r="AW388" s="19" t="n">
        <f aca="false">24*(
MAX(0,
IF(NETWORKDAYS(AS388,AU388)=1,
MIN(MOD(AV388,1),TIME(17,30,0)) - MAX(MOD(AT388,1),TIME(8,30,0)),
(TIME(17,30,0)-MAX(MOD(AT388,1),TIME(8,30,0)))
+ (MIN(MOD(AV388,1),TIME(17,30,0))-TIME(8,30,0))
+ (NETWORKDAYS(AS388,AU388)-2)*9/24
)
)
)</f>
        <v>17.4166666666667</v>
      </c>
      <c r="AX388" s="19" t="n">
        <f aca="false">24*(
MAX(0,
IF(NETWORKDAYS(AS388,AU388)=1,
MIN(MOD(AV388,1),TIME(17,30,0)) - MAX(MOD(AT388,1),TIME(8,30,0)),
(TIME(17,30,0)-MAX(MOD(AT388,1),TIME(8,30,0)))
+ (MIN(MOD(AV388,1),TIME(17,30,0))-TIME(8,30,0))
+ (NETWORKDAYS(AS388,AU388)-2)* (TIME(17,30,0)-TIME(8,30,0))
)
)
)</f>
        <v>17.4166666666667</v>
      </c>
      <c r="AY388" s="20" t="n">
        <f aca="false">ROUND(
IF(AS388=AU388,
MAX(0,
(MIN(MOD(AV388,1),TIME(17,30,0))-
MAX(MOD(AT388,1),TIME(8,30,0)))*24
),
(
(MAX(0,TIME(17,30,0)-MAX(MOD(AT388,1),TIME(8,30,0)))*24)
+
(MAX(0,MIN(MOD(AV388,1),TIME(17,30,0))-TIME(8,30,0))*24)
+
(MAX(0,NETWORKDAYS(AS388+1,AU388-1))*9)
)
),
2)</f>
        <v>18</v>
      </c>
      <c r="AZ388" s="0" t="n">
        <f aca="false" t="array" ref="AZ388:AZ388">_xlfn.XLOOKUP(J388,{"Low","Medium","High"},{270,72,24})</f>
        <v>270</v>
      </c>
      <c r="BA388" s="0" t="str">
        <f aca="false">IF(AW388&gt;AZ388,"Not Met","Met")</f>
        <v>Met</v>
      </c>
      <c r="BB388" s="21" t="str">
        <f aca="false">IF(AS388="","",TEXT(AS388,"MMM")&amp;"'"&amp;TEXT(AS388,"yy"))</f>
        <v>Jun'26</v>
      </c>
      <c r="BC388" s="0" t="str">
        <f aca="false">IF(AU388="","",TEXT(AU388,"MMM")&amp;"'"&amp;TEXT(AU388,"yy"))</f>
        <v>Jun'26</v>
      </c>
    </row>
    <row r="389" customFormat="false" ht="15" hidden="false" customHeight="false" outlineLevel="0" collapsed="false">
      <c r="A389" s="1" t="s">
        <v>1291</v>
      </c>
      <c r="B389" s="11" t="n">
        <v>46188</v>
      </c>
      <c r="C389" s="12" t="n">
        <v>0.977777777777778</v>
      </c>
      <c r="D389" s="13" t="str">
        <f aca="false">IF(B389="","",TEXT(B389,"MMM")&amp;"'"&amp;TEXT(B389,"yy"))</f>
        <v>Jun'26</v>
      </c>
      <c r="E389" s="1" t="s">
        <v>55</v>
      </c>
      <c r="F389" s="26" t="s">
        <v>39</v>
      </c>
      <c r="G389" s="33" t="str">
        <f aca="false">IF(F389="Closed","Closed","Pending")</f>
        <v>Closed</v>
      </c>
      <c r="H389" s="58" t="s">
        <v>1292</v>
      </c>
      <c r="I389" s="26" t="s">
        <v>315</v>
      </c>
      <c r="J389" s="40" t="s">
        <v>74</v>
      </c>
      <c r="K389" s="26" t="s">
        <v>59</v>
      </c>
      <c r="L389" s="26" t="s">
        <v>1293</v>
      </c>
      <c r="M389" s="1" t="s">
        <v>1294</v>
      </c>
      <c r="N389" s="1" t="s">
        <v>62</v>
      </c>
      <c r="O389" s="1" t="s">
        <v>63</v>
      </c>
      <c r="Q389" s="1" t="s">
        <v>63</v>
      </c>
      <c r="R389" s="1" t="s">
        <v>66</v>
      </c>
      <c r="U389" s="25" t="n">
        <v>46189.0201388889</v>
      </c>
      <c r="V389" s="11" t="n">
        <v>46199</v>
      </c>
      <c r="W389" s="12" t="n">
        <v>0.925694444444445</v>
      </c>
      <c r="X389" s="11" t="n">
        <v>46210</v>
      </c>
      <c r="Y389" s="12" t="n">
        <v>0.895138888888889</v>
      </c>
      <c r="Z389" s="1" t="s">
        <v>108</v>
      </c>
      <c r="AA389" s="1" t="s">
        <v>89</v>
      </c>
      <c r="AB389" s="2" t="n">
        <v>0.0423611111111111</v>
      </c>
      <c r="AC389" s="14" t="n">
        <f aca="false">(V389+W389)-(B389+C389)</f>
        <v>10.9479166666667</v>
      </c>
      <c r="AD389" s="4" t="str">
        <f aca="false">INT((V389+W389)-(B389+C389)) &amp; ":" &amp;
TEXT(HOUR((V389+W389)-(B389+C389)), "00") &amp; ":" &amp;
TEXT(MINUTE((V389+W389)-(B389+C389)), "00")</f>
        <v>10:22:45</v>
      </c>
      <c r="AE389" s="1" t="n">
        <f aca="false">IFERROR(
LEFT(AD389,FIND(":",AD389)-1)
+ MID(AD389,FIND(":",AD389)+1,2)/24
+ RIGHT(AD389,2)/1440,
"")</f>
        <v>10.9479166666667</v>
      </c>
      <c r="AF389" s="4" t="str">
        <f aca="false">INT((X389+Y389)-(B389+C389)) &amp; ":" &amp;
TEXT(HOUR((X389+Y389)-(B389+C389)), "00") &amp; ":" &amp;
TEXT(MINUTE((X389+Y389)-(B389+C389)), "00")</f>
        <v>21:22:01</v>
      </c>
      <c r="AG389" s="4" t="str">
        <f aca="false" t="array" ref="AG389:AG389">INT(_xlfn.XLOOKUP(J389,{"Low","Medium","High","Urgent"},{48,24,12,8})/24) &amp; ":" &amp;
TEXT(MOD(_xlfn.XLOOKUP(J389,{"Low","Medium","High","Urgent"},{48,24,12,8}),24)/24,"hh:mm")</f>
        <v>2:00:00</v>
      </c>
      <c r="AH389" s="4" t="str">
        <f aca="false">IF(AD389&gt;AG389,"Not Met","Met")</f>
        <v>Met</v>
      </c>
      <c r="AI389" s="4" t="str">
        <f aca="false">IF(AB389&lt;TIME(0,30,0),"Met","Not Met")</f>
        <v>Not Met</v>
      </c>
      <c r="AN389" s="1" t="str">
        <f aca="false">TEXT(B389,"dd")</f>
        <v>15</v>
      </c>
      <c r="AO389" s="1" t="str">
        <f aca="false">TEXT(X389,"dd")</f>
        <v>07</v>
      </c>
      <c r="AP389" s="16" t="str">
        <f aca="false">INT(
  NETWORKDAYS(B389,V389)-1
  + IF(WEEKDAY(V389,2)&lt;6,MOD(V389+W389,1),0)
  - IF(WEEKDAY(B389,2)&lt;6,MOD(B389+C389,1),0)
)
&amp; ":" &amp;
TEXT(HOUR(
  NETWORKDAYS(B389,V389)-1
  + IF(WEEKDAY(V389,2)&lt;6,MOD(V389+W389,1),0)
  - IF(WEEKDAY(B389,2)&lt;6,MOD(B389+C389,1),0)
),"00")
&amp; ":" &amp;
TEXT(MINUTE(
  NETWORKDAYS(B389,V389)-1
  + IF(WEEKDAY(V389,2)&lt;6,MOD(V389+W389,1),0)
  - IF(WEEKDAY(B389,2)&lt;6,MOD(B389+C389,1),0)
),"00")</f>
        <v>8:22:44</v>
      </c>
      <c r="AQ389" s="0" t="n">
        <f aca="false">IFERROR(
LEFT(AP389,FIND(":",AP389)-1)
+ MID(AP389,FIND(":",AP389)+1,2)/24
+ RIGHT(AP389,2)/1440,
"")</f>
        <v>8.94722222222222</v>
      </c>
      <c r="AR389" s="0" t="n">
        <f aca="false">WEEKNUM(B389,1)</f>
        <v>25</v>
      </c>
      <c r="AS389" s="17" t="n">
        <f aca="false">IF(B389&gt;0, (B389+C389)-TIME(13,30,0), "")</f>
        <v>46188.4152777778</v>
      </c>
      <c r="AT389" s="18" t="n">
        <f aca="false">IF(B389&gt;0, (B389+C389)-TIME(13,30,0), "")</f>
        <v>46188.4152777778</v>
      </c>
      <c r="AU389" s="17" t="n">
        <f aca="false">IF(V389&gt;0, (V389+W389)-TIME(13,30,0), "")</f>
        <v>46199.3631944444</v>
      </c>
      <c r="AV389" s="18" t="n">
        <f aca="false">IF(V389&gt;0, (V389+W389)-TIME(13,30,0), "")</f>
        <v>46199.3631944444</v>
      </c>
      <c r="AW389" s="19" t="n">
        <f aca="false">24*(
MAX(0,
IF(NETWORKDAYS(AS389,AU389)=1,
MIN(MOD(AV389,1),TIME(17,30,0)) - MAX(MOD(AT389,1),TIME(8,30,0)),
(TIME(17,30,0)-MAX(MOD(AT389,1),TIME(8,30,0)))
+ (MIN(MOD(AV389,1),TIME(17,30,0))-TIME(8,30,0))
+ (NETWORKDAYS(AS389,AU389)-2)*9/24
)
)
)</f>
        <v>79.75</v>
      </c>
      <c r="AX389" s="19" t="n">
        <f aca="false">24*(
MAX(0,
IF(NETWORKDAYS(AS389,AU389)=1,
MIN(MOD(AV389,1),TIME(17,30,0)) - MAX(MOD(AT389,1),TIME(8,30,0)),
(TIME(17,30,0)-MAX(MOD(AT389,1),TIME(8,30,0)))
+ (MIN(MOD(AV389,1),TIME(17,30,0))-TIME(8,30,0))
+ (NETWORKDAYS(AS389,AU389)-2)* (TIME(17,30,0)-TIME(8,30,0))
)
)
)</f>
        <v>79.75</v>
      </c>
      <c r="AY389" s="20" t="n">
        <f aca="false">ROUND(
IF(AS389=AU389,
MAX(0,
(MIN(MOD(AV389,1),TIME(17,30,0))-
MAX(MOD(AT389,1),TIME(8,30,0)))*24
),
(
(MAX(0,TIME(17,30,0)-MAX(MOD(AT389,1),TIME(8,30,0)))*24)
+
(MAX(0,MIN(MOD(AV389,1),TIME(17,30,0))-TIME(8,30,0))*24)
+
(MAX(0,NETWORKDAYS(AS389+1,AU389-1))*9)
)
),
2)</f>
        <v>79.75</v>
      </c>
      <c r="AZ389" s="0" t="n">
        <f aca="false" t="array" ref="AZ389:AZ389">_xlfn.XLOOKUP(J389,{"Low","Medium","High"},{270,72,24})</f>
        <v>270</v>
      </c>
      <c r="BA389" s="0" t="str">
        <f aca="false">IF(AW389&gt;AZ389,"Not Met","Met")</f>
        <v>Met</v>
      </c>
      <c r="BB389" s="21" t="str">
        <f aca="false">IF(AS389="","",TEXT(AS389,"MMM")&amp;"'"&amp;TEXT(AS389,"yy"))</f>
        <v>Jun'26</v>
      </c>
      <c r="BC389" s="0" t="str">
        <f aca="false">IF(AU389="","",TEXT(AU389,"MMM")&amp;"'"&amp;TEXT(AU389,"yy"))</f>
        <v>Jun'26</v>
      </c>
    </row>
    <row r="390" customFormat="false" ht="15" hidden="false" customHeight="false" outlineLevel="0" collapsed="false">
      <c r="A390" s="1" t="s">
        <v>1295</v>
      </c>
      <c r="B390" s="11" t="n">
        <v>46189</v>
      </c>
      <c r="C390" s="12" t="n">
        <v>0.902777777777778</v>
      </c>
      <c r="D390" s="13" t="str">
        <f aca="false">IF(B390="","",TEXT(B390,"MMM")&amp;"'"&amp;TEXT(B390,"yy"))</f>
        <v>Jun'26</v>
      </c>
      <c r="E390" s="27" t="s">
        <v>55</v>
      </c>
      <c r="F390" s="1" t="s">
        <v>39</v>
      </c>
      <c r="G390" s="1" t="str">
        <f aca="false">IF(F390="Closed","Closed","Pending")</f>
        <v>Closed</v>
      </c>
      <c r="H390" s="1" t="s">
        <v>1109</v>
      </c>
      <c r="I390" s="1" t="s">
        <v>1110</v>
      </c>
      <c r="J390" s="1" t="s">
        <v>58</v>
      </c>
      <c r="K390" s="1" t="s">
        <v>59</v>
      </c>
      <c r="L390" s="1" t="s">
        <v>1296</v>
      </c>
      <c r="M390" s="35" t="s">
        <v>1297</v>
      </c>
      <c r="N390" s="1" t="s">
        <v>62</v>
      </c>
      <c r="O390" s="1" t="s">
        <v>63</v>
      </c>
      <c r="Q390" s="1" t="s">
        <v>63</v>
      </c>
      <c r="R390" s="1" t="s">
        <v>66</v>
      </c>
      <c r="U390" s="12" t="n">
        <v>0.90625</v>
      </c>
      <c r="V390" s="11" t="n">
        <v>46195</v>
      </c>
      <c r="W390" s="12" t="n">
        <v>0.990277777777778</v>
      </c>
      <c r="X390" s="11" t="n">
        <v>46203</v>
      </c>
      <c r="Y390" s="12" t="n">
        <v>0.907638888888889</v>
      </c>
      <c r="Z390" s="1" t="s">
        <v>108</v>
      </c>
      <c r="AA390" s="1" t="s">
        <v>68</v>
      </c>
      <c r="AB390" s="2" t="e">
        <f aca="false">U390-#REF!</f>
        <v>#REF!</v>
      </c>
      <c r="AC390" s="14" t="n">
        <f aca="false">(V390+W390)-(B390+C390)</f>
        <v>6.0875</v>
      </c>
      <c r="AD390" s="4" t="str">
        <f aca="false">INT((V390+W390)-(B390+C390)) &amp; ":" &amp;
TEXT(HOUR((V390+W390)-(B390+C390)), "00") &amp; ":" &amp;
TEXT(MINUTE((V390+W390)-(B390+C390)), "00")</f>
        <v>6:02:06</v>
      </c>
      <c r="AE390" s="1" t="n">
        <f aca="false">IFERROR(
LEFT(AD390,FIND(":",AD390)-1)
+ MID(AD390,FIND(":",AD390)+1,2)/24
+ RIGHT(AD390,2)/1440,
"")</f>
        <v>6.0875</v>
      </c>
      <c r="AF390" s="4" t="str">
        <f aca="false">INT((X390+Y390)-(B390+C390)) &amp; ":" &amp;
TEXT(HOUR((X390+Y390)-(B390+C390)), "00") &amp; ":" &amp;
TEXT(MINUTE((X390+Y390)-(B390+C390)), "00")</f>
        <v>14:00:07</v>
      </c>
      <c r="AG390" s="4" t="str">
        <f aca="false" t="array" ref="AG390:AG390">INT(_xlfn.XLOOKUP(J390,{"Low","Medium","High","Urgent"},{48,24,12,8})/24) &amp; ":" &amp;
TEXT(MOD(_xlfn.XLOOKUP(J390,{"Low","Medium","High","Urgent"},{48,24,12,8}),24)/24,"hh:mm")</f>
        <v>1:00:00</v>
      </c>
      <c r="AH390" s="4" t="str">
        <f aca="false">IF(AD390&gt;AG390,"Not Met","Met")</f>
        <v>Not Met</v>
      </c>
      <c r="AI390" s="4" t="e">
        <f aca="false">IF(AB390&lt;TIME(0,30,0),"Met","Not Met")</f>
        <v>#REF!</v>
      </c>
      <c r="AN390" s="1" t="str">
        <f aca="false">TEXT(B390,"dd")</f>
        <v>16</v>
      </c>
      <c r="AO390" s="1" t="str">
        <f aca="false">TEXT(X390,"dd")</f>
        <v>30</v>
      </c>
      <c r="AP390" s="16" t="str">
        <f aca="false">INT(
  NETWORKDAYS(B390,V390)-1
  + IF(WEEKDAY(V390,2)&lt;6,MOD(V390+W390,1),0)
  - IF(WEEKDAY(B390,2)&lt;6,MOD(B390+C390,1),0)
)
&amp; ":" &amp;
TEXT(HOUR(
  NETWORKDAYS(B390,V390)-1
  + IF(WEEKDAY(V390,2)&lt;6,MOD(V390+W390,1),0)
  - IF(WEEKDAY(B390,2)&lt;6,MOD(B390+C390,1),0)
),"00")
&amp; ":" &amp;
TEXT(MINUTE(
  NETWORKDAYS(B390,V390)-1
  + IF(WEEKDAY(V390,2)&lt;6,MOD(V390+W390,1),0)
  - IF(WEEKDAY(B390,2)&lt;6,MOD(B390+C390,1),0)
),"00")</f>
        <v>4:02:05</v>
      </c>
      <c r="AQ390" s="0" t="n">
        <f aca="false">IFERROR(
LEFT(AP390,FIND(":",AP390)-1)
+ MID(AP390,FIND(":",AP390)+1,2)/24
+ RIGHT(AP390,2)/1440,
"")</f>
        <v>4.08680555555556</v>
      </c>
      <c r="AR390" s="0" t="n">
        <f aca="false">WEEKNUM(B390,1)</f>
        <v>25</v>
      </c>
      <c r="AS390" s="17" t="n">
        <f aca="false">IF(B390&gt;0, (B390+C390)-TIME(13,30,0), "")</f>
        <v>46189.3402777778</v>
      </c>
      <c r="AT390" s="18" t="n">
        <f aca="false">IF(B390&gt;0, (B390+C390)-TIME(13,30,0), "")</f>
        <v>46189.3402777778</v>
      </c>
      <c r="AU390" s="17" t="n">
        <f aca="false">IF(V390&gt;0, (V390+W390)-TIME(13,30,0), "")</f>
        <v>46195.4277777778</v>
      </c>
      <c r="AV390" s="18" t="n">
        <f aca="false">IF(V390&gt;0, (V390+W390)-TIME(13,30,0), "")</f>
        <v>46195.4277777778</v>
      </c>
      <c r="AW390" s="19" t="n">
        <f aca="false">24*(
MAX(0,
IF(NETWORKDAYS(AS390,AU390)=1,
MIN(MOD(AV390,1),TIME(17,30,0)) - MAX(MOD(AT390,1),TIME(8,30,0)),
(TIME(17,30,0)-MAX(MOD(AT390,1),TIME(8,30,0)))
+ (MIN(MOD(AV390,1),TIME(17,30,0))-TIME(8,30,0))
+ (NETWORKDAYS(AS390,AU390)-2)*9/24
)
)
)</f>
        <v>37.7666666666667</v>
      </c>
      <c r="AX390" s="19" t="n">
        <f aca="false">24*(
MAX(0,
IF(NETWORKDAYS(AS390,AU390)=1,
MIN(MOD(AV390,1),TIME(17,30,0)) - MAX(MOD(AT390,1),TIME(8,30,0)),
(TIME(17,30,0)-MAX(MOD(AT390,1),TIME(8,30,0)))
+ (MIN(MOD(AV390,1),TIME(17,30,0))-TIME(8,30,0))
+ (NETWORKDAYS(AS390,AU390)-2)* (TIME(17,30,0)-TIME(8,30,0))
)
)
)</f>
        <v>37.7666666666667</v>
      </c>
      <c r="AY390" s="20" t="n">
        <f aca="false">ROUND(
IF(AS390=AU390,
MAX(0,
(MIN(MOD(AV390,1),TIME(17,30,0))-
MAX(MOD(AT390,1),TIME(8,30,0)))*24
),
(
(MAX(0,TIME(17,30,0)-MAX(MOD(AT390,1),TIME(8,30,0)))*24)
+
(MAX(0,MIN(MOD(AV390,1),TIME(17,30,0))-TIME(8,30,0))*24)
+
(MAX(0,NETWORKDAYS(AS390+1,AU390-1))*9)
)
),
2)</f>
        <v>37.77</v>
      </c>
      <c r="AZ390" s="0" t="n">
        <f aca="false" t="array" ref="AZ390:AZ390">_xlfn.XLOOKUP(J390,{"Low","Medium","High"},{270,72,24})</f>
        <v>72</v>
      </c>
      <c r="BA390" s="0" t="str">
        <f aca="false">IF(AW390&gt;AZ390,"Not Met","Met")</f>
        <v>Met</v>
      </c>
      <c r="BB390" s="21" t="str">
        <f aca="false">IF(AS390="","",TEXT(AS390,"MMM")&amp;"'"&amp;TEXT(AS390,"yy"))</f>
        <v>Jun'26</v>
      </c>
      <c r="BC390" s="0" t="str">
        <f aca="false">IF(AU390="","",TEXT(AU390,"MMM")&amp;"'"&amp;TEXT(AU390,"yy"))</f>
        <v>Jun'26</v>
      </c>
    </row>
    <row r="391" customFormat="false" ht="15" hidden="false" customHeight="false" outlineLevel="0" collapsed="false">
      <c r="A391" s="1" t="s">
        <v>1298</v>
      </c>
      <c r="B391" s="11" t="n">
        <v>46189</v>
      </c>
      <c r="C391" s="12" t="n">
        <v>0.994444444444445</v>
      </c>
      <c r="D391" s="13" t="str">
        <f aca="false">IF(B391="","",TEXT(B391,"MMM")&amp;"'"&amp;TEXT(B391,"yy"))</f>
        <v>Jun'26</v>
      </c>
      <c r="E391" s="27" t="s">
        <v>55</v>
      </c>
      <c r="F391" s="1" t="s">
        <v>39</v>
      </c>
      <c r="G391" s="1" t="str">
        <f aca="false">IF(F391="Closed","Closed","Pending")</f>
        <v>Closed</v>
      </c>
      <c r="H391" s="1" t="s">
        <v>120</v>
      </c>
      <c r="I391" s="1" t="s">
        <v>677</v>
      </c>
      <c r="J391" s="1" t="s">
        <v>74</v>
      </c>
      <c r="K391" s="1" t="s">
        <v>59</v>
      </c>
      <c r="L391" s="1" t="s">
        <v>1299</v>
      </c>
      <c r="M391" s="35" t="s">
        <v>1079</v>
      </c>
      <c r="N391" s="1" t="s">
        <v>65</v>
      </c>
      <c r="O391" s="1" t="s">
        <v>106</v>
      </c>
      <c r="Q391" s="1" t="s">
        <v>65</v>
      </c>
      <c r="R391" s="1" t="s">
        <v>87</v>
      </c>
      <c r="U391" s="25" t="n">
        <v>46190.00625</v>
      </c>
      <c r="V391" s="11" t="n">
        <v>46190</v>
      </c>
      <c r="W391" s="12" t="n">
        <v>0.904166666666667</v>
      </c>
      <c r="X391" s="11" t="n">
        <v>46192</v>
      </c>
      <c r="Y391" s="12" t="n">
        <v>0.00763888888888889</v>
      </c>
      <c r="Z391" s="1" t="s">
        <v>108</v>
      </c>
      <c r="AA391" s="1" t="s">
        <v>68</v>
      </c>
      <c r="AB391" s="2" t="n">
        <v>0.0118055555555556</v>
      </c>
      <c r="AC391" s="14" t="n">
        <f aca="false">(V391+W391)-(B391+C391)</f>
        <v>0.909722222222222</v>
      </c>
      <c r="AD391" s="4" t="str">
        <f aca="false">INT((V391+W391)-(B391+C391)) &amp; ":" &amp;
TEXT(HOUR((V391+W391)-(B391+C391)), "00") &amp; ":" &amp;
TEXT(MINUTE((V391+W391)-(B391+C391)), "00")</f>
        <v>0:21:50</v>
      </c>
      <c r="AE391" s="1" t="n">
        <f aca="false">IFERROR(
LEFT(AD391,FIND(":",AD391)-1)
+ MID(AD391,FIND(":",AD391)+1,2)/24
+ RIGHT(AD391,2)/1440,
"")</f>
        <v>0.909722222222222</v>
      </c>
      <c r="AF391" s="4" t="str">
        <f aca="false">INT((X391+Y391)-(B391+C391)) &amp; ":" &amp;
TEXT(HOUR((X391+Y391)-(B391+C391)), "00") &amp; ":" &amp;
TEXT(MINUTE((X391+Y391)-(B391+C391)), "00")</f>
        <v>2:00:19</v>
      </c>
      <c r="AG391" s="4" t="str">
        <f aca="false" t="array" ref="AG391:AG391">INT(_xlfn.XLOOKUP(J391,{"Low","Medium","High","Urgent"},{48,24,12,8})/24) &amp; ":" &amp;
TEXT(MOD(_xlfn.XLOOKUP(J391,{"Low","Medium","High","Urgent"},{48,24,12,8}),24)/24,"hh:mm")</f>
        <v>2:00:00</v>
      </c>
      <c r="AH391" s="4" t="str">
        <f aca="false">IF(AD391&gt;AG391,"Not Met","Met")</f>
        <v>Met</v>
      </c>
      <c r="AI391" s="4" t="str">
        <f aca="false">IF(AB391&lt;TIME(0,30,0),"Met","Not Met")</f>
        <v>Met</v>
      </c>
      <c r="AN391" s="1" t="str">
        <f aca="false">TEXT(B391,"dd")</f>
        <v>16</v>
      </c>
      <c r="AO391" s="1" t="str">
        <f aca="false">TEXT(X391,"dd")</f>
        <v>19</v>
      </c>
      <c r="AP391" s="16" t="str">
        <f aca="false">INT(
  NETWORKDAYS(B391,V391)-1
  + IF(WEEKDAY(V391,2)&lt;6,MOD(V391+W391,1),0)
  - IF(WEEKDAY(B391,2)&lt;6,MOD(B391+C391,1),0)
)
&amp; ":" &amp;
TEXT(HOUR(
  NETWORKDAYS(B391,V391)-1
  + IF(WEEKDAY(V391,2)&lt;6,MOD(V391+W391,1),0)
  - IF(WEEKDAY(B391,2)&lt;6,MOD(B391+C391,1),0)
),"00")
&amp; ":" &amp;
TEXT(MINUTE(
  NETWORKDAYS(B391,V391)-1
  + IF(WEEKDAY(V391,2)&lt;6,MOD(V391+W391,1),0)
  - IF(WEEKDAY(B391,2)&lt;6,MOD(B391+C391,1),0)
),"00")</f>
        <v>0:21:50</v>
      </c>
      <c r="AQ391" s="0" t="n">
        <f aca="false">IFERROR(
LEFT(AP391,FIND(":",AP391)-1)
+ MID(AP391,FIND(":",AP391)+1,2)/24
+ RIGHT(AP391,2)/1440,
"")</f>
        <v>0.909722222222222</v>
      </c>
      <c r="AR391" s="0" t="n">
        <f aca="false">WEEKNUM(B391,1)</f>
        <v>25</v>
      </c>
      <c r="AS391" s="17" t="n">
        <f aca="false">IF(B391&gt;0, (B391+C391)-TIME(13,30,0), "")</f>
        <v>46189.4319444444</v>
      </c>
      <c r="AT391" s="18" t="n">
        <f aca="false">IF(B391&gt;0, (B391+C391)-TIME(13,30,0), "")</f>
        <v>46189.4319444444</v>
      </c>
      <c r="AU391" s="17" t="n">
        <f aca="false">IF(V391&gt;0, (V391+W391)-TIME(13,30,0), "")</f>
        <v>46190.3416666667</v>
      </c>
      <c r="AV391" s="18" t="n">
        <f aca="false">IF(V391&gt;0, (V391+W391)-TIME(13,30,0), "")</f>
        <v>46190.3416666667</v>
      </c>
      <c r="AW391" s="19" t="n">
        <f aca="false">24*(
MAX(0,
IF(NETWORKDAYS(AS391,AU391)=1,
MIN(MOD(AV391,1),TIME(17,30,0)) - MAX(MOD(AT391,1),TIME(8,30,0)),
(TIME(17,30,0)-MAX(MOD(AT391,1),TIME(8,30,0)))
+ (MIN(MOD(AV391,1),TIME(17,30,0))-TIME(8,30,0))
+ (NETWORKDAYS(AS391,AU391)-2)*9/24
)
)
)</f>
        <v>6.83333333341861</v>
      </c>
      <c r="AX391" s="19" t="n">
        <f aca="false">24*(
MAX(0,
IF(NETWORKDAYS(AS391,AU391)=1,
MIN(MOD(AV391,1),TIME(17,30,0)) - MAX(MOD(AT391,1),TIME(8,30,0)),
(TIME(17,30,0)-MAX(MOD(AT391,1),TIME(8,30,0)))
+ (MIN(MOD(AV391,1),TIME(17,30,0))-TIME(8,30,0))
+ (NETWORKDAYS(AS391,AU391)-2)* (TIME(17,30,0)-TIME(8,30,0))
)
)
)</f>
        <v>6.83333333341861</v>
      </c>
      <c r="AY391" s="20" t="n">
        <f aca="false">ROUND(
IF(AS391=AU391,
MAX(0,
(MIN(MOD(AV391,1),TIME(17,30,0))-
MAX(MOD(AT391,1),TIME(8,30,0)))*24
),
(
(MAX(0,TIME(17,30,0)-MAX(MOD(AT391,1),TIME(8,30,0)))*24)
+
(MAX(0,MIN(MOD(AV391,1),TIME(17,30,0))-TIME(8,30,0))*24)
+
(MAX(0,NETWORKDAYS(AS391+1,AU391-1))*9)
)
),
2)</f>
        <v>7.13</v>
      </c>
      <c r="AZ391" s="0" t="n">
        <f aca="false" t="array" ref="AZ391:AZ391">_xlfn.XLOOKUP(J391,{"Low","Medium","High"},{270,72,24})</f>
        <v>270</v>
      </c>
      <c r="BA391" s="0" t="str">
        <f aca="false">IF(AW391&gt;AZ391,"Not Met","Met")</f>
        <v>Met</v>
      </c>
      <c r="BB391" s="21" t="str">
        <f aca="false">IF(AS391="","",TEXT(AS391,"MMM")&amp;"'"&amp;TEXT(AS391,"yy"))</f>
        <v>Jun'26</v>
      </c>
      <c r="BC391" s="0" t="str">
        <f aca="false">IF(AU391="","",TEXT(AU391,"MMM")&amp;"'"&amp;TEXT(AU391,"yy"))</f>
        <v>Jun'26</v>
      </c>
    </row>
    <row r="392" customFormat="false" ht="15" hidden="false" customHeight="false" outlineLevel="0" collapsed="false">
      <c r="A392" s="1" t="s">
        <v>1300</v>
      </c>
      <c r="B392" s="11" t="n">
        <v>46190</v>
      </c>
      <c r="C392" s="12" t="n">
        <v>0.156944444444444</v>
      </c>
      <c r="D392" s="13" t="str">
        <f aca="false">IF(B392="","",TEXT(B392,"MMM")&amp;"'"&amp;TEXT(B392,"yy"))</f>
        <v>Jun'26</v>
      </c>
      <c r="E392" s="27" t="s">
        <v>55</v>
      </c>
      <c r="F392" s="1" t="s">
        <v>39</v>
      </c>
      <c r="G392" s="1" t="str">
        <f aca="false">IF(F392="Closed","Closed","Pending")</f>
        <v>Closed</v>
      </c>
      <c r="H392" s="1" t="s">
        <v>1227</v>
      </c>
      <c r="I392" s="1" t="s">
        <v>1301</v>
      </c>
      <c r="J392" s="1" t="s">
        <v>74</v>
      </c>
      <c r="K392" s="1" t="s">
        <v>59</v>
      </c>
      <c r="L392" s="1" t="s">
        <v>1302</v>
      </c>
      <c r="M392" s="35" t="s">
        <v>1303</v>
      </c>
      <c r="N392" s="1" t="s">
        <v>65</v>
      </c>
      <c r="O392" s="1" t="s">
        <v>77</v>
      </c>
      <c r="Q392" s="1" t="s">
        <v>65</v>
      </c>
      <c r="R392" s="1" t="s">
        <v>66</v>
      </c>
      <c r="U392" s="12" t="n">
        <v>0.159027777777778</v>
      </c>
      <c r="V392" s="11" t="n">
        <v>46190</v>
      </c>
      <c r="W392" s="12" t="n">
        <v>0.429166666666667</v>
      </c>
      <c r="X392" s="11" t="n">
        <v>46190</v>
      </c>
      <c r="Y392" s="12" t="n">
        <v>0.429166666666667</v>
      </c>
      <c r="Z392" s="1" t="s">
        <v>108</v>
      </c>
      <c r="AA392" s="1" t="s">
        <v>68</v>
      </c>
      <c r="AB392" s="2" t="e">
        <f aca="false">U392-#REF!</f>
        <v>#REF!</v>
      </c>
      <c r="AC392" s="14" t="n">
        <f aca="false">(V392+W392)-(B392+C392)</f>
        <v>0.272222222222222</v>
      </c>
      <c r="AD392" s="4" t="str">
        <f aca="false">INT((V392+W392)-(B392+C392)) &amp; ":" &amp;
TEXT(HOUR((V392+W392)-(B392+C392)), "00") &amp; ":" &amp;
TEXT(MINUTE((V392+W392)-(B392+C392)), "00")</f>
        <v>0:06:32</v>
      </c>
      <c r="AE392" s="1" t="n">
        <f aca="false">IFERROR(
LEFT(AD392,FIND(":",AD392)-1)
+ MID(AD392,FIND(":",AD392)+1,2)/24
+ RIGHT(AD392,2)/1440,
"")</f>
        <v>0.272222222222222</v>
      </c>
      <c r="AF392" s="4" t="str">
        <f aca="false">INT((X392+Y392)-(B392+C392)) &amp; ":" &amp;
TEXT(HOUR((X392+Y392)-(B392+C392)), "00") &amp; ":" &amp;
TEXT(MINUTE((X392+Y392)-(B392+C392)), "00")</f>
        <v>0:06:32</v>
      </c>
      <c r="AG392" s="4" t="str">
        <f aca="false" t="array" ref="AG392:AG392">INT(_xlfn.XLOOKUP(J392,{"Low","Medium","High","Urgent"},{48,24,12,8})/24) &amp; ":" &amp;
TEXT(MOD(_xlfn.XLOOKUP(J392,{"Low","Medium","High","Urgent"},{48,24,12,8}),24)/24,"hh:mm")</f>
        <v>2:00:00</v>
      </c>
      <c r="AH392" s="4" t="str">
        <f aca="false">IF(AD392&gt;AG392,"Not Met","Met")</f>
        <v>Met</v>
      </c>
      <c r="AI392" s="4" t="e">
        <f aca="false">IF(AB392&lt;TIME(0,30,0),"Met","Not Met")</f>
        <v>#REF!</v>
      </c>
      <c r="AN392" s="1" t="str">
        <f aca="false">TEXT(B392,"dd")</f>
        <v>17</v>
      </c>
      <c r="AO392" s="1" t="str">
        <f aca="false">TEXT(X392,"dd")</f>
        <v>17</v>
      </c>
      <c r="AP392" s="16" t="str">
        <f aca="false">INT(
  NETWORKDAYS(B392,V392)-1
  + IF(WEEKDAY(V392,2)&lt;6,MOD(V392+W392,1),0)
  - IF(WEEKDAY(B392,2)&lt;6,MOD(B392+C392,1),0)
)
&amp; ":" &amp;
TEXT(HOUR(
  NETWORKDAYS(B392,V392)-1
  + IF(WEEKDAY(V392,2)&lt;6,MOD(V392+W392,1),0)
  - IF(WEEKDAY(B392,2)&lt;6,MOD(B392+C392,1),0)
),"00")
&amp; ":" &amp;
TEXT(MINUTE(
  NETWORKDAYS(B392,V392)-1
  + IF(WEEKDAY(V392,2)&lt;6,MOD(V392+W392,1),0)
  - IF(WEEKDAY(B392,2)&lt;6,MOD(B392+C392,1),0)
),"00")</f>
        <v>0:06:31</v>
      </c>
      <c r="AQ392" s="0" t="n">
        <f aca="false">IFERROR(
LEFT(AP392,FIND(":",AP392)-1)
+ MID(AP392,FIND(":",AP392)+1,2)/24
+ RIGHT(AP392,2)/1440,
"")</f>
        <v>0.271527777777778</v>
      </c>
      <c r="AR392" s="0" t="n">
        <f aca="false">WEEKNUM(B392,1)</f>
        <v>25</v>
      </c>
      <c r="AS392" s="17" t="n">
        <f aca="false">IF(B392&gt;0, (B392+C392)-TIME(13,30,0), "")</f>
        <v>46189.5944444445</v>
      </c>
      <c r="AT392" s="18" t="n">
        <f aca="false">IF(B392&gt;0, (B392+C392)-TIME(13,30,0), "")</f>
        <v>46189.5944444445</v>
      </c>
      <c r="AU392" s="17" t="n">
        <f aca="false">IF(V392&gt;0, (V392+W392)-TIME(13,30,0), "")</f>
        <v>46189.8666666667</v>
      </c>
      <c r="AV392" s="18" t="n">
        <f aca="false">IF(V392&gt;0, (V392+W392)-TIME(13,30,0), "")</f>
        <v>46189.8666666667</v>
      </c>
      <c r="AW392" s="19" t="n">
        <f aca="false">24*(
MAX(0,
IF(NETWORKDAYS(AS392,AU392)=1,
MIN(MOD(AV392,1),TIME(17,30,0)) - MAX(MOD(AT392,1),TIME(8,30,0)),
(TIME(17,30,0)-MAX(MOD(AT392,1),TIME(8,30,0)))
+ (MIN(MOD(AV392,1),TIME(17,30,0))-TIME(8,30,0))
+ (NETWORKDAYS(AS392,AU392)-2)*9/24
)
)
)</f>
        <v>3.23333333327901</v>
      </c>
      <c r="AX392" s="19" t="n">
        <f aca="false">24*(
MAX(0,
IF(NETWORKDAYS(AS392,AU392)=1,
MIN(MOD(AV392,1),TIME(17,30,0)) - MAX(MOD(AT392,1),TIME(8,30,0)),
(TIME(17,30,0)-MAX(MOD(AT392,1),TIME(8,30,0)))
+ (MIN(MOD(AV392,1),TIME(17,30,0))-TIME(8,30,0))
+ (NETWORKDAYS(AS392,AU392)-2)* (TIME(17,30,0)-TIME(8,30,0))
)
)
)</f>
        <v>3.23333333327901</v>
      </c>
      <c r="AY392" s="20" t="n">
        <f aca="false">ROUND(
IF(AS392=AU392,
MAX(0,
(MIN(MOD(AV392,1),TIME(17,30,0))-
MAX(MOD(AT392,1),TIME(8,30,0)))*24
),
(
(MAX(0,TIME(17,30,0)-MAX(MOD(AT392,1),TIME(8,30,0)))*24)
+
(MAX(0,MIN(MOD(AV392,1),TIME(17,30,0))-TIME(8,30,0))*24)
+
(MAX(0,NETWORKDAYS(AS392+1,AU392-1))*9)
)
),
2)</f>
        <v>12.23</v>
      </c>
      <c r="AZ392" s="0" t="n">
        <f aca="false" t="array" ref="AZ392:AZ392">_xlfn.XLOOKUP(J392,{"Low","Medium","High"},{270,72,24})</f>
        <v>270</v>
      </c>
      <c r="BA392" s="0" t="str">
        <f aca="false">IF(AW392&gt;AZ392,"Not Met","Met")</f>
        <v>Met</v>
      </c>
      <c r="BB392" s="21" t="str">
        <f aca="false">IF(AS392="","",TEXT(AS392,"MMM")&amp;"'"&amp;TEXT(AS392,"yy"))</f>
        <v>Jun'26</v>
      </c>
      <c r="BC392" s="0" t="str">
        <f aca="false">IF(AU392="","",TEXT(AU392,"MMM")&amp;"'"&amp;TEXT(AU392,"yy"))</f>
        <v>Jun'26</v>
      </c>
    </row>
    <row r="393" customFormat="false" ht="15" hidden="false" customHeight="false" outlineLevel="0" collapsed="false">
      <c r="A393" s="1" t="s">
        <v>1304</v>
      </c>
      <c r="B393" s="11" t="n">
        <v>46191</v>
      </c>
      <c r="C393" s="12" t="n">
        <v>0.4125</v>
      </c>
      <c r="D393" s="13" t="str">
        <f aca="false">IF(B393="","",TEXT(B393,"MMM")&amp;"'"&amp;TEXT(B393,"yy"))</f>
        <v>Jun'26</v>
      </c>
      <c r="E393" s="27" t="s">
        <v>55</v>
      </c>
      <c r="F393" s="1" t="s">
        <v>39</v>
      </c>
      <c r="G393" s="1" t="str">
        <f aca="false">IF(F393="Closed","Closed","Pending")</f>
        <v>Closed</v>
      </c>
      <c r="H393" s="1" t="s">
        <v>1227</v>
      </c>
      <c r="I393" s="26" t="s">
        <v>1301</v>
      </c>
      <c r="J393" s="1" t="s">
        <v>74</v>
      </c>
      <c r="K393" s="1" t="s">
        <v>59</v>
      </c>
      <c r="L393" s="1" t="s">
        <v>1305</v>
      </c>
      <c r="M393" s="35" t="s">
        <v>1306</v>
      </c>
      <c r="N393" s="1" t="s">
        <v>62</v>
      </c>
      <c r="O393" s="1" t="s">
        <v>63</v>
      </c>
      <c r="Q393" s="1" t="s">
        <v>63</v>
      </c>
      <c r="R393" s="1" t="s">
        <v>87</v>
      </c>
      <c r="U393" s="12" t="n">
        <v>0.865277777777778</v>
      </c>
      <c r="V393" s="11" t="n">
        <v>46195</v>
      </c>
      <c r="W393" s="12" t="n">
        <v>0.99375</v>
      </c>
      <c r="X393" s="11" t="n">
        <v>46198</v>
      </c>
      <c r="Y393" s="12" t="n">
        <v>0.940277777777778</v>
      </c>
      <c r="Z393" s="1" t="s">
        <v>108</v>
      </c>
      <c r="AA393" s="1" t="s">
        <v>68</v>
      </c>
      <c r="AB393" s="2" t="e">
        <f aca="false">U393-#REF!</f>
        <v>#REF!</v>
      </c>
      <c r="AC393" s="14" t="n">
        <f aca="false">(V393+W393)-(B393+C393)</f>
        <v>4.58125</v>
      </c>
      <c r="AD393" s="4" t="str">
        <f aca="false">INT((V393+W393)-(B393+C393)) &amp; ":" &amp;
TEXT(HOUR((V393+W393)-(B393+C393)), "00") &amp; ":" &amp;
TEXT(MINUTE((V393+W393)-(B393+C393)), "00")</f>
        <v>4:13:57</v>
      </c>
      <c r="AE393" s="1" t="n">
        <f aca="false">IFERROR(
LEFT(AD393,FIND(":",AD393)-1)
+ MID(AD393,FIND(":",AD393)+1,2)/24
+ RIGHT(AD393,2)/1440,
"")</f>
        <v>4.58125</v>
      </c>
      <c r="AF393" s="4" t="str">
        <f aca="false">INT((X393+Y393)-(B393+C393)) &amp; ":" &amp;
TEXT(HOUR((X393+Y393)-(B393+C393)), "00") &amp; ":" &amp;
TEXT(MINUTE((X393+Y393)-(B393+C393)), "00")</f>
        <v>7:12:40</v>
      </c>
      <c r="AG393" s="4" t="str">
        <f aca="false" t="array" ref="AG393:AG393">INT(_xlfn.XLOOKUP(J393,{"Low","Medium","High","Urgent"},{48,24,12,8})/24) &amp; ":" &amp;
TEXT(MOD(_xlfn.XLOOKUP(J393,{"Low","Medium","High","Urgent"},{48,24,12,8}),24)/24,"hh:mm")</f>
        <v>2:00:00</v>
      </c>
      <c r="AH393" s="4" t="str">
        <f aca="false">IF(AD393&gt;AG393,"Not Met","Met")</f>
        <v>Not Met</v>
      </c>
      <c r="AI393" s="4" t="e">
        <f aca="false">IF(AB393&lt;TIME(0,30,0),"Met","Not Met")</f>
        <v>#REF!</v>
      </c>
      <c r="AN393" s="1" t="str">
        <f aca="false">TEXT(B393,"dd")</f>
        <v>18</v>
      </c>
      <c r="AO393" s="1" t="str">
        <f aca="false">TEXT(X393,"dd")</f>
        <v>25</v>
      </c>
      <c r="AP393" s="16" t="str">
        <f aca="false">INT(
  NETWORKDAYS(B393,V393)-1
  + IF(WEEKDAY(V393,2)&lt;6,MOD(V393+W393,1),0)
  - IF(WEEKDAY(B393,2)&lt;6,MOD(B393+C393,1),0)
)
&amp; ":" &amp;
TEXT(HOUR(
  NETWORKDAYS(B393,V393)-1
  + IF(WEEKDAY(V393,2)&lt;6,MOD(V393+W393,1),0)
  - IF(WEEKDAY(B393,2)&lt;6,MOD(B393+C393,1),0)
),"00")
&amp; ":" &amp;
TEXT(MINUTE(
  NETWORKDAYS(B393,V393)-1
  + IF(WEEKDAY(V393,2)&lt;6,MOD(V393+W393,1),0)
  - IF(WEEKDAY(B393,2)&lt;6,MOD(B393+C393,1),0)
),"00")</f>
        <v>2:13:57</v>
      </c>
      <c r="AQ393" s="0" t="n">
        <f aca="false">IFERROR(
LEFT(AP393,FIND(":",AP393)-1)
+ MID(AP393,FIND(":",AP393)+1,2)/24
+ RIGHT(AP393,2)/1440,
"")</f>
        <v>2.58125</v>
      </c>
      <c r="AR393" s="0" t="n">
        <f aca="false">WEEKNUM(B393,1)</f>
        <v>25</v>
      </c>
      <c r="AS393" s="17" t="n">
        <f aca="false">IF(B393&gt;0, (B393+C393)-TIME(13,30,0), "")</f>
        <v>46190.85</v>
      </c>
      <c r="AT393" s="18" t="n">
        <f aca="false">IF(B393&gt;0, (B393+C393)-TIME(13,30,0), "")</f>
        <v>46190.85</v>
      </c>
      <c r="AU393" s="17" t="n">
        <f aca="false">IF(V393&gt;0, (V393+W393)-TIME(13,30,0), "")</f>
        <v>46195.43125</v>
      </c>
      <c r="AV393" s="18" t="n">
        <f aca="false">IF(V393&gt;0, (V393+W393)-TIME(13,30,0), "")</f>
        <v>46195.43125</v>
      </c>
      <c r="AW393" s="19" t="n">
        <f aca="false">24*(
MAX(0,
IF(NETWORKDAYS(AS393,AU393)=1,
MIN(MOD(AV393,1),TIME(17,30,0)) - MAX(MOD(AT393,1),TIME(8,30,0)),
(TIME(17,30,0)-MAX(MOD(AT393,1),TIME(8,30,0)))
+ (MIN(MOD(AV393,1),TIME(17,30,0))-TIME(8,30,0))
+ (NETWORKDAYS(AS393,AU393)-2)*9/24
)
)
)</f>
        <v>16.95</v>
      </c>
      <c r="AX393" s="19" t="n">
        <f aca="false">24*(
MAX(0,
IF(NETWORKDAYS(AS393,AU393)=1,
MIN(MOD(AV393,1),TIME(17,30,0)) - MAX(MOD(AT393,1),TIME(8,30,0)),
(TIME(17,30,0)-MAX(MOD(AT393,1),TIME(8,30,0)))
+ (MIN(MOD(AV393,1),TIME(17,30,0))-TIME(8,30,0))
+ (NETWORKDAYS(AS393,AU393)-2)* (TIME(17,30,0)-TIME(8,30,0))
)
)
)</f>
        <v>16.95</v>
      </c>
      <c r="AY393" s="20" t="n">
        <f aca="false">ROUND(
IF(AS393=AU393,
MAX(0,
(MIN(MOD(AV393,1),TIME(17,30,0))-
MAX(MOD(AT393,1),TIME(8,30,0)))*24
),
(
(MAX(0,TIME(17,30,0)-MAX(MOD(AT393,1),TIME(8,30,0)))*24)
+
(MAX(0,MIN(MOD(AV393,1),TIME(17,30,0))-TIME(8,30,0))*24)
+
(MAX(0,NETWORKDAYS(AS393+1,AU393-1))*9)
)
),
2)</f>
        <v>19.85</v>
      </c>
      <c r="AZ393" s="0" t="n">
        <f aca="false" t="array" ref="AZ393:AZ393">_xlfn.XLOOKUP(J393,{"Low","Medium","High"},{270,72,24})</f>
        <v>270</v>
      </c>
      <c r="BA393" s="0" t="str">
        <f aca="false">IF(AW393&gt;AZ393,"Not Met","Met")</f>
        <v>Met</v>
      </c>
      <c r="BB393" s="21" t="str">
        <f aca="false">IF(AS393="","",TEXT(AS393,"MMM")&amp;"'"&amp;TEXT(AS393,"yy"))</f>
        <v>Jun'26</v>
      </c>
      <c r="BC393" s="0" t="str">
        <f aca="false">IF(AU393="","",TEXT(AU393,"MMM")&amp;"'"&amp;TEXT(AU393,"yy"))</f>
        <v>Jun'26</v>
      </c>
    </row>
    <row r="394" customFormat="false" ht="15" hidden="false" customHeight="false" outlineLevel="0" collapsed="false">
      <c r="A394" s="1" t="s">
        <v>1307</v>
      </c>
      <c r="B394" s="11" t="n">
        <v>46191</v>
      </c>
      <c r="C394" s="12" t="n">
        <v>0.979861111111111</v>
      </c>
      <c r="D394" s="13" t="str">
        <f aca="false">IF(B394="","",TEXT(B394,"MMM")&amp;"'"&amp;TEXT(B394,"yy"))</f>
        <v>Jun'26</v>
      </c>
      <c r="E394" s="27" t="s">
        <v>55</v>
      </c>
      <c r="F394" s="29" t="s">
        <v>39</v>
      </c>
      <c r="G394" s="1" t="str">
        <f aca="false">IF(F394="Closed","Closed","Pending")</f>
        <v>Closed</v>
      </c>
      <c r="H394" s="55" t="s">
        <v>1227</v>
      </c>
      <c r="I394" s="1" t="s">
        <v>1301</v>
      </c>
      <c r="J394" s="50" t="s">
        <v>74</v>
      </c>
      <c r="K394" s="29" t="s">
        <v>59</v>
      </c>
      <c r="L394" s="29" t="s">
        <v>1308</v>
      </c>
      <c r="M394" s="1" t="s">
        <v>1309</v>
      </c>
      <c r="N394" s="1" t="s">
        <v>62</v>
      </c>
      <c r="O394" s="1" t="s">
        <v>63</v>
      </c>
      <c r="Q394" s="1" t="s">
        <v>63</v>
      </c>
      <c r="R394" s="1" t="s">
        <v>87</v>
      </c>
      <c r="U394" s="12" t="n">
        <v>0.986111111111111</v>
      </c>
      <c r="V394" s="11" t="n">
        <v>46195</v>
      </c>
      <c r="W394" s="12" t="n">
        <v>0.999305555555556</v>
      </c>
      <c r="X394" s="11" t="n">
        <v>46196</v>
      </c>
      <c r="Y394" s="12" t="n">
        <v>0.00555555555555556</v>
      </c>
      <c r="Z394" s="1" t="s">
        <v>108</v>
      </c>
      <c r="AA394" s="1" t="s">
        <v>68</v>
      </c>
      <c r="AB394" s="2" t="e">
        <f aca="false">U394-#REF!</f>
        <v>#REF!</v>
      </c>
      <c r="AC394" s="14" t="n">
        <f aca="false">(V394+W394)-(B394+C394)</f>
        <v>4.01944444444445</v>
      </c>
      <c r="AD394" s="4" t="str">
        <f aca="false">INT((V394+W394)-(B394+C394)) &amp; ":" &amp;
TEXT(HOUR((V394+W394)-(B394+C394)), "00") &amp; ":" &amp;
TEXT(MINUTE((V394+W394)-(B394+C394)), "00")</f>
        <v>4:00:28</v>
      </c>
      <c r="AE394" s="1" t="n">
        <f aca="false">IFERROR(
LEFT(AD394,FIND(":",AD394)-1)
+ MID(AD394,FIND(":",AD394)+1,2)/24
+ RIGHT(AD394,2)/1440,
"")</f>
        <v>4.01944444444445</v>
      </c>
      <c r="AF394" s="4" t="str">
        <f aca="false">INT((X394+Y394)-(B394+C394)) &amp; ":" &amp;
TEXT(HOUR((X394+Y394)-(B394+C394)), "00") &amp; ":" &amp;
TEXT(MINUTE((X394+Y394)-(B394+C394)), "00")</f>
        <v>4:00:37</v>
      </c>
      <c r="AG394" s="4" t="str">
        <f aca="false" t="array" ref="AG394:AG394">INT(_xlfn.XLOOKUP(J394,{"Low","Medium","High","Urgent"},{48,24,12,8})/24) &amp; ":" &amp;
TEXT(MOD(_xlfn.XLOOKUP(J394,{"Low","Medium","High","Urgent"},{48,24,12,8}),24)/24,"hh:mm")</f>
        <v>2:00:00</v>
      </c>
      <c r="AH394" s="4" t="str">
        <f aca="false">IF(AD394&gt;AG394,"Not Met","Met")</f>
        <v>Not Met</v>
      </c>
      <c r="AI394" s="4" t="e">
        <f aca="false">IF(AB394&lt;TIME(0,30,0),"Met","Not Met")</f>
        <v>#REF!</v>
      </c>
      <c r="AN394" s="1" t="str">
        <f aca="false">TEXT(B394,"dd")</f>
        <v>18</v>
      </c>
      <c r="AO394" s="1" t="str">
        <f aca="false">TEXT(X394,"dd")</f>
        <v>23</v>
      </c>
      <c r="AP394" s="16" t="str">
        <f aca="false">INT(
  NETWORKDAYS(B394,V394)-1
  + IF(WEEKDAY(V394,2)&lt;6,MOD(V394+W394,1),0)
  - IF(WEEKDAY(B394,2)&lt;6,MOD(B394+C394,1),0)
)
&amp; ":" &amp;
TEXT(HOUR(
  NETWORKDAYS(B394,V394)-1
  + IF(WEEKDAY(V394,2)&lt;6,MOD(V394+W394,1),0)
  - IF(WEEKDAY(B394,2)&lt;6,MOD(B394+C394,1),0)
),"00")
&amp; ":" &amp;
TEXT(MINUTE(
  NETWORKDAYS(B394,V394)-1
  + IF(WEEKDAY(V394,2)&lt;6,MOD(V394+W394,1),0)
  - IF(WEEKDAY(B394,2)&lt;6,MOD(B394+C394,1),0)
),"00")</f>
        <v>2:00:27</v>
      </c>
      <c r="AQ394" s="0" t="n">
        <f aca="false">IFERROR(
LEFT(AP394,FIND(":",AP394)-1)
+ MID(AP394,FIND(":",AP394)+1,2)/24
+ RIGHT(AP394,2)/1440,
"")</f>
        <v>2.01875</v>
      </c>
      <c r="AR394" s="0" t="n">
        <f aca="false">WEEKNUM(B394,1)</f>
        <v>25</v>
      </c>
      <c r="AS394" s="17" t="n">
        <f aca="false">IF(B394&gt;0, (B394+C394)-TIME(13,30,0), "")</f>
        <v>46191.4173611111</v>
      </c>
      <c r="AT394" s="18" t="n">
        <f aca="false">IF(B394&gt;0, (B394+C394)-TIME(13,30,0), "")</f>
        <v>46191.4173611111</v>
      </c>
      <c r="AU394" s="17" t="n">
        <f aca="false">IF(V394&gt;0, (V394+W394)-TIME(13,30,0), "")</f>
        <v>46195.4368055556</v>
      </c>
      <c r="AV394" s="18" t="n">
        <f aca="false">IF(V394&gt;0, (V394+W394)-TIME(13,30,0), "")</f>
        <v>46195.4368055556</v>
      </c>
      <c r="AW394" s="19" t="n">
        <f aca="false">24*(
MAX(0,
IF(NETWORKDAYS(AS394,AU394)=1,
MIN(MOD(AV394,1),TIME(17,30,0)) - MAX(MOD(AT394,1),TIME(8,30,0)),
(TIME(17,30,0)-MAX(MOD(AT394,1),TIME(8,30,0)))
+ (MIN(MOD(AV394,1),TIME(17,30,0))-TIME(8,30,0))
+ (NETWORKDAYS(AS394,AU394)-2)*9/24
)
)
)</f>
        <v>18.4666666666667</v>
      </c>
      <c r="AX394" s="19" t="n">
        <f aca="false">24*(
MAX(0,
IF(NETWORKDAYS(AS394,AU394)=1,
MIN(MOD(AV394,1),TIME(17,30,0)) - MAX(MOD(AT394,1),TIME(8,30,0)),
(TIME(17,30,0)-MAX(MOD(AT394,1),TIME(8,30,0)))
+ (MIN(MOD(AV394,1),TIME(17,30,0))-TIME(8,30,0))
+ (NETWORKDAYS(AS394,AU394)-2)* (TIME(17,30,0)-TIME(8,30,0))
)
)
)</f>
        <v>18.4666666666667</v>
      </c>
      <c r="AY394" s="20" t="n">
        <f aca="false">ROUND(
IF(AS394=AU394,
MAX(0,
(MIN(MOD(AV394,1),TIME(17,30,0))-
MAX(MOD(AT394,1),TIME(8,30,0)))*24
),
(
(MAX(0,TIME(17,30,0)-MAX(MOD(AT394,1),TIME(8,30,0)))*24)
+
(MAX(0,MIN(MOD(AV394,1),TIME(17,30,0))-TIME(8,30,0))*24)
+
(MAX(0,NETWORKDAYS(AS394+1,AU394-1))*9)
)
),
2)</f>
        <v>18.47</v>
      </c>
      <c r="AZ394" s="0" t="n">
        <f aca="false" t="array" ref="AZ394:AZ394">_xlfn.XLOOKUP(J394,{"Low","Medium","High"},{270,72,24})</f>
        <v>270</v>
      </c>
      <c r="BA394" s="0" t="str">
        <f aca="false">IF(AW394&gt;AZ394,"Not Met","Met")</f>
        <v>Met</v>
      </c>
      <c r="BB394" s="21" t="str">
        <f aca="false">IF(AS394="","",TEXT(AS394,"MMM")&amp;"'"&amp;TEXT(AS394,"yy"))</f>
        <v>Jun'26</v>
      </c>
      <c r="BC394" s="0" t="str">
        <f aca="false">IF(AU394="","",TEXT(AU394,"MMM")&amp;"'"&amp;TEXT(AU394,"yy"))</f>
        <v>Jun'26</v>
      </c>
    </row>
    <row r="395" customFormat="false" ht="15" hidden="false" customHeight="false" outlineLevel="0" collapsed="false">
      <c r="A395" s="1" t="s">
        <v>1310</v>
      </c>
      <c r="B395" s="11" t="n">
        <v>46192</v>
      </c>
      <c r="C395" s="12" t="n">
        <v>0.164583333333333</v>
      </c>
      <c r="D395" s="13" t="str">
        <f aca="false">IF(B395="","",TEXT(B395,"MMM")&amp;"'"&amp;TEXT(B395,"yy"))</f>
        <v>Jun'26</v>
      </c>
      <c r="E395" s="27" t="s">
        <v>55</v>
      </c>
      <c r="F395" s="1" t="s">
        <v>39</v>
      </c>
      <c r="G395" s="1" t="str">
        <f aca="false">IF(F395="Closed","Closed","Pending")</f>
        <v>Closed</v>
      </c>
      <c r="H395" s="27" t="s">
        <v>1292</v>
      </c>
      <c r="I395" s="26" t="s">
        <v>501</v>
      </c>
      <c r="J395" s="35" t="s">
        <v>74</v>
      </c>
      <c r="K395" s="1" t="s">
        <v>59</v>
      </c>
      <c r="L395" s="1" t="s">
        <v>1311</v>
      </c>
      <c r="M395" s="35" t="s">
        <v>1079</v>
      </c>
      <c r="N395" s="1" t="s">
        <v>65</v>
      </c>
      <c r="O395" s="1" t="s">
        <v>106</v>
      </c>
      <c r="Q395" s="1" t="s">
        <v>65</v>
      </c>
      <c r="R395" s="1" t="s">
        <v>87</v>
      </c>
      <c r="U395" s="25" t="n">
        <v>46196.0020833333</v>
      </c>
      <c r="V395" s="11" t="n">
        <v>46196</v>
      </c>
      <c r="W395" s="12" t="n">
        <v>0.00208333333333333</v>
      </c>
      <c r="X395" s="11" t="n">
        <v>46196</v>
      </c>
      <c r="Y395" s="12" t="n">
        <v>0.0763888888888889</v>
      </c>
      <c r="Z395" s="1" t="s">
        <v>67</v>
      </c>
      <c r="AA395" s="1" t="s">
        <v>68</v>
      </c>
      <c r="AB395" s="2" t="n">
        <v>0.7125</v>
      </c>
      <c r="AC395" s="14" t="n">
        <f aca="false">(V395+W395)-(B395+C395)</f>
        <v>3.8375</v>
      </c>
      <c r="AD395" s="4" t="str">
        <f aca="false">INT((V395+W395)-(B395+C395)) &amp; ":" &amp;
TEXT(HOUR((V395+W395)-(B395+C395)), "00") &amp; ":" &amp;
TEXT(MINUTE((V395+W395)-(B395+C395)), "00")</f>
        <v>3:20:06</v>
      </c>
      <c r="AE395" s="1" t="n">
        <f aca="false">IFERROR(
LEFT(AD395,FIND(":",AD395)-1)
+ MID(AD395,FIND(":",AD395)+1,2)/24
+ RIGHT(AD395,2)/1440,
"")</f>
        <v>3.8375</v>
      </c>
      <c r="AF395" s="4" t="str">
        <f aca="false">INT((X395+Y395)-(B395+C395)) &amp; ":" &amp;
TEXT(HOUR((X395+Y395)-(B395+C395)), "00") &amp; ":" &amp;
TEXT(MINUTE((X395+Y395)-(B395+C395)), "00")</f>
        <v>3:21:53</v>
      </c>
      <c r="AG395" s="4" t="str">
        <f aca="false" t="array" ref="AG395:AG395">INT(_xlfn.XLOOKUP(J395,{"Low","Medium","High","Urgent"},{48,24,12,8})/24) &amp; ":" &amp;
TEXT(MOD(_xlfn.XLOOKUP(J395,{"Low","Medium","High","Urgent"},{48,24,12,8}),24)/24,"hh:mm")</f>
        <v>2:00:00</v>
      </c>
      <c r="AH395" s="4" t="str">
        <f aca="false">IF(AD395&gt;AG395,"Not Met","Met")</f>
        <v>Not Met</v>
      </c>
      <c r="AI395" s="4" t="str">
        <f aca="false">IF(AB395&lt;TIME(0,30,0),"Met","Not Met")</f>
        <v>Not Met</v>
      </c>
      <c r="AN395" s="1" t="str">
        <f aca="false">TEXT(B395,"dd")</f>
        <v>19</v>
      </c>
      <c r="AO395" s="1" t="str">
        <f aca="false">TEXT(X395,"dd")</f>
        <v>23</v>
      </c>
      <c r="AP395" s="16" t="str">
        <f aca="false">INT(
  NETWORKDAYS(B395,V395)-1
  + IF(WEEKDAY(V395,2)&lt;6,MOD(V395+W395,1),0)
  - IF(WEEKDAY(B395,2)&lt;6,MOD(B395+C395,1),0)
)
&amp; ":" &amp;
TEXT(HOUR(
  NETWORKDAYS(B395,V395)-1
  + IF(WEEKDAY(V395,2)&lt;6,MOD(V395+W395,1),0)
  - IF(WEEKDAY(B395,2)&lt;6,MOD(B395+C395,1),0)
),"00")
&amp; ":" &amp;
TEXT(MINUTE(
  NETWORKDAYS(B395,V395)-1
  + IF(WEEKDAY(V395,2)&lt;6,MOD(V395+W395,1),0)
  - IF(WEEKDAY(B395,2)&lt;6,MOD(B395+C395,1),0)
),"00")</f>
        <v>1:20:06</v>
      </c>
      <c r="AQ395" s="0" t="n">
        <f aca="false">IFERROR(
LEFT(AP395,FIND(":",AP395)-1)
+ MID(AP395,FIND(":",AP395)+1,2)/24
+ RIGHT(AP395,2)/1440,
"")</f>
        <v>1.8375</v>
      </c>
      <c r="AR395" s="0" t="n">
        <f aca="false">WEEKNUM(B395,1)</f>
        <v>25</v>
      </c>
      <c r="AS395" s="17" t="n">
        <f aca="false">IF(B395&gt;0, (B395+C395)-TIME(13,30,0), "")</f>
        <v>46191.6020833333</v>
      </c>
      <c r="AT395" s="18" t="n">
        <f aca="false">IF(B395&gt;0, (B395+C395)-TIME(13,30,0), "")</f>
        <v>46191.6020833333</v>
      </c>
      <c r="AU395" s="17" t="n">
        <f aca="false">IF(V395&gt;0, (V395+W395)-TIME(13,30,0), "")</f>
        <v>46195.4395833333</v>
      </c>
      <c r="AV395" s="18" t="n">
        <f aca="false">IF(V395&gt;0, (V395+W395)-TIME(13,30,0), "")</f>
        <v>46195.4395833333</v>
      </c>
      <c r="AW395" s="19" t="n">
        <f aca="false">24*(
MAX(0,
IF(NETWORKDAYS(AS395,AU395)=1,
MIN(MOD(AV395,1),TIME(17,30,0)) - MAX(MOD(AT395,1),TIME(8,30,0)),
(TIME(17,30,0)-MAX(MOD(AT395,1),TIME(8,30,0)))
+ (MIN(MOD(AV395,1),TIME(17,30,0))-TIME(8,30,0))
+ (NETWORKDAYS(AS395,AU395)-2)*9/24
)
)
)</f>
        <v>14.1</v>
      </c>
      <c r="AX395" s="19" t="n">
        <f aca="false">24*(
MAX(0,
IF(NETWORKDAYS(AS395,AU395)=1,
MIN(MOD(AV395,1),TIME(17,30,0)) - MAX(MOD(AT395,1),TIME(8,30,0)),
(TIME(17,30,0)-MAX(MOD(AT395,1),TIME(8,30,0)))
+ (MIN(MOD(AV395,1),TIME(17,30,0))-TIME(8,30,0))
+ (NETWORKDAYS(AS395,AU395)-2)* (TIME(17,30,0)-TIME(8,30,0))
)
)
)</f>
        <v>14.1</v>
      </c>
      <c r="AY395" s="20" t="n">
        <f aca="false">ROUND(
IF(AS395=AU395,
MAX(0,
(MIN(MOD(AV395,1),TIME(17,30,0))-
MAX(MOD(AT395,1),TIME(8,30,0)))*24
),
(
(MAX(0,TIME(17,30,0)-MAX(MOD(AT395,1),TIME(8,30,0)))*24)
+
(MAX(0,MIN(MOD(AV395,1),TIME(17,30,0))-TIME(8,30,0))*24)
+
(MAX(0,NETWORKDAYS(AS395+1,AU395-1))*9)
)
),
2)</f>
        <v>14.1</v>
      </c>
      <c r="AZ395" s="0" t="n">
        <f aca="false" t="array" ref="AZ395:AZ395">_xlfn.XLOOKUP(J395,{"Low","Medium","High"},{270,72,24})</f>
        <v>270</v>
      </c>
      <c r="BA395" s="0" t="str">
        <f aca="false">IF(AW395&gt;AZ395,"Not Met","Met")</f>
        <v>Met</v>
      </c>
      <c r="BB395" s="21" t="str">
        <f aca="false">IF(AS395="","",TEXT(AS395,"MMM")&amp;"'"&amp;TEXT(AS395,"yy"))</f>
        <v>Jun'26</v>
      </c>
      <c r="BC395" s="0" t="str">
        <f aca="false">IF(AU395="","",TEXT(AU395,"MMM")&amp;"'"&amp;TEXT(AU395,"yy"))</f>
        <v>Jun'26</v>
      </c>
    </row>
    <row r="396" customFormat="false" ht="15" hidden="false" customHeight="false" outlineLevel="0" collapsed="false">
      <c r="A396" s="1" t="s">
        <v>1312</v>
      </c>
      <c r="B396" s="11" t="n">
        <v>46194</v>
      </c>
      <c r="C396" s="12" t="n">
        <v>0.425</v>
      </c>
      <c r="D396" s="13" t="str">
        <f aca="false">IF(B396="","",TEXT(B396,"MMM")&amp;"'"&amp;TEXT(B396,"yy"))</f>
        <v>Jun'26</v>
      </c>
      <c r="E396" s="27" t="s">
        <v>55</v>
      </c>
      <c r="F396" s="1" t="s">
        <v>39</v>
      </c>
      <c r="G396" s="1" t="str">
        <f aca="false">IF(F396="Closed","Closed","Pending")</f>
        <v>Closed</v>
      </c>
      <c r="H396" s="70" t="s">
        <v>1227</v>
      </c>
      <c r="I396" s="26" t="s">
        <v>1301</v>
      </c>
      <c r="J396" s="35" t="s">
        <v>74</v>
      </c>
      <c r="K396" s="1" t="s">
        <v>59</v>
      </c>
      <c r="L396" s="1" t="s">
        <v>1313</v>
      </c>
      <c r="M396" s="1" t="s">
        <v>1314</v>
      </c>
      <c r="N396" s="1" t="s">
        <v>62</v>
      </c>
      <c r="O396" s="1" t="s">
        <v>63</v>
      </c>
      <c r="Q396" s="1" t="s">
        <v>63</v>
      </c>
      <c r="R396" s="1" t="s">
        <v>87</v>
      </c>
      <c r="U396" s="25" t="n">
        <v>46196.9972222222</v>
      </c>
      <c r="V396" s="11" t="n">
        <v>46195</v>
      </c>
      <c r="W396" s="12" t="n">
        <v>0.997222222222222</v>
      </c>
      <c r="X396" s="11" t="n">
        <v>46196</v>
      </c>
      <c r="Y396" s="12" t="n">
        <v>0.00555555555555556</v>
      </c>
      <c r="Z396" s="1" t="s">
        <v>67</v>
      </c>
      <c r="AA396" s="1" t="s">
        <v>68</v>
      </c>
      <c r="AB396" s="2" t="n">
        <v>0.268055555555556</v>
      </c>
      <c r="AC396" s="14" t="n">
        <f aca="false">(V396+W396)-(B396+C396)</f>
        <v>1.57222222222222</v>
      </c>
      <c r="AD396" s="4" t="str">
        <f aca="false">INT((V396+W396)-(B396+C396)) &amp; ":" &amp;
TEXT(HOUR((V396+W396)-(B396+C396)), "00") &amp; ":" &amp;
TEXT(MINUTE((V396+W396)-(B396+C396)), "00")</f>
        <v>1:13:44</v>
      </c>
      <c r="AE396" s="1" t="n">
        <f aca="false">IFERROR(
LEFT(AD396,FIND(":",AD396)-1)
+ MID(AD396,FIND(":",AD396)+1,2)/24
+ RIGHT(AD396,2)/1440,
"")</f>
        <v>1.57222222222222</v>
      </c>
      <c r="AF396" s="4" t="str">
        <f aca="false">INT((X396+Y396)-(B396+C396)) &amp; ":" &amp;
TEXT(HOUR((X396+Y396)-(B396+C396)), "00") &amp; ":" &amp;
TEXT(MINUTE((X396+Y396)-(B396+C396)), "00")</f>
        <v>1:13:56</v>
      </c>
      <c r="AG396" s="4" t="str">
        <f aca="false" t="array" ref="AG396:AG396">INT(_xlfn.XLOOKUP(J396,{"Low","Medium","High","Urgent"},{48,24,12,8})/24) &amp; ":" &amp;
TEXT(MOD(_xlfn.XLOOKUP(J396,{"Low","Medium","High","Urgent"},{48,24,12,8}),24)/24,"hh:mm")</f>
        <v>2:00:00</v>
      </c>
      <c r="AH396" s="4" t="str">
        <f aca="false">IF(AD396&gt;AG396,"Not Met","Met")</f>
        <v>Met</v>
      </c>
      <c r="AI396" s="4" t="str">
        <f aca="false">IF(AB396&lt;TIME(0,30,0),"Met","Not Met")</f>
        <v>Not Met</v>
      </c>
      <c r="AN396" s="1" t="str">
        <f aca="false">TEXT(B396,"dd")</f>
        <v>21</v>
      </c>
      <c r="AO396" s="1" t="str">
        <f aca="false">TEXT(X396,"dd")</f>
        <v>23</v>
      </c>
      <c r="AP396" s="16" t="str">
        <f aca="false">INT(
  NETWORKDAYS(B396,V396)-1
  + IF(WEEKDAY(V396,2)&lt;6,MOD(V396+W396,1),0)
  - IF(WEEKDAY(B396,2)&lt;6,MOD(B396+C396,1),0)
)
&amp; ":" &amp;
TEXT(HOUR(
  NETWORKDAYS(B396,V396)-1
  + IF(WEEKDAY(V396,2)&lt;6,MOD(V396+W396,1),0)
  - IF(WEEKDAY(B396,2)&lt;6,MOD(B396+C396,1),0)
),"00")
&amp; ":" &amp;
TEXT(MINUTE(
  NETWORKDAYS(B396,V396)-1
  + IF(WEEKDAY(V396,2)&lt;6,MOD(V396+W396,1),0)
  - IF(WEEKDAY(B396,2)&lt;6,MOD(B396+C396,1),0)
),"00")</f>
        <v>0:23:55</v>
      </c>
      <c r="AQ396" s="0" t="n">
        <f aca="false">IFERROR(
LEFT(AP396,FIND(":",AP396)-1)
+ MID(AP396,FIND(":",AP396)+1,2)/24
+ RIGHT(AP396,2)/1440,
"")</f>
        <v>0.996527777777778</v>
      </c>
      <c r="AR396" s="0" t="n">
        <f aca="false">WEEKNUM(B396,1)</f>
        <v>26</v>
      </c>
      <c r="AS396" s="17" t="n">
        <f aca="false">IF(B396&gt;0, (B396+C396)-TIME(13,30,0), "")</f>
        <v>46193.8625</v>
      </c>
      <c r="AT396" s="18" t="n">
        <f aca="false">IF(B396&gt;0, (B396+C396)-TIME(13,30,0), "")</f>
        <v>46193.8625</v>
      </c>
      <c r="AU396" s="17" t="n">
        <f aca="false">IF(V396&gt;0, (V396+W396)-TIME(13,30,0), "")</f>
        <v>46195.4347222222</v>
      </c>
      <c r="AV396" s="18" t="n">
        <f aca="false">IF(V396&gt;0, (V396+W396)-TIME(13,30,0), "")</f>
        <v>46195.4347222222</v>
      </c>
      <c r="AW396" s="19" t="n">
        <f aca="false">24*(
MAX(0,
IF(NETWORKDAYS(AS396,AU396)=1,
MIN(MOD(AV396,1),TIME(17,30,0)) - MAX(MOD(AT396,1),TIME(8,30,0)),
(TIME(17,30,0)-MAX(MOD(AT396,1),TIME(8,30,0)))
+ (MIN(MOD(AV396,1),TIME(17,30,0))-TIME(8,30,0))
+ (NETWORKDAYS(AS396,AU396)-2)*9/24
)
)
)</f>
        <v>0</v>
      </c>
      <c r="AX396" s="19" t="n">
        <f aca="false">24*(
MAX(0,
IF(NETWORKDAYS(AS396,AU396)=1,
MIN(MOD(AV396,1),TIME(17,30,0)) - MAX(MOD(AT396,1),TIME(8,30,0)),
(TIME(17,30,0)-MAX(MOD(AT396,1),TIME(8,30,0)))
+ (MIN(MOD(AV396,1),TIME(17,30,0))-TIME(8,30,0))
+ (NETWORKDAYS(AS396,AU396)-2)* (TIME(17,30,0)-TIME(8,30,0))
)
)
)</f>
        <v>0</v>
      </c>
      <c r="AY396" s="20" t="n">
        <f aca="false">ROUND(
IF(AS396=AU396,
MAX(0,
(MIN(MOD(AV396,1),TIME(17,30,0))-
MAX(MOD(AT396,1),TIME(8,30,0)))*24
),
(
(MAX(0,TIME(17,30,0)-MAX(MOD(AT396,1),TIME(8,30,0)))*24)
+
(MAX(0,MIN(MOD(AV396,1),TIME(17,30,0))-TIME(8,30,0))*24)
+
(MAX(0,NETWORKDAYS(AS396+1,AU396-1))*9)
)
),
2)</f>
        <v>1.93</v>
      </c>
      <c r="AZ396" s="0" t="n">
        <f aca="false" t="array" ref="AZ396:AZ396">_xlfn.XLOOKUP(J396,{"Low","Medium","High"},{270,72,24})</f>
        <v>270</v>
      </c>
      <c r="BA396" s="0" t="str">
        <f aca="false">IF(AW396&gt;AZ396,"Not Met","Met")</f>
        <v>Met</v>
      </c>
      <c r="BB396" s="21" t="str">
        <f aca="false">IF(AS396="","",TEXT(AS396,"MMM")&amp;"'"&amp;TEXT(AS396,"yy"))</f>
        <v>Jun'26</v>
      </c>
      <c r="BC396" s="0" t="str">
        <f aca="false">IF(AU396="","",TEXT(AU396,"MMM")&amp;"'"&amp;TEXT(AU396,"yy"))</f>
        <v>Jun'26</v>
      </c>
    </row>
    <row r="397" customFormat="false" ht="15" hidden="false" customHeight="false" outlineLevel="0" collapsed="false">
      <c r="A397" s="1" t="s">
        <v>1315</v>
      </c>
      <c r="B397" s="11" t="n">
        <v>46195</v>
      </c>
      <c r="C397" s="12" t="n">
        <v>0.798611111111111</v>
      </c>
      <c r="D397" s="13" t="str">
        <f aca="false">IF(B397="","",TEXT(B397,"MMM")&amp;"'"&amp;TEXT(B397,"yy"))</f>
        <v>Jun'26</v>
      </c>
      <c r="E397" s="27" t="s">
        <v>55</v>
      </c>
      <c r="F397" s="1" t="s">
        <v>140</v>
      </c>
      <c r="G397" s="1" t="str">
        <f aca="false">IF(F397="Closed","Closed","Pending")</f>
        <v>Pending</v>
      </c>
      <c r="H397" s="27" t="s">
        <v>185</v>
      </c>
      <c r="I397" s="1" t="s">
        <v>1316</v>
      </c>
      <c r="J397" s="35" t="s">
        <v>74</v>
      </c>
      <c r="K397" s="1" t="s">
        <v>59</v>
      </c>
      <c r="L397" s="1" t="s">
        <v>1317</v>
      </c>
      <c r="M397" s="1" t="s">
        <v>1318</v>
      </c>
      <c r="N397" s="1" t="s">
        <v>65</v>
      </c>
      <c r="O397" s="1" t="s">
        <v>106</v>
      </c>
      <c r="Q397" s="1" t="s">
        <v>65</v>
      </c>
      <c r="R397" s="1" t="s">
        <v>87</v>
      </c>
      <c r="U397" s="25" t="n">
        <v>46196.9180555556</v>
      </c>
      <c r="Z397" s="1" t="s">
        <v>108</v>
      </c>
      <c r="AB397" s="2" t="n">
        <v>0.494444444444444</v>
      </c>
      <c r="AC397" s="14" t="n">
        <f aca="false">(V397+W397)-(B397+C397)</f>
        <v>-46195.7986111111</v>
      </c>
      <c r="AD397" s="4" t="str">
        <f aca="false">INT((V397+W397)-(B397+C397)) &amp; ":" &amp;
TEXT(HOUR((V397+W397)-(B397+C397)), "00") &amp; ":" &amp;
TEXT(MINUTE((V397+W397)-(B397+C397)), "00")</f>
        <v>-46196:04:50</v>
      </c>
      <c r="AE397" s="1" t="n">
        <f aca="false">IFERROR(
LEFT(AD397,FIND(":",AD397)-1)
+ MID(AD397,FIND(":",AD397)+1,2)/24
+ RIGHT(AD397,2)/1440,
"")</f>
        <v>-46195.7986111111</v>
      </c>
      <c r="AF397" s="4" t="str">
        <f aca="false">INT((X397+Y397)-(B397+C397)) &amp; ":" &amp;
TEXT(HOUR((X397+Y397)-(B397+C397)), "00") &amp; ":" &amp;
TEXT(MINUTE((X397+Y397)-(B397+C397)), "00")</f>
        <v>-46196:04:50</v>
      </c>
      <c r="AG397" s="4" t="str">
        <f aca="false" t="array" ref="AG397:AG397">INT(_xlfn.XLOOKUP(J397,{"Low","Medium","High","Urgent"},{48,24,12,8})/24) &amp; ":" &amp;
TEXT(MOD(_xlfn.XLOOKUP(J397,{"Low","Medium","High","Urgent"},{48,24,12,8}),24)/24,"hh:mm")</f>
        <v>2:00:00</v>
      </c>
      <c r="AH397" s="4" t="str">
        <f aca="false">IF(AD397&gt;AG397,"Not Met","Met")</f>
        <v>Met</v>
      </c>
      <c r="AI397" s="4" t="str">
        <f aca="false">IF(AB397&lt;TIME(0,30,0),"Met","Not Met")</f>
        <v>Not Met</v>
      </c>
      <c r="AN397" s="1" t="str">
        <f aca="false">TEXT(B397,"dd")</f>
        <v>22</v>
      </c>
      <c r="AO397" s="1" t="str">
        <f aca="false">TEXT(X397,"dd")</f>
        <v>30</v>
      </c>
      <c r="AP397" s="16" t="str">
        <f aca="false">INT(
  NETWORKDAYS(B397,V397)-1
  + IF(WEEKDAY(V397,2)&lt;6,MOD(V397+W397,1),0)
  - IF(WEEKDAY(B397,2)&lt;6,MOD(B397+C397,1),0)
)
&amp; ":" &amp;
TEXT(HOUR(
  NETWORKDAYS(B397,V397)-1
  + IF(WEEKDAY(V397,2)&lt;6,MOD(V397+W397,1),0)
  - IF(WEEKDAY(B397,2)&lt;6,MOD(B397+C397,1),0)
),"00")
&amp; ":" &amp;
TEXT(MINUTE(
  NETWORKDAYS(B397,V397)-1
  + IF(WEEKDAY(V397,2)&lt;6,MOD(V397+W397,1),0)
  - IF(WEEKDAY(B397,2)&lt;6,MOD(B397+C397,1),0)
),"00")</f>
        <v>-32998:04:50</v>
      </c>
      <c r="AQ397" s="0" t="n">
        <f aca="false">IFERROR(
LEFT(AP397,FIND(":",AP397)-1)
+ MID(AP397,FIND(":",AP397)+1,2)/24
+ RIGHT(AP397,2)/1440,
"")</f>
        <v>-32997.7986111111</v>
      </c>
      <c r="AR397" s="0" t="n">
        <f aca="false">WEEKNUM(B397,1)</f>
        <v>26</v>
      </c>
      <c r="AS397" s="17" t="n">
        <f aca="false">IF(B397&gt;0, (B397+C397)-TIME(13,30,0), "")</f>
        <v>46195.2361111111</v>
      </c>
      <c r="AT397" s="18" t="n">
        <f aca="false">IF(B397&gt;0, (B397+C397)-TIME(13,30,0), "")</f>
        <v>46195.2361111111</v>
      </c>
      <c r="AU397" s="17" t="str">
        <f aca="false">IF(V397&gt;0, (V397+W397)-TIME(13,30,0), "")</f>
        <v/>
      </c>
      <c r="AV397" s="18" t="str">
        <f aca="false">IF(V397&gt;0, (V397+W397)-TIME(13,30,0), "")</f>
        <v/>
      </c>
      <c r="AW397" s="19" t="e">
        <f aca="false">24*(
MAX(0,
IF(NETWORKDAYS(AS397,AU397)=1,
MIN(MOD(AV397,1),TIME(17,30,0)) - MAX(MOD(AT397,1),TIME(8,30,0)),
(TIME(17,30,0)-MAX(MOD(AT397,1),TIME(8,30,0)))
+ (MIN(MOD(AV397,1),TIME(17,30,0))-TIME(8,30,0))
+ (NETWORKDAYS(AS397,AU397)-2)*9/24
)
)
)</f>
        <v>#VALUE!</v>
      </c>
      <c r="AX397" s="19" t="e">
        <f aca="false">24*(
MAX(0,
IF(NETWORKDAYS(AS397,AU397)=1,
MIN(MOD(AV397,1),TIME(17,30,0)) - MAX(MOD(AT397,1),TIME(8,30,0)),
(TIME(17,30,0)-MAX(MOD(AT397,1),TIME(8,30,0)))
+ (MIN(MOD(AV397,1),TIME(17,30,0))-TIME(8,30,0))
+ (NETWORKDAYS(AS397,AU397)-2)* (TIME(17,30,0)-TIME(8,30,0))
)
)
)</f>
        <v>#VALUE!</v>
      </c>
      <c r="AY397" s="20" t="e">
        <f aca="false">ROUND(
IF(AS397=AU397,
MAX(0,
(MIN(MOD(AV397,1),TIME(17,30,0))-
MAX(MOD(AT397,1),TIME(8,30,0)))*24
),
(
(MAX(0,TIME(17,30,0)-MAX(MOD(AT397,1),TIME(8,30,0)))*24)
+
(MAX(0,MIN(MOD(AV397,1),TIME(17,30,0))-TIME(8,30,0))*24)
+
(MAX(0,NETWORKDAYS(AS397+1,AU397-1))*9)
)
),
2)</f>
        <v>#VALUE!</v>
      </c>
      <c r="AZ397" s="0" t="n">
        <f aca="false" t="array" ref="AZ397:AZ397">_xlfn.XLOOKUP(J397,{"Low","Medium","High"},{270,72,24})</f>
        <v>270</v>
      </c>
      <c r="BA397" s="0" t="e">
        <f aca="false">IF(AW397&gt;AZ397,"Not Met","Met")</f>
        <v>#VALUE!</v>
      </c>
      <c r="BB397" s="21" t="str">
        <f aca="false">IF(AS397="","",TEXT(AS397,"MMM")&amp;"'"&amp;TEXT(AS397,"yy"))</f>
        <v>Jun'26</v>
      </c>
      <c r="BC397" s="0" t="str">
        <f aca="false">IF(AU397="","",TEXT(AU397,"MMM")&amp;"'"&amp;TEXT(AU397,"yy"))</f>
        <v/>
      </c>
    </row>
    <row r="398" customFormat="false" ht="15" hidden="false" customHeight="false" outlineLevel="0" collapsed="false">
      <c r="A398" s="1" t="s">
        <v>1319</v>
      </c>
      <c r="B398" s="11" t="n">
        <v>46196</v>
      </c>
      <c r="C398" s="12" t="n">
        <v>0.234027777777778</v>
      </c>
      <c r="D398" s="13" t="str">
        <f aca="false">IF(B398="","",TEXT(B398,"MMM")&amp;"'"&amp;TEXT(B398,"yy"))</f>
        <v>Jun'26</v>
      </c>
      <c r="E398" s="27" t="s">
        <v>55</v>
      </c>
      <c r="F398" s="1" t="s">
        <v>39</v>
      </c>
      <c r="G398" s="1" t="str">
        <f aca="false">IF(F398="Closed","Closed","Pending")</f>
        <v>Closed</v>
      </c>
      <c r="H398" s="27" t="s">
        <v>56</v>
      </c>
      <c r="I398" s="1" t="s">
        <v>455</v>
      </c>
      <c r="J398" s="35" t="s">
        <v>58</v>
      </c>
      <c r="K398" s="1" t="s">
        <v>59</v>
      </c>
      <c r="L398" s="1" t="s">
        <v>1320</v>
      </c>
      <c r="M398" s="1" t="s">
        <v>1321</v>
      </c>
      <c r="N398" s="1" t="s">
        <v>65</v>
      </c>
      <c r="O398" s="1" t="s">
        <v>77</v>
      </c>
      <c r="Q398" s="1" t="s">
        <v>65</v>
      </c>
      <c r="R398" s="1" t="s">
        <v>87</v>
      </c>
      <c r="U398" s="12" t="n">
        <v>0.91875</v>
      </c>
      <c r="V398" s="11" t="n">
        <v>46196</v>
      </c>
      <c r="W398" s="12" t="n">
        <v>0.91875</v>
      </c>
      <c r="X398" s="11" t="n">
        <v>46196</v>
      </c>
      <c r="Y398" s="12" t="n">
        <v>0.920138888888889</v>
      </c>
      <c r="Z398" s="1" t="s">
        <v>67</v>
      </c>
      <c r="AA398" s="1" t="s">
        <v>68</v>
      </c>
      <c r="AB398" s="2" t="e">
        <f aca="false">U398-#REF!</f>
        <v>#REF!</v>
      </c>
      <c r="AC398" s="14" t="n">
        <f aca="false">(V398+W398)-(B398+C398)</f>
        <v>0.684722222222222</v>
      </c>
      <c r="AD398" s="4" t="str">
        <f aca="false">INT((V398+W398)-(B398+C398)) &amp; ":" &amp;
TEXT(HOUR((V398+W398)-(B398+C398)), "00") &amp; ":" &amp;
TEXT(MINUTE((V398+W398)-(B398+C398)), "00")</f>
        <v>0:16:26</v>
      </c>
      <c r="AE398" s="1" t="n">
        <f aca="false">IFERROR(
LEFT(AD398,FIND(":",AD398)-1)
+ MID(AD398,FIND(":",AD398)+1,2)/24
+ RIGHT(AD398,2)/1440,
"")</f>
        <v>0.684722222222222</v>
      </c>
      <c r="AF398" s="4" t="str">
        <f aca="false">INT((X398+Y398)-(B398+C398)) &amp; ":" &amp;
TEXT(HOUR((X398+Y398)-(B398+C398)), "00") &amp; ":" &amp;
TEXT(MINUTE((X398+Y398)-(B398+C398)), "00")</f>
        <v>0:16:28</v>
      </c>
      <c r="AG398" s="4" t="str">
        <f aca="false" t="array" ref="AG398:AG398">INT(_xlfn.XLOOKUP(J398,{"Low","Medium","High","Urgent"},{48,24,12,8})/24) &amp; ":" &amp;
TEXT(MOD(_xlfn.XLOOKUP(J398,{"Low","Medium","High","Urgent"},{48,24,12,8}),24)/24,"hh:mm")</f>
        <v>1:00:00</v>
      </c>
      <c r="AH398" s="4" t="str">
        <f aca="false">IF(AD398&gt;AG398,"Not Met","Met")</f>
        <v>Met</v>
      </c>
      <c r="AI398" s="4" t="e">
        <f aca="false">IF(AB398&lt;TIME(0,30,0),"Met","Not Met")</f>
        <v>#REF!</v>
      </c>
      <c r="AN398" s="1" t="str">
        <f aca="false">TEXT(B398,"dd")</f>
        <v>23</v>
      </c>
      <c r="AO398" s="1" t="str">
        <f aca="false">TEXT(X398,"dd")</f>
        <v>23</v>
      </c>
      <c r="AP398" s="16" t="str">
        <f aca="false">INT(
  NETWORKDAYS(B398,V398)-1
  + IF(WEEKDAY(V398,2)&lt;6,MOD(V398+W398,1),0)
  - IF(WEEKDAY(B398,2)&lt;6,MOD(B398+C398,1),0)
)
&amp; ":" &amp;
TEXT(HOUR(
  NETWORKDAYS(B398,V398)-1
  + IF(WEEKDAY(V398,2)&lt;6,MOD(V398+W398,1),0)
  - IF(WEEKDAY(B398,2)&lt;6,MOD(B398+C398,1),0)
),"00")
&amp; ":" &amp;
TEXT(MINUTE(
  NETWORKDAYS(B398,V398)-1
  + IF(WEEKDAY(V398,2)&lt;6,MOD(V398+W398,1),0)
  - IF(WEEKDAY(B398,2)&lt;6,MOD(B398+C398,1),0)
),"00")</f>
        <v>0:16:25</v>
      </c>
      <c r="AQ398" s="0" t="n">
        <f aca="false">IFERROR(
LEFT(AP398,FIND(":",AP398)-1)
+ MID(AP398,FIND(":",AP398)+1,2)/24
+ RIGHT(AP398,2)/1440,
"")</f>
        <v>0.684027777777778</v>
      </c>
      <c r="AR398" s="0" t="n">
        <f aca="false">WEEKNUM(B398,1)</f>
        <v>26</v>
      </c>
      <c r="AS398" s="17" t="n">
        <f aca="false">IF(B398&gt;0, (B398+C398)-TIME(13,30,0), "")</f>
        <v>46195.6715277778</v>
      </c>
      <c r="AT398" s="18" t="n">
        <f aca="false">IF(B398&gt;0, (B398+C398)-TIME(13,30,0), "")</f>
        <v>46195.6715277778</v>
      </c>
      <c r="AU398" s="17" t="n">
        <f aca="false">IF(V398&gt;0, (V398+W398)-TIME(13,30,0), "")</f>
        <v>46196.35625</v>
      </c>
      <c r="AV398" s="18" t="n">
        <f aca="false">IF(V398&gt;0, (V398+W398)-TIME(13,30,0), "")</f>
        <v>46196.35625</v>
      </c>
      <c r="AW398" s="19" t="n">
        <f aca="false">24*(
MAX(0,
IF(NETWORKDAYS(AS398,AU398)=1,
MIN(MOD(AV398,1),TIME(17,30,0)) - MAX(MOD(AT398,1),TIME(8,30,0)),
(TIME(17,30,0)-MAX(MOD(AT398,1),TIME(8,30,0)))
+ (MIN(MOD(AV398,1),TIME(17,30,0))-TIME(8,30,0))
+ (NETWORKDAYS(AS398,AU398)-2)*9/24
)
)
)</f>
        <v>1.43333333333333</v>
      </c>
      <c r="AX398" s="19" t="n">
        <f aca="false">24*(
MAX(0,
IF(NETWORKDAYS(AS398,AU398)=1,
MIN(MOD(AV398,1),TIME(17,30,0)) - MAX(MOD(AT398,1),TIME(8,30,0)),
(TIME(17,30,0)-MAX(MOD(AT398,1),TIME(8,30,0)))
+ (MIN(MOD(AV398,1),TIME(17,30,0))-TIME(8,30,0))
+ (NETWORKDAYS(AS398,AU398)-2)* (TIME(17,30,0)-TIME(8,30,0))
)
)
)</f>
        <v>1.43333333333333</v>
      </c>
      <c r="AY398" s="20" t="n">
        <f aca="false">ROUND(
IF(AS398=AU398,
MAX(0,
(MIN(MOD(AV398,1),TIME(17,30,0))-
MAX(MOD(AT398,1),TIME(8,30,0)))*24
),
(
(MAX(0,TIME(17,30,0)-MAX(MOD(AT398,1),TIME(8,30,0)))*24)
+
(MAX(0,MIN(MOD(AV398,1),TIME(17,30,0))-TIME(8,30,0))*24)
+
(MAX(0,NETWORKDAYS(AS398+1,AU398-1))*9)
)
),
2)</f>
        <v>1.43</v>
      </c>
      <c r="AZ398" s="0" t="n">
        <f aca="false" t="array" ref="AZ398:AZ398">_xlfn.XLOOKUP(J398,{"Low","Medium","High"},{270,72,24})</f>
        <v>72</v>
      </c>
      <c r="BA398" s="0" t="str">
        <f aca="false">IF(AW398&gt;AZ398,"Not Met","Met")</f>
        <v>Met</v>
      </c>
      <c r="BB398" s="21" t="str">
        <f aca="false">IF(AS398="","",TEXT(AS398,"MMM")&amp;"'"&amp;TEXT(AS398,"yy"))</f>
        <v>Jun'26</v>
      </c>
      <c r="BC398" s="0" t="str">
        <f aca="false">IF(AU398="","",TEXT(AU398,"MMM")&amp;"'"&amp;TEXT(AU398,"yy"))</f>
        <v>Jun'26</v>
      </c>
    </row>
    <row r="399" customFormat="false" ht="15" hidden="false" customHeight="false" outlineLevel="0" collapsed="false">
      <c r="A399" s="1" t="s">
        <v>1322</v>
      </c>
      <c r="B399" s="11" t="n">
        <v>46196</v>
      </c>
      <c r="C399" s="12" t="n">
        <v>0.79375</v>
      </c>
      <c r="D399" s="13" t="str">
        <f aca="false">IF(B399="","",TEXT(B399,"MMM")&amp;"'"&amp;TEXT(B399,"yy"))</f>
        <v>Jun'26</v>
      </c>
      <c r="E399" s="27" t="s">
        <v>55</v>
      </c>
      <c r="F399" s="1" t="s">
        <v>39</v>
      </c>
      <c r="G399" s="1" t="str">
        <f aca="false">IF(F399="Closed","Closed","Pending")</f>
        <v>Closed</v>
      </c>
      <c r="H399" s="27" t="s">
        <v>1227</v>
      </c>
      <c r="I399" s="1" t="s">
        <v>1323</v>
      </c>
      <c r="J399" s="35" t="s">
        <v>74</v>
      </c>
      <c r="K399" s="1" t="s">
        <v>59</v>
      </c>
      <c r="L399" s="1" t="s">
        <v>1324</v>
      </c>
      <c r="M399" s="1" t="s">
        <v>1325</v>
      </c>
      <c r="N399" s="1" t="s">
        <v>65</v>
      </c>
      <c r="O399" s="1" t="s">
        <v>106</v>
      </c>
      <c r="Q399" s="1" t="s">
        <v>65</v>
      </c>
      <c r="R399" s="1" t="s">
        <v>87</v>
      </c>
      <c r="U399" s="12" t="n">
        <v>0.920138888888889</v>
      </c>
      <c r="V399" s="11" t="n">
        <v>46209</v>
      </c>
      <c r="W399" s="12" t="n">
        <v>0.909722222222222</v>
      </c>
      <c r="X399" s="11" t="n">
        <v>46218</v>
      </c>
      <c r="Y399" s="12" t="n">
        <v>0.983333333333333</v>
      </c>
      <c r="Z399" s="1" t="s">
        <v>108</v>
      </c>
      <c r="AA399" s="1" t="s">
        <v>68</v>
      </c>
      <c r="AB399" s="2" t="e">
        <f aca="false">U399-#REF!</f>
        <v>#REF!</v>
      </c>
      <c r="AC399" s="14" t="n">
        <f aca="false">(V399+W399)-(B399+C399)</f>
        <v>13.1159722222222</v>
      </c>
      <c r="AD399" s="4" t="str">
        <f aca="false">INT((V399+W399)-(B399+C399)) &amp; ":" &amp;
TEXT(HOUR((V399+W399)-(B399+C399)), "00") &amp; ":" &amp;
TEXT(MINUTE((V399+W399)-(B399+C399)), "00")</f>
        <v>13:02:47</v>
      </c>
      <c r="AE399" s="1" t="n">
        <f aca="false">IFERROR(
LEFT(AD399,FIND(":",AD399)-1)
+ MID(AD399,FIND(":",AD399)+1,2)/24
+ RIGHT(AD399,2)/1440,
"")</f>
        <v>13.1159722222222</v>
      </c>
      <c r="AF399" s="4" t="str">
        <f aca="false">INT((X399+Y399)-(B399+C399)) &amp; ":" &amp;
TEXT(HOUR((X399+Y399)-(B399+C399)), "00") &amp; ":" &amp;
TEXT(MINUTE((X399+Y399)-(B399+C399)), "00")</f>
        <v>22:04:33</v>
      </c>
      <c r="AG399" s="4" t="str">
        <f aca="false" t="array" ref="AG399:AG399">INT(_xlfn.XLOOKUP(J399,{"Low","Medium","High","Urgent"},{48,24,12,8})/24) &amp; ":" &amp;
TEXT(MOD(_xlfn.XLOOKUP(J399,{"Low","Medium","High","Urgent"},{48,24,12,8}),24)/24,"hh:mm")</f>
        <v>2:00:00</v>
      </c>
      <c r="AH399" s="4" t="str">
        <f aca="false">IF(AD399&gt;AG399,"Not Met","Met")</f>
        <v>Met</v>
      </c>
      <c r="AI399" s="4" t="e">
        <f aca="false">IF(AB399&lt;TIME(0,30,0),"Met","Not Met")</f>
        <v>#REF!</v>
      </c>
      <c r="AN399" s="1" t="str">
        <f aca="false">TEXT(B399,"dd")</f>
        <v>23</v>
      </c>
      <c r="AO399" s="1" t="str">
        <f aca="false">TEXT(X399,"dd")</f>
        <v>15</v>
      </c>
      <c r="AP399" s="16" t="str">
        <f aca="false">INT(
  NETWORKDAYS(B399,V399)-1
  + IF(WEEKDAY(V399,2)&lt;6,MOD(V399+W399,1),0)
  - IF(WEEKDAY(B399,2)&lt;6,MOD(B399+C399,1),0)
)
&amp; ":" &amp;
TEXT(HOUR(
  NETWORKDAYS(B399,V399)-1
  + IF(WEEKDAY(V399,2)&lt;6,MOD(V399+W399,1),0)
  - IF(WEEKDAY(B399,2)&lt;6,MOD(B399+C399,1),0)
),"00")
&amp; ":" &amp;
TEXT(MINUTE(
  NETWORKDAYS(B399,V399)-1
  + IF(WEEKDAY(V399,2)&lt;6,MOD(V399+W399,1),0)
  - IF(WEEKDAY(B399,2)&lt;6,MOD(B399+C399,1),0)
),"00")</f>
        <v>9:02:46</v>
      </c>
      <c r="AQ399" s="0" t="n">
        <f aca="false">IFERROR(
LEFT(AP399,FIND(":",AP399)-1)
+ MID(AP399,FIND(":",AP399)+1,2)/24
+ RIGHT(AP399,2)/1440,
"")</f>
        <v>9.11527777777778</v>
      </c>
      <c r="AR399" s="0" t="n">
        <f aca="false">WEEKNUM(B399,1)</f>
        <v>26</v>
      </c>
      <c r="AS399" s="17" t="n">
        <f aca="false">IF(B399&gt;0, (B399+C399)-TIME(13,30,0), "")</f>
        <v>46196.23125</v>
      </c>
      <c r="AT399" s="18" t="n">
        <f aca="false">IF(B399&gt;0, (B399+C399)-TIME(13,30,0), "")</f>
        <v>46196.23125</v>
      </c>
      <c r="AU399" s="17" t="n">
        <f aca="false">IF(V399&gt;0, (V399+W399)-TIME(13,30,0), "")</f>
        <v>46209.3472222222</v>
      </c>
      <c r="AV399" s="18" t="n">
        <f aca="false">IF(V399&gt;0, (V399+W399)-TIME(13,30,0), "")</f>
        <v>46209.3472222222</v>
      </c>
      <c r="AW399" s="19" t="n">
        <f aca="false">24*(
MAX(0,
IF(NETWORKDAYS(AS399,AU399)=1,
MIN(MOD(AV399,1),TIME(17,30,0)) - MAX(MOD(AT399,1),TIME(8,30,0)),
(TIME(17,30,0)-MAX(MOD(AT399,1),TIME(8,30,0)))
+ (MIN(MOD(AV399,1),TIME(17,30,0))-TIME(8,30,0))
+ (NETWORKDAYS(AS399,AU399)-2)*9/24
)
)
)</f>
        <v>80.8333333333333</v>
      </c>
      <c r="AX399" s="19" t="n">
        <f aca="false">24*(
MAX(0,
IF(NETWORKDAYS(AS399,AU399)=1,
MIN(MOD(AV399,1),TIME(17,30,0)) - MAX(MOD(AT399,1),TIME(8,30,0)),
(TIME(17,30,0)-MAX(MOD(AT399,1),TIME(8,30,0)))
+ (MIN(MOD(AV399,1),TIME(17,30,0))-TIME(8,30,0))
+ (NETWORKDAYS(AS399,AU399)-2)* (TIME(17,30,0)-TIME(8,30,0))
)
)
)</f>
        <v>80.8333333333333</v>
      </c>
      <c r="AY399" s="20" t="n">
        <f aca="false">ROUND(
IF(AS399=AU399,
MAX(0,
(MIN(MOD(AV399,1),TIME(17,30,0))-
MAX(MOD(AT399,1),TIME(8,30,0)))*24
),
(
(MAX(0,TIME(17,30,0)-MAX(MOD(AT399,1),TIME(8,30,0)))*24)
+
(MAX(0,MIN(MOD(AV399,1),TIME(17,30,0))-TIME(8,30,0))*24)
+
(MAX(0,NETWORKDAYS(AS399+1,AU399-1))*9)
)
),
2)</f>
        <v>81</v>
      </c>
      <c r="AZ399" s="0" t="n">
        <f aca="false" t="array" ref="AZ399:AZ399">_xlfn.XLOOKUP(J399,{"Low","Medium","High"},{270,72,24})</f>
        <v>270</v>
      </c>
      <c r="BA399" s="0" t="str">
        <f aca="false">IF(AW399&gt;AZ399,"Not Met","Met")</f>
        <v>Met</v>
      </c>
      <c r="BB399" s="21" t="str">
        <f aca="false">IF(AS399="","",TEXT(AS399,"MMM")&amp;"'"&amp;TEXT(AS399,"yy"))</f>
        <v>Jun'26</v>
      </c>
      <c r="BC399" s="0" t="str">
        <f aca="false">IF(AU399="","",TEXT(AU399,"MMM")&amp;"'"&amp;TEXT(AU399,"yy"))</f>
        <v>Jul'26</v>
      </c>
    </row>
    <row r="400" customFormat="false" ht="15" hidden="false" customHeight="false" outlineLevel="0" collapsed="false">
      <c r="A400" s="1" t="s">
        <v>1326</v>
      </c>
      <c r="B400" s="11" t="n">
        <v>46196</v>
      </c>
      <c r="C400" s="12" t="n">
        <v>0.86875</v>
      </c>
      <c r="D400" s="13" t="str">
        <f aca="false">IF(B400="","",TEXT(B400,"MMM")&amp;"'"&amp;TEXT(B400,"yy"))</f>
        <v>Jun'26</v>
      </c>
      <c r="E400" s="27" t="s">
        <v>55</v>
      </c>
      <c r="F400" s="34" t="s">
        <v>140</v>
      </c>
      <c r="G400" s="1" t="str">
        <f aca="false">IF(F400="Closed","Closed","Pending")</f>
        <v>Pending</v>
      </c>
      <c r="H400" s="27" t="s">
        <v>72</v>
      </c>
      <c r="I400" s="1" t="s">
        <v>135</v>
      </c>
      <c r="J400" s="35" t="s">
        <v>58</v>
      </c>
      <c r="K400" s="1" t="s">
        <v>59</v>
      </c>
      <c r="L400" s="1" t="s">
        <v>1327</v>
      </c>
      <c r="M400" s="1" t="s">
        <v>1328</v>
      </c>
      <c r="N400" s="1" t="s">
        <v>62</v>
      </c>
      <c r="O400" s="1" t="s">
        <v>63</v>
      </c>
      <c r="Q400" s="1" t="s">
        <v>63</v>
      </c>
      <c r="R400" s="1" t="s">
        <v>87</v>
      </c>
      <c r="U400" s="12" t="n">
        <v>0.923611111111111</v>
      </c>
      <c r="Z400" s="1" t="s">
        <v>108</v>
      </c>
      <c r="AB400" s="2" t="e">
        <f aca="false">U400-#REF!</f>
        <v>#REF!</v>
      </c>
      <c r="AC400" s="14" t="n">
        <f aca="false">(V400+W400)-(B400+C400)</f>
        <v>-46196.86875</v>
      </c>
      <c r="AD400" s="4" t="str">
        <f aca="false">INT((V400+W400)-(B400+C400)) &amp; ":" &amp;
TEXT(HOUR((V400+W400)-(B400+C400)), "00") &amp; ":" &amp;
TEXT(MINUTE((V400+W400)-(B400+C400)), "00")</f>
        <v>-46197:03:09</v>
      </c>
      <c r="AE400" s="1" t="n">
        <f aca="false">IFERROR(
LEFT(AD400,FIND(":",AD400)-1)
+ MID(AD400,FIND(":",AD400)+1,2)/24
+ RIGHT(AD400,2)/1440,
"")</f>
        <v>-46196.86875</v>
      </c>
      <c r="AF400" s="4" t="str">
        <f aca="false">INT((X400+Y400)-(B400+C400)) &amp; ":" &amp;
TEXT(HOUR((X400+Y400)-(B400+C400)), "00") &amp; ":" &amp;
TEXT(MINUTE((X400+Y400)-(B400+C400)), "00")</f>
        <v>-46197:03:09</v>
      </c>
      <c r="AG400" s="4" t="str">
        <f aca="false" t="array" ref="AG400:AG400">INT(_xlfn.XLOOKUP(J400,{"Low","Medium","High","Urgent"},{48,24,12,8})/24) &amp; ":" &amp;
TEXT(MOD(_xlfn.XLOOKUP(J400,{"Low","Medium","High","Urgent"},{48,24,12,8}),24)/24,"hh:mm")</f>
        <v>1:00:00</v>
      </c>
      <c r="AH400" s="4" t="str">
        <f aca="false">IF(AD400&gt;AG400,"Not Met","Met")</f>
        <v>Met</v>
      </c>
      <c r="AI400" s="4" t="e">
        <f aca="false">IF(AB400&lt;TIME(0,30,0),"Met","Not Met")</f>
        <v>#REF!</v>
      </c>
      <c r="AN400" s="1" t="str">
        <f aca="false">TEXT(B400,"dd")</f>
        <v>23</v>
      </c>
      <c r="AO400" s="1" t="str">
        <f aca="false">TEXT(X400,"dd")</f>
        <v>30</v>
      </c>
      <c r="AP400" s="16" t="str">
        <f aca="false">INT(
  NETWORKDAYS(B400,V400)-1
  + IF(WEEKDAY(V400,2)&lt;6,MOD(V400+W400,1),0)
  - IF(WEEKDAY(B400,2)&lt;6,MOD(B400+C400,1),0)
)
&amp; ":" &amp;
TEXT(HOUR(
  NETWORKDAYS(B400,V400)-1
  + IF(WEEKDAY(V400,2)&lt;6,MOD(V400+W400,1),0)
  - IF(WEEKDAY(B400,2)&lt;6,MOD(B400+C400,1),0)
),"00")
&amp; ":" &amp;
TEXT(MINUTE(
  NETWORKDAYS(B400,V400)-1
  + IF(WEEKDAY(V400,2)&lt;6,MOD(V400+W400,1),0)
  - IF(WEEKDAY(B400,2)&lt;6,MOD(B400+C400,1),0)
),"00")</f>
        <v>-32999:03:09</v>
      </c>
      <c r="AQ400" s="0" t="n">
        <f aca="false">IFERROR(
LEFT(AP400,FIND(":",AP400)-1)
+ MID(AP400,FIND(":",AP400)+1,2)/24
+ RIGHT(AP400,2)/1440,
"")</f>
        <v>-32998.86875</v>
      </c>
      <c r="AR400" s="0" t="n">
        <f aca="false">WEEKNUM(B400,1)</f>
        <v>26</v>
      </c>
      <c r="AS400" s="17" t="n">
        <f aca="false">IF(B400&gt;0, (B400+C400)-TIME(13,30,0), "")</f>
        <v>46196.30625</v>
      </c>
      <c r="AT400" s="18" t="n">
        <f aca="false">IF(B400&gt;0, (B400+C400)-TIME(13,30,0), "")</f>
        <v>46196.30625</v>
      </c>
      <c r="AU400" s="17" t="str">
        <f aca="false">IF(V400&gt;0, (V400+W400)-TIME(13,30,0), "")</f>
        <v/>
      </c>
      <c r="AV400" s="18" t="str">
        <f aca="false">IF(V400&gt;0, (V400+W400)-TIME(13,30,0), "")</f>
        <v/>
      </c>
    </row>
    <row r="401" customFormat="false" ht="15" hidden="false" customHeight="false" outlineLevel="0" collapsed="false">
      <c r="A401" s="1" t="s">
        <v>1329</v>
      </c>
      <c r="B401" s="11" t="n">
        <v>46196</v>
      </c>
      <c r="C401" s="12" t="n">
        <v>0.870138888888889</v>
      </c>
      <c r="D401" s="13" t="str">
        <f aca="false">IF(B401="","",TEXT(B401,"MMM")&amp;"'"&amp;TEXT(B401,"yy"))</f>
        <v>Jun'26</v>
      </c>
      <c r="E401" s="27" t="s">
        <v>55</v>
      </c>
      <c r="F401" s="1" t="s">
        <v>39</v>
      </c>
      <c r="G401" s="1" t="str">
        <f aca="false">IF(F401="Closed","Closed","Pending")</f>
        <v>Closed</v>
      </c>
      <c r="H401" s="27" t="s">
        <v>81</v>
      </c>
      <c r="I401" s="1" t="s">
        <v>386</v>
      </c>
      <c r="J401" s="35" t="s">
        <v>74</v>
      </c>
      <c r="K401" s="1" t="s">
        <v>59</v>
      </c>
      <c r="L401" s="1" t="s">
        <v>1330</v>
      </c>
      <c r="M401" s="1" t="s">
        <v>1331</v>
      </c>
      <c r="N401" s="1" t="s">
        <v>65</v>
      </c>
      <c r="O401" s="1" t="s">
        <v>106</v>
      </c>
      <c r="Q401" s="1" t="s">
        <v>65</v>
      </c>
      <c r="R401" s="1" t="s">
        <v>87</v>
      </c>
      <c r="U401" s="12" t="n">
        <v>0.923611111111111</v>
      </c>
      <c r="V401" s="11" t="n">
        <v>46197</v>
      </c>
      <c r="W401" s="12" t="n">
        <v>0.904861111111111</v>
      </c>
      <c r="X401" s="11" t="n">
        <v>46197</v>
      </c>
      <c r="Y401" s="12" t="n">
        <v>0.935416666666667</v>
      </c>
      <c r="Z401" s="1" t="s">
        <v>67</v>
      </c>
      <c r="AA401" s="1" t="s">
        <v>68</v>
      </c>
      <c r="AB401" s="2" t="e">
        <f aca="false">U401-#REF!</f>
        <v>#REF!</v>
      </c>
      <c r="AC401" s="14" t="n">
        <f aca="false">(V401+W401)-(B401+C401)</f>
        <v>1.03472222222222</v>
      </c>
      <c r="AD401" s="4" t="str">
        <f aca="false">INT((V401+W401)-(B401+C401)) &amp; ":" &amp;
TEXT(HOUR((V401+W401)-(B401+C401)), "00") &amp; ":" &amp;
TEXT(MINUTE((V401+W401)-(B401+C401)), "00")</f>
        <v>1:00:50</v>
      </c>
      <c r="AE401" s="1" t="n">
        <f aca="false">IFERROR(
LEFT(AD401,FIND(":",AD401)-1)
+ MID(AD401,FIND(":",AD401)+1,2)/24
+ RIGHT(AD401,2)/1440,
"")</f>
        <v>1.03472222222222</v>
      </c>
      <c r="AF401" s="4" t="str">
        <f aca="false">INT((X401+Y401)-(B401+C401)) &amp; ":" &amp;
TEXT(HOUR((X401+Y401)-(B401+C401)), "00") &amp; ":" &amp;
TEXT(MINUTE((X401+Y401)-(B401+C401)), "00")</f>
        <v>1:01:34</v>
      </c>
      <c r="AG401" s="4" t="str">
        <f aca="false" t="array" ref="AG401:AG401">INT(_xlfn.XLOOKUP(J401,{"Low","Medium","High","Urgent"},{48,24,12,8})/24) &amp; ":" &amp;
TEXT(MOD(_xlfn.XLOOKUP(J401,{"Low","Medium","High","Urgent"},{48,24,12,8}),24)/24,"hh:mm")</f>
        <v>2:00:00</v>
      </c>
      <c r="AH401" s="4" t="str">
        <f aca="false">IF(AD401&gt;AG401,"Not Met","Met")</f>
        <v>Met</v>
      </c>
      <c r="AI401" s="4" t="e">
        <f aca="false">IF(AB401&lt;TIME(0,30,0),"Met","Not Met")</f>
        <v>#REF!</v>
      </c>
    </row>
    <row r="402" customFormat="false" ht="15" hidden="false" customHeight="false" outlineLevel="0" collapsed="false">
      <c r="A402" s="1" t="s">
        <v>1332</v>
      </c>
      <c r="B402" s="11" t="n">
        <v>46197</v>
      </c>
      <c r="C402" s="12" t="n">
        <v>0.120138888888889</v>
      </c>
      <c r="D402" s="13" t="str">
        <f aca="false">IF(B402="","",TEXT(B402,"MMM")&amp;"'"&amp;TEXT(B402,"yy"))</f>
        <v>Jun'26</v>
      </c>
      <c r="E402" s="27" t="s">
        <v>55</v>
      </c>
      <c r="F402" s="1" t="s">
        <v>39</v>
      </c>
      <c r="G402" s="1" t="str">
        <f aca="false">IF(F402="Closed","Closed","Pending")</f>
        <v>Closed</v>
      </c>
      <c r="H402" s="27" t="s">
        <v>120</v>
      </c>
      <c r="I402" s="1" t="s">
        <v>701</v>
      </c>
      <c r="J402" s="35" t="s">
        <v>74</v>
      </c>
      <c r="K402" s="1" t="s">
        <v>59</v>
      </c>
      <c r="L402" s="1" t="s">
        <v>1333</v>
      </c>
      <c r="M402" s="1" t="s">
        <v>1238</v>
      </c>
      <c r="N402" s="1" t="s">
        <v>65</v>
      </c>
      <c r="O402" s="1" t="s">
        <v>106</v>
      </c>
      <c r="Q402" s="1" t="s">
        <v>65</v>
      </c>
      <c r="R402" s="1" t="s">
        <v>87</v>
      </c>
      <c r="U402" s="12" t="n">
        <v>0.908333333333333</v>
      </c>
      <c r="V402" s="11" t="n">
        <v>46204</v>
      </c>
      <c r="W402" s="12" t="n">
        <v>0.865277777777778</v>
      </c>
      <c r="X402" s="11" t="n">
        <v>46204</v>
      </c>
      <c r="Y402" s="12" t="n">
        <v>0.873611111111111</v>
      </c>
      <c r="Z402" s="1" t="s">
        <v>67</v>
      </c>
      <c r="AA402" s="1" t="s">
        <v>68</v>
      </c>
      <c r="AB402" s="2" t="e">
        <f aca="false">U402-#REF!</f>
        <v>#REF!</v>
      </c>
      <c r="AC402" s="14" t="n">
        <f aca="false">(V402+W402)-(B402+C402)</f>
        <v>7.74513888888889</v>
      </c>
      <c r="AD402" s="4" t="str">
        <f aca="false">INT((V402+W402)-(B402+C402)) &amp; ":" &amp;
TEXT(HOUR((V402+W402)-(B402+C402)), "00") &amp; ":" &amp;
TEXT(MINUTE((V402+W402)-(B402+C402)), "00")</f>
        <v>7:17:53</v>
      </c>
      <c r="AE402" s="1" t="n">
        <f aca="false">IFERROR(
LEFT(AD402,FIND(":",AD402)-1)
+ MID(AD402,FIND(":",AD402)+1,2)/24
+ RIGHT(AD402,2)/1440,
"")</f>
        <v>7.74513888888889</v>
      </c>
      <c r="AF402" s="4" t="str">
        <f aca="false">INT((X402+Y402)-(B402+C402)) &amp; ":" &amp;
TEXT(HOUR((X402+Y402)-(B402+C402)), "00") &amp; ":" &amp;
TEXT(MINUTE((X402+Y402)-(B402+C402)), "00")</f>
        <v>7:18:05</v>
      </c>
      <c r="AG402" s="4" t="str">
        <f aca="false" t="array" ref="AG402:AG402">INT(_xlfn.XLOOKUP(J402,{"Low","Medium","High","Urgent"},{48,24,12,8})/24) &amp; ":" &amp;
TEXT(MOD(_xlfn.XLOOKUP(J402,{"Low","Medium","High","Urgent"},{48,24,12,8}),24)/24,"hh:mm")</f>
        <v>2:00:00</v>
      </c>
      <c r="AH402" s="4" t="str">
        <f aca="false">IF(AD402&gt;AG402,"Not Met","Met")</f>
        <v>Not Met</v>
      </c>
      <c r="AI402" s="4" t="e">
        <f aca="false">IF(AB402&lt;TIME(0,30,0),"Met","Not Met")</f>
        <v>#REF!</v>
      </c>
      <c r="AN402" s="1" t="str">
        <f aca="false">TEXT(B402,"dd")</f>
        <v>24</v>
      </c>
      <c r="AO402" s="1" t="str">
        <f aca="false">TEXT(X402,"dd")</f>
        <v>01</v>
      </c>
      <c r="AP402" s="16" t="str">
        <f aca="false">INT(
  NETWORKDAYS(B402,V402)-1
  + IF(WEEKDAY(V402,2)&lt;6,MOD(V402+W402,1),0)
  - IF(WEEKDAY(B402,2)&lt;6,MOD(B402+C402,1),0)
)
&amp; ":" &amp;
TEXT(HOUR(
  NETWORKDAYS(B402,V402)-1
  + IF(WEEKDAY(V402,2)&lt;6,MOD(V402+W402,1),0)
  - IF(WEEKDAY(B402,2)&lt;6,MOD(B402+C402,1),0)
),"00")
&amp; ":" &amp;
TEXT(MINUTE(
  NETWORKDAYS(B402,V402)-1
  + IF(WEEKDAY(V402,2)&lt;6,MOD(V402+W402,1),0)
  - IF(WEEKDAY(B402,2)&lt;6,MOD(B402+C402,1),0)
),"00")</f>
        <v>5:17:52</v>
      </c>
      <c r="AQ402" s="0" t="n">
        <f aca="false">IFERROR(
LEFT(AP402,FIND(":",AP402)-1)
+ MID(AP402,FIND(":",AP402)+1,2)/24
+ RIGHT(AP402,2)/1440,
"")</f>
        <v>5.74444444444444</v>
      </c>
      <c r="AR402" s="0" t="n">
        <f aca="false">WEEKNUM(B402,1)</f>
        <v>26</v>
      </c>
      <c r="AS402" s="17" t="n">
        <f aca="false">IF(B402&gt;0, (B402+C402)-TIME(13,30,0), "")</f>
        <v>46196.5576388889</v>
      </c>
      <c r="AT402" s="18" t="n">
        <f aca="false">IF(B402&gt;0, (B402+C402)-TIME(13,30,0), "")</f>
        <v>46196.5576388889</v>
      </c>
      <c r="AU402" s="17" t="n">
        <f aca="false">IF(V402&gt;0, (V402+W402)-TIME(13,30,0), "")</f>
        <v>46204.3027777778</v>
      </c>
      <c r="AV402" s="18" t="n">
        <f aca="false">IF(V402&gt;0, (V402+W402)-TIME(13,30,0), "")</f>
        <v>46204.3027777778</v>
      </c>
    </row>
    <row r="403" customFormat="false" ht="15" hidden="false" customHeight="false" outlineLevel="0" collapsed="false">
      <c r="A403" s="1" t="s">
        <v>1334</v>
      </c>
      <c r="B403" s="11" t="n">
        <v>46198</v>
      </c>
      <c r="C403" s="12" t="n">
        <v>0.0902777777777778</v>
      </c>
      <c r="D403" s="13" t="str">
        <f aca="false">IF(B403="","",TEXT(B403,"MMM")&amp;"'"&amp;TEXT(B403,"yy"))</f>
        <v>Jun'26</v>
      </c>
      <c r="E403" s="27" t="s">
        <v>55</v>
      </c>
      <c r="F403" s="1" t="s">
        <v>39</v>
      </c>
      <c r="G403" s="1" t="str">
        <f aca="false">IF(F403="Closed","Closed","Pending")</f>
        <v>Closed</v>
      </c>
      <c r="H403" s="1" t="s">
        <v>56</v>
      </c>
      <c r="I403" s="1" t="s">
        <v>82</v>
      </c>
      <c r="J403" s="1" t="s">
        <v>58</v>
      </c>
      <c r="K403" s="1" t="s">
        <v>59</v>
      </c>
      <c r="L403" s="1" t="s">
        <v>1335</v>
      </c>
      <c r="M403" s="1" t="s">
        <v>1336</v>
      </c>
      <c r="N403" s="1" t="s">
        <v>65</v>
      </c>
      <c r="O403" s="1" t="s">
        <v>77</v>
      </c>
      <c r="Q403" s="1" t="s">
        <v>65</v>
      </c>
      <c r="R403" s="1" t="s">
        <v>66</v>
      </c>
      <c r="U403" s="12" t="n">
        <v>0.138194444444444</v>
      </c>
      <c r="V403" s="11" t="n">
        <v>46199</v>
      </c>
      <c r="W403" s="12" t="n">
        <v>0.975</v>
      </c>
      <c r="X403" s="11" t="n">
        <v>46199</v>
      </c>
      <c r="Y403" s="12" t="n">
        <v>0.978472222222222</v>
      </c>
      <c r="Z403" s="1" t="s">
        <v>108</v>
      </c>
      <c r="AA403" s="1" t="s">
        <v>68</v>
      </c>
      <c r="AB403" s="2" t="e">
        <f aca="false">U403-#REF!</f>
        <v>#REF!</v>
      </c>
      <c r="AC403" s="14" t="n">
        <f aca="false">(V403+W403)-(B403+C403)</f>
        <v>1.88472222222222</v>
      </c>
      <c r="AD403" s="4" t="str">
        <f aca="false">INT((V403+W403)-(B403+C403)) &amp; ":" &amp;
TEXT(HOUR((V403+W403)-(B403+C403)), "00") &amp; ":" &amp;
TEXT(MINUTE((V403+W403)-(B403+C403)), "00")</f>
        <v>1:21:14</v>
      </c>
      <c r="AE403" s="1" t="n">
        <f aca="false">IFERROR(
LEFT(AD403,FIND(":",AD403)-1)
+ MID(AD403,FIND(":",AD403)+1,2)/24
+ RIGHT(AD403,2)/1440,
"")</f>
        <v>1.88472222222222</v>
      </c>
      <c r="AF403" s="4" t="str">
        <f aca="false">INT((X403+Y403)-(B403+C403)) &amp; ":" &amp;
TEXT(HOUR((X403+Y403)-(B403+C403)), "00") &amp; ":" &amp;
TEXT(MINUTE((X403+Y403)-(B403+C403)), "00")</f>
        <v>1:21:19</v>
      </c>
      <c r="AG403" s="4" t="str">
        <f aca="false" t="array" ref="AG403:AG403">INT(_xlfn.XLOOKUP(J403,{"Low","Medium","High","Urgent"},{48,24,12,8})/24) &amp; ":" &amp;
TEXT(MOD(_xlfn.XLOOKUP(J403,{"Low","Medium","High","Urgent"},{48,24,12,8}),24)/24,"hh:mm")</f>
        <v>1:00:00</v>
      </c>
      <c r="AH403" s="4" t="str">
        <f aca="false">IF(AD403&gt;AG403,"Not Met","Met")</f>
        <v>Not Met</v>
      </c>
      <c r="AI403" s="4" t="e">
        <f aca="false">IF(AB403&lt;TIME(0,30,0),"Met","Not Met")</f>
        <v>#REF!</v>
      </c>
    </row>
    <row r="404" customFormat="false" ht="15" hidden="false" customHeight="false" outlineLevel="0" collapsed="false">
      <c r="A404" s="1" t="s">
        <v>1337</v>
      </c>
      <c r="B404" s="11" t="n">
        <v>46198</v>
      </c>
      <c r="C404" s="12" t="n">
        <v>0.1875</v>
      </c>
      <c r="D404" s="13" t="str">
        <f aca="false">IF(B404="","",TEXT(B404,"MMM")&amp;"'"&amp;TEXT(B404,"yy"))</f>
        <v>Jun'26</v>
      </c>
      <c r="E404" s="27" t="s">
        <v>55</v>
      </c>
      <c r="F404" s="1" t="s">
        <v>39</v>
      </c>
      <c r="G404" s="1" t="str">
        <f aca="false">IF(F404="Closed","Closed","Pending")</f>
        <v>Closed</v>
      </c>
      <c r="H404" s="1" t="s">
        <v>263</v>
      </c>
      <c r="I404" s="1" t="s">
        <v>639</v>
      </c>
      <c r="J404" s="1" t="s">
        <v>74</v>
      </c>
      <c r="K404" s="1" t="s">
        <v>59</v>
      </c>
      <c r="L404" s="1" t="s">
        <v>981</v>
      </c>
      <c r="M404" s="1" t="s">
        <v>1338</v>
      </c>
      <c r="N404" s="1" t="s">
        <v>65</v>
      </c>
      <c r="O404" s="1" t="s">
        <v>106</v>
      </c>
      <c r="Q404" s="1" t="s">
        <v>65</v>
      </c>
      <c r="R404" s="1" t="s">
        <v>87</v>
      </c>
      <c r="U404" s="12" t="n">
        <v>0.209027777777778</v>
      </c>
      <c r="V404" s="11" t="n">
        <v>46198</v>
      </c>
      <c r="W404" s="12" t="n">
        <v>0.942361111111111</v>
      </c>
      <c r="X404" s="11" t="n">
        <v>46206</v>
      </c>
      <c r="Y404" s="12" t="n">
        <v>0.140277777777778</v>
      </c>
      <c r="Z404" s="1" t="s">
        <v>67</v>
      </c>
      <c r="AA404" s="1" t="s">
        <v>68</v>
      </c>
      <c r="AB404" s="2" t="e">
        <f aca="false">U404-#REF!</f>
        <v>#REF!</v>
      </c>
      <c r="AC404" s="14" t="n">
        <f aca="false">(V404+W404)-(B404+C404)</f>
        <v>0.754861111111111</v>
      </c>
      <c r="AD404" s="4" t="str">
        <f aca="false">INT((V404+W404)-(B404+C404)) &amp; ":" &amp;
TEXT(HOUR((V404+W404)-(B404+C404)), "00") &amp; ":" &amp;
TEXT(MINUTE((V404+W404)-(B404+C404)), "00")</f>
        <v>0:18:07</v>
      </c>
      <c r="AE404" s="1" t="n">
        <f aca="false">IFERROR(
LEFT(AD404,FIND(":",AD404)-1)
+ MID(AD404,FIND(":",AD404)+1,2)/24
+ RIGHT(AD404,2)/1440,
"")</f>
        <v>0.754861111111111</v>
      </c>
      <c r="AF404" s="4" t="str">
        <f aca="false">INT((X404+Y404)-(B404+C404)) &amp; ":" &amp;
TEXT(HOUR((X404+Y404)-(B404+C404)), "00") &amp; ":" &amp;
TEXT(MINUTE((X404+Y404)-(B404+C404)), "00")</f>
        <v>7:22:52</v>
      </c>
      <c r="AG404" s="4" t="str">
        <f aca="false" t="array" ref="AG404:AG404">INT(_xlfn.XLOOKUP(J404,{"Low","Medium","High","Urgent"},{48,24,12,8})/24) &amp; ":" &amp;
TEXT(MOD(_xlfn.XLOOKUP(J404,{"Low","Medium","High","Urgent"},{48,24,12,8}),24)/24,"hh:mm")</f>
        <v>2:00:00</v>
      </c>
      <c r="AH404" s="4" t="str">
        <f aca="false">IF(AD404&gt;AG404,"Not Met","Met")</f>
        <v>Met</v>
      </c>
      <c r="AI404" s="4" t="e">
        <f aca="false">IF(AB404&lt;TIME(0,30,0),"Met","Not Met")</f>
        <v>#REF!</v>
      </c>
      <c r="AN404" s="1" t="str">
        <f aca="false">TEXT(B404,"dd")</f>
        <v>25</v>
      </c>
      <c r="AO404" s="1" t="str">
        <f aca="false">TEXT(X404,"dd")</f>
        <v>03</v>
      </c>
      <c r="AP404" s="16" t="str">
        <f aca="false">INT(
  NETWORKDAYS(B404,V404)-1
  + IF(WEEKDAY(V404,2)&lt;6,MOD(V404+W404,1),0)
  - IF(WEEKDAY(B404,2)&lt;6,MOD(B404+C404,1),0)
)
&amp; ":" &amp;
TEXT(HOUR(
  NETWORKDAYS(B404,V404)-1
  + IF(WEEKDAY(V404,2)&lt;6,MOD(V404+W404,1),0)
  - IF(WEEKDAY(B404,2)&lt;6,MOD(B404+C404,1),0)
),"00")
&amp; ":" &amp;
TEXT(MINUTE(
  NETWORKDAYS(B404,V404)-1
  + IF(WEEKDAY(V404,2)&lt;6,MOD(V404+W404,1),0)
  - IF(WEEKDAY(B404,2)&lt;6,MOD(B404+C404,1),0)
),"00")</f>
        <v>0:18:07</v>
      </c>
      <c r="AQ404" s="0" t="n">
        <f aca="false">IFERROR(
LEFT(AP404,FIND(":",AP404)-1)
+ MID(AP404,FIND(":",AP404)+1,2)/24
+ RIGHT(AP404,2)/1440,
"")</f>
        <v>0.754861111111111</v>
      </c>
      <c r="AR404" s="0" t="n">
        <f aca="false">WEEKNUM(B404,1)</f>
        <v>26</v>
      </c>
      <c r="AS404" s="17" t="n">
        <f aca="false">IF(B404&gt;0, (B404+C404)-TIME(13,30,0), "")</f>
        <v>46197.625</v>
      </c>
      <c r="AT404" s="18" t="n">
        <f aca="false">IF(B404&gt;0, (B404+C404)-TIME(13,30,0), "")</f>
        <v>46197.625</v>
      </c>
      <c r="AU404" s="17" t="n">
        <f aca="false">IF(V404&gt;0, (V404+W404)-TIME(13,30,0), "")</f>
        <v>46198.3798611111</v>
      </c>
      <c r="AV404" s="18" t="n">
        <f aca="false">IF(V404&gt;0, (V404+W404)-TIME(13,30,0), "")</f>
        <v>46198.3798611111</v>
      </c>
    </row>
    <row r="405" customFormat="false" ht="15" hidden="false" customHeight="false" outlineLevel="0" collapsed="false">
      <c r="A405" s="23" t="s">
        <v>1339</v>
      </c>
      <c r="B405" s="24" t="n">
        <v>46198</v>
      </c>
      <c r="C405" s="12" t="n">
        <v>0.946527777777778</v>
      </c>
      <c r="D405" s="13" t="str">
        <f aca="false">IF(B405="","",TEXT(B405,"MMM")&amp;"'"&amp;TEXT(B405,"yy"))</f>
        <v>Jun'26</v>
      </c>
      <c r="E405" s="27" t="s">
        <v>55</v>
      </c>
      <c r="F405" s="1" t="s">
        <v>39</v>
      </c>
      <c r="G405" s="1" t="str">
        <f aca="false">IF(F405="Closed","Closed","Pending")</f>
        <v>Closed</v>
      </c>
      <c r="H405" s="1" t="s">
        <v>81</v>
      </c>
      <c r="I405" s="1" t="s">
        <v>82</v>
      </c>
      <c r="J405" s="1" t="s">
        <v>74</v>
      </c>
      <c r="K405" s="1" t="s">
        <v>59</v>
      </c>
      <c r="L405" s="23" t="s">
        <v>1340</v>
      </c>
      <c r="M405" s="23" t="s">
        <v>752</v>
      </c>
      <c r="N405" s="1" t="s">
        <v>65</v>
      </c>
      <c r="O405" s="1" t="s">
        <v>106</v>
      </c>
      <c r="Q405" s="1" t="s">
        <v>65</v>
      </c>
      <c r="R405" s="1" t="s">
        <v>1269</v>
      </c>
      <c r="U405" s="12" t="n">
        <v>0.99375</v>
      </c>
      <c r="V405" s="11" t="n">
        <v>46199</v>
      </c>
      <c r="W405" s="12" t="n">
        <v>0.872916666666667</v>
      </c>
      <c r="X405" s="11" t="n">
        <v>46199</v>
      </c>
      <c r="Y405" s="12" t="n">
        <v>0.920138888888889</v>
      </c>
      <c r="Z405" s="1" t="s">
        <v>237</v>
      </c>
      <c r="AA405" s="1" t="s">
        <v>68</v>
      </c>
      <c r="AB405" s="2" t="e">
        <f aca="false">U405-#REF!</f>
        <v>#REF!</v>
      </c>
      <c r="AC405" s="14" t="n">
        <f aca="false">(V405+W405)-(B405+C405)</f>
        <v>0.926388888888889</v>
      </c>
      <c r="AD405" s="4" t="str">
        <f aca="false">INT((V405+W405)-(B405+C405)) &amp; ":" &amp;
TEXT(HOUR((V405+W405)-(B405+C405)), "00") &amp; ":" &amp;
TEXT(MINUTE((V405+W405)-(B405+C405)), "00")</f>
        <v>0:22:14</v>
      </c>
      <c r="AE405" s="1" t="n">
        <f aca="false">IFERROR(
LEFT(AD405,FIND(":",AD405)-1)
+ MID(AD405,FIND(":",AD405)+1,2)/24
+ RIGHT(AD405,2)/1440,
"")</f>
        <v>0.926388888888889</v>
      </c>
      <c r="AF405" s="4" t="str">
        <f aca="false">INT((X405+Y405)-(B405+C405)) &amp; ":" &amp;
TEXT(HOUR((X405+Y405)-(B405+C405)), "00") &amp; ":" &amp;
TEXT(MINUTE((X405+Y405)-(B405+C405)), "00")</f>
        <v>0:23:22</v>
      </c>
      <c r="AG405" s="4" t="str">
        <f aca="false" t="array" ref="AG405:AG405">INT(_xlfn.XLOOKUP(J405,{"Low","Medium","High","Urgent"},{48,24,12,8})/24) &amp; ":" &amp;
TEXT(MOD(_xlfn.XLOOKUP(J405,{"Low","Medium","High","Urgent"},{48,24,12,8}),24)/24,"hh:mm")</f>
        <v>2:00:00</v>
      </c>
      <c r="AH405" s="4" t="str">
        <f aca="false">IF(AD405&gt;AG405,"Not Met","Met")</f>
        <v>Met</v>
      </c>
      <c r="AI405" s="4" t="e">
        <f aca="false">IF(AB405&lt;TIME(0,30,0),"Met","Not Met")</f>
        <v>#REF!</v>
      </c>
    </row>
    <row r="406" customFormat="false" ht="15" hidden="false" customHeight="false" outlineLevel="0" collapsed="false">
      <c r="A406" s="1" t="s">
        <v>1341</v>
      </c>
      <c r="B406" s="11" t="n">
        <v>46199</v>
      </c>
      <c r="C406" s="12" t="n">
        <v>0.961111111111111</v>
      </c>
      <c r="D406" s="13" t="str">
        <f aca="false">IF(B406="","",TEXT(B406,"MMM")&amp;"'"&amp;TEXT(B406,"yy"))</f>
        <v>Jun'26</v>
      </c>
      <c r="E406" s="27" t="s">
        <v>55</v>
      </c>
      <c r="F406" s="1" t="s">
        <v>39</v>
      </c>
      <c r="G406" s="1" t="str">
        <f aca="false">IF(F406="Closed","Closed","Pending")</f>
        <v>Closed</v>
      </c>
      <c r="H406" s="1" t="s">
        <v>81</v>
      </c>
      <c r="I406" s="1" t="s">
        <v>82</v>
      </c>
      <c r="J406" s="1" t="s">
        <v>74</v>
      </c>
      <c r="K406" s="1" t="s">
        <v>59</v>
      </c>
      <c r="L406" s="1" t="s">
        <v>1342</v>
      </c>
      <c r="M406" s="1" t="s">
        <v>1343</v>
      </c>
      <c r="N406" s="1" t="s">
        <v>65</v>
      </c>
      <c r="O406" s="1" t="s">
        <v>106</v>
      </c>
      <c r="Q406" s="1" t="s">
        <v>65</v>
      </c>
      <c r="R406" s="1" t="s">
        <v>87</v>
      </c>
      <c r="U406" s="12" t="n">
        <v>0.972916666666667</v>
      </c>
      <c r="V406" s="11" t="n">
        <v>46203</v>
      </c>
      <c r="W406" s="12" t="n">
        <v>0.898611111111111</v>
      </c>
      <c r="X406" s="11" t="n">
        <v>46203</v>
      </c>
      <c r="Y406" s="12" t="n">
        <v>0.929861111111111</v>
      </c>
      <c r="Z406" s="1" t="s">
        <v>108</v>
      </c>
      <c r="AA406" s="1" t="s">
        <v>68</v>
      </c>
      <c r="AB406" s="2" t="e">
        <f aca="false">U406-#REF!</f>
        <v>#REF!</v>
      </c>
      <c r="AC406" s="14" t="n">
        <f aca="false">(V406+W406)-(B406+C406)</f>
        <v>3.9375</v>
      </c>
      <c r="AD406" s="4" t="str">
        <f aca="false">INT((V406+W406)-(B406+C406)) &amp; ":" &amp;
TEXT(HOUR((V406+W406)-(B406+C406)), "00") &amp; ":" &amp;
TEXT(MINUTE((V406+W406)-(B406+C406)), "00")</f>
        <v>3:22:30</v>
      </c>
      <c r="AE406" s="1" t="n">
        <f aca="false">IFERROR(
LEFT(AD406,FIND(":",AD406)-1)
+ MID(AD406,FIND(":",AD406)+1,2)/24
+ RIGHT(AD406,2)/1440,
"")</f>
        <v>3.9375</v>
      </c>
      <c r="AF406" s="4" t="str">
        <f aca="false">INT((X406+Y406)-(B406+C406)) &amp; ":" &amp;
TEXT(HOUR((X406+Y406)-(B406+C406)), "00") &amp; ":" &amp;
TEXT(MINUTE((X406+Y406)-(B406+C406)), "00")</f>
        <v>3:23:15</v>
      </c>
      <c r="AG406" s="4" t="str">
        <f aca="false" t="array" ref="AG406:AG406">INT(_xlfn.XLOOKUP(J406,{"Low","Medium","High","Urgent"},{48,24,12,8})/24) &amp; ":" &amp;
TEXT(MOD(_xlfn.XLOOKUP(J406,{"Low","Medium","High","Urgent"},{48,24,12,8}),24)/24,"hh:mm")</f>
        <v>2:00:00</v>
      </c>
      <c r="AH406" s="4" t="str">
        <f aca="false">IF(AD406&gt;AG406,"Not Met","Met")</f>
        <v>Not Met</v>
      </c>
      <c r="AI406" s="4" t="e">
        <f aca="false">IF(AB406&lt;TIME(0,30,0),"Met","Not Met")</f>
        <v>#REF!</v>
      </c>
      <c r="AN406" s="1" t="str">
        <f aca="false">TEXT(B406,"dd")</f>
        <v>26</v>
      </c>
      <c r="AO406" s="1" t="str">
        <f aca="false">TEXT(X406,"dd")</f>
        <v>30</v>
      </c>
      <c r="AP406" s="16" t="str">
        <f aca="false">INT(
  NETWORKDAYS(B406,V406)-1
  + IF(WEEKDAY(V406,2)&lt;6,MOD(V406+W406,1),0)
  - IF(WEEKDAY(B406,2)&lt;6,MOD(B406+C406,1),0)
)
&amp; ":" &amp;
TEXT(HOUR(
  NETWORKDAYS(B406,V406)-1
  + IF(WEEKDAY(V406,2)&lt;6,MOD(V406+W406,1),0)
  - IF(WEEKDAY(B406,2)&lt;6,MOD(B406+C406,1),0)
),"00")
&amp; ":" &amp;
TEXT(MINUTE(
  NETWORKDAYS(B406,V406)-1
  + IF(WEEKDAY(V406,2)&lt;6,MOD(V406+W406,1),0)
  - IF(WEEKDAY(B406,2)&lt;6,MOD(B406+C406,1),0)
),"00")</f>
        <v>1:22:30</v>
      </c>
      <c r="AQ406" s="0" t="n">
        <f aca="false">IFERROR(
LEFT(AP406,FIND(":",AP406)-1)
+ MID(AP406,FIND(":",AP406)+1,2)/24
+ RIGHT(AP406,2)/1440,
"")</f>
        <v>1.9375</v>
      </c>
      <c r="AR406" s="0" t="n">
        <f aca="false">WEEKNUM(B406,1)</f>
        <v>26</v>
      </c>
      <c r="AS406" s="17" t="n">
        <f aca="false">IF(B406&gt;0, (B406+C406)-TIME(13,30,0), "")</f>
        <v>46199.3986111111</v>
      </c>
      <c r="AT406" s="18" t="n">
        <f aca="false">IF(B406&gt;0, (B406+C406)-TIME(13,30,0), "")</f>
        <v>46199.3986111111</v>
      </c>
      <c r="AU406" s="17" t="n">
        <f aca="false">IF(V406&gt;0, (V406+W406)-TIME(13,30,0), "")</f>
        <v>46203.3361111111</v>
      </c>
      <c r="AV406" s="18" t="n">
        <f aca="false">IF(V406&gt;0, (V406+W406)-TIME(13,30,0), "")</f>
        <v>46203.3361111111</v>
      </c>
    </row>
    <row r="407" customFormat="false" ht="15" hidden="false" customHeight="false" outlineLevel="0" collapsed="false">
      <c r="A407" s="1" t="s">
        <v>1344</v>
      </c>
      <c r="B407" s="11" t="n">
        <v>46202</v>
      </c>
      <c r="C407" s="12" t="n">
        <v>0.825</v>
      </c>
      <c r="D407" s="13" t="str">
        <f aca="false">IF(B407="","",TEXT(B407,"MMM")&amp;"'"&amp;TEXT(B407,"yy"))</f>
        <v>Jun'26</v>
      </c>
      <c r="E407" s="1" t="str">
        <f aca="false">$E$406</f>
        <v>ATS</v>
      </c>
      <c r="F407" s="23" t="s">
        <v>1345</v>
      </c>
      <c r="G407" s="1" t="str">
        <f aca="false">IF(F407="Closed","Closed","Pending")</f>
        <v>Pending</v>
      </c>
      <c r="H407" s="27" t="s">
        <v>72</v>
      </c>
      <c r="I407" s="1" t="s">
        <v>73</v>
      </c>
      <c r="J407" s="1" t="s">
        <v>74</v>
      </c>
      <c r="K407" s="1" t="s">
        <v>59</v>
      </c>
      <c r="L407" s="1" t="s">
        <v>1346</v>
      </c>
      <c r="M407" s="1" t="s">
        <v>1347</v>
      </c>
      <c r="N407" s="1" t="s">
        <v>143</v>
      </c>
      <c r="O407" s="1" t="s">
        <v>143</v>
      </c>
      <c r="Q407" s="1" t="s">
        <v>143</v>
      </c>
      <c r="R407" s="1" t="s">
        <v>87</v>
      </c>
      <c r="U407" s="12" t="n">
        <v>0.910416666666667</v>
      </c>
      <c r="Z407" s="1" t="s">
        <v>67</v>
      </c>
      <c r="AB407" s="2" t="e">
        <f aca="false">U407-#REF!</f>
        <v>#REF!</v>
      </c>
      <c r="AC407" s="14" t="n">
        <f aca="false">(V407+W407)-(B407+C407)</f>
        <v>-46202.825</v>
      </c>
      <c r="AD407" s="4" t="str">
        <f aca="false">INT((V407+W407)-(B407+C407)) &amp; ":" &amp;
TEXT(HOUR((V407+W407)-(B407+C407)), "00") &amp; ":" &amp;
TEXT(MINUTE((V407+W407)-(B407+C407)), "00")</f>
        <v>-46203:04:12</v>
      </c>
      <c r="AE407" s="1" t="n">
        <f aca="false">IFERROR(
LEFT(AD407,FIND(":",AD407)-1)
+ MID(AD407,FIND(":",AD407)+1,2)/24
+ RIGHT(AD407,2)/1440,
"")</f>
        <v>-46202.825</v>
      </c>
      <c r="AF407" s="4" t="str">
        <f aca="false">INT((X407+Y407)-(B407+C407)) &amp; ":" &amp;
TEXT(HOUR((X407+Y407)-(B407+C407)), "00") &amp; ":" &amp;
TEXT(MINUTE((X407+Y407)-(B407+C407)), "00")</f>
        <v>-46203:04:12</v>
      </c>
      <c r="AG407" s="4" t="str">
        <f aca="false" t="array" ref="AG407:AG407">INT(_xlfn.XLOOKUP(J407,{"Low","Medium","High","Urgent"},{48,24,12,8})/24) &amp; ":" &amp;
TEXT(MOD(_xlfn.XLOOKUP(J407,{"Low","Medium","High","Urgent"},{48,24,12,8}),24)/24,"hh:mm")</f>
        <v>2:00:00</v>
      </c>
      <c r="AH407" s="4" t="str">
        <f aca="false">IF(AD407&gt;AG407,"Not Met","Met")</f>
        <v>Met</v>
      </c>
      <c r="AI407" s="4" t="e">
        <f aca="false">IF(AB407&lt;TIME(0,30,0),"Met","Not Met")</f>
        <v>#REF!</v>
      </c>
      <c r="AN407" s="1" t="str">
        <f aca="false">TEXT(B407,"dd")</f>
        <v>29</v>
      </c>
      <c r="AO407" s="1" t="str">
        <f aca="false">TEXT(X407,"dd")</f>
        <v>30</v>
      </c>
      <c r="AP407" s="16" t="str">
        <f aca="false">INT(
  NETWORKDAYS(B407,V407)-1
  + IF(WEEKDAY(V407,2)&lt;6,MOD(V407+W407,1),0)
  - IF(WEEKDAY(B407,2)&lt;6,MOD(B407+C407,1),0)
)
&amp; ":" &amp;
TEXT(HOUR(
  NETWORKDAYS(B407,V407)-1
  + IF(WEEKDAY(V407,2)&lt;6,MOD(V407+W407,1),0)
  - IF(WEEKDAY(B407,2)&lt;6,MOD(B407+C407,1),0)
),"00")
&amp; ":" &amp;
TEXT(MINUTE(
  NETWORKDAYS(B407,V407)-1
  + IF(WEEKDAY(V407,2)&lt;6,MOD(V407+W407,1),0)
  - IF(WEEKDAY(B407,2)&lt;6,MOD(B407+C407,1),0)
),"00")</f>
        <v>-33003:04:12</v>
      </c>
      <c r="AQ407" s="0" t="n">
        <f aca="false">IFERROR(
LEFT(AP407,FIND(":",AP407)-1)
+ MID(AP407,FIND(":",AP407)+1,2)/24
+ RIGHT(AP407,2)/1440,
"")</f>
        <v>-33002.825</v>
      </c>
      <c r="AR407" s="0" t="n">
        <f aca="false">WEEKNUM(B407,1)</f>
        <v>27</v>
      </c>
      <c r="AS407" s="17" t="n">
        <f aca="false">IF(B407&gt;0, (B407+C407)-TIME(13,30,0), "")</f>
        <v>46202.2625</v>
      </c>
      <c r="AT407" s="18" t="n">
        <f aca="false">IF(B407&gt;0, (B407+C407)-TIME(13,30,0), "")</f>
        <v>46202.2625</v>
      </c>
      <c r="AU407" s="17" t="str">
        <f aca="false">IF(V407&gt;0, (V407+W407)-TIME(13,30,0), "")</f>
        <v/>
      </c>
      <c r="AV407" s="18" t="str">
        <f aca="false">IF(V407&gt;0, (V407+W407)-TIME(13,30,0), "")</f>
        <v/>
      </c>
    </row>
    <row r="408" customFormat="false" ht="15" hidden="false" customHeight="false" outlineLevel="0" collapsed="false">
      <c r="A408" s="1" t="s">
        <v>1348</v>
      </c>
      <c r="B408" s="11" t="n">
        <v>46203</v>
      </c>
      <c r="C408" s="12" t="n">
        <v>0.0444444444444444</v>
      </c>
      <c r="D408" s="13" t="str">
        <f aca="false">IF(B408="","",TEXT(B408,"MMM")&amp;"'"&amp;TEXT(B408,"yy"))</f>
        <v>Jun'26</v>
      </c>
      <c r="E408" s="1" t="str">
        <f aca="false">$E$406</f>
        <v>ATS</v>
      </c>
      <c r="F408" s="1" t="s">
        <v>39</v>
      </c>
      <c r="G408" s="1" t="str">
        <f aca="false">IF(F408="Closed","Closed","Pending")</f>
        <v>Closed</v>
      </c>
      <c r="H408" s="1" t="s">
        <v>120</v>
      </c>
      <c r="I408" s="1" t="s">
        <v>126</v>
      </c>
      <c r="J408" s="1" t="s">
        <v>74</v>
      </c>
      <c r="K408" s="1" t="s">
        <v>59</v>
      </c>
      <c r="L408" s="1" t="s">
        <v>1349</v>
      </c>
      <c r="M408" s="1" t="s">
        <v>1350</v>
      </c>
      <c r="N408" s="1" t="s">
        <v>65</v>
      </c>
      <c r="O408" s="1" t="s">
        <v>106</v>
      </c>
      <c r="Q408" s="1" t="s">
        <v>65</v>
      </c>
      <c r="R408" s="1" t="s">
        <v>426</v>
      </c>
      <c r="U408" s="12" t="n">
        <v>0.0486111111111111</v>
      </c>
      <c r="V408" s="11" t="n">
        <v>46203</v>
      </c>
      <c r="W408" s="12" t="n">
        <v>0.905555555555556</v>
      </c>
      <c r="X408" s="11" t="n">
        <v>46203</v>
      </c>
      <c r="Y408" s="12" t="n">
        <v>0.913194444444444</v>
      </c>
      <c r="Z408" s="1" t="s">
        <v>108</v>
      </c>
      <c r="AA408" s="1" t="s">
        <v>68</v>
      </c>
      <c r="AB408" s="2" t="e">
        <f aca="false">U408-#REF!</f>
        <v>#REF!</v>
      </c>
      <c r="AC408" s="14" t="n">
        <f aca="false">(V408+W408)-(B408+C408)</f>
        <v>0.861111111111111</v>
      </c>
      <c r="AD408" s="4" t="str">
        <f aca="false">INT((V408+W408)-(B408+C408)) &amp; ":" &amp;
TEXT(HOUR((V408+W408)-(B408+C408)), "00") &amp; ":" &amp;
TEXT(MINUTE((V408+W408)-(B408+C408)), "00")</f>
        <v>0:20:40</v>
      </c>
      <c r="AE408" s="1" t="n">
        <f aca="false">IFERROR(
LEFT(AD408,FIND(":",AD408)-1)
+ MID(AD408,FIND(":",AD408)+1,2)/24
+ RIGHT(AD408,2)/1440,
"")</f>
        <v>0.861111111111111</v>
      </c>
      <c r="AF408" s="4" t="str">
        <f aca="false">INT((X408+Y408)-(B408+C408)) &amp; ":" &amp;
TEXT(HOUR((X408+Y408)-(B408+C408)), "00") &amp; ":" &amp;
TEXT(MINUTE((X408+Y408)-(B408+C408)), "00")</f>
        <v>0:20:51</v>
      </c>
      <c r="AG408" s="4" t="str">
        <f aca="false" t="array" ref="AG408:AG408">INT(_xlfn.XLOOKUP(J408,{"Low","Medium","High","Urgent"},{48,24,12,8})/24) &amp; ":" &amp;
TEXT(MOD(_xlfn.XLOOKUP(J408,{"Low","Medium","High","Urgent"},{48,24,12,8}),24)/24,"hh:mm")</f>
        <v>2:00:00</v>
      </c>
      <c r="AH408" s="4" t="str">
        <f aca="false">IF(AD408&gt;AG408,"Not Met","Met")</f>
        <v>Met</v>
      </c>
      <c r="AI408" s="4" t="e">
        <f aca="false">IF(AB408&lt;TIME(0,30,0),"Met","Not Met")</f>
        <v>#REF!</v>
      </c>
      <c r="AN408" s="1" t="str">
        <f aca="false">TEXT(B408,"dd")</f>
        <v>30</v>
      </c>
      <c r="AO408" s="1" t="str">
        <f aca="false">TEXT(X408,"dd")</f>
        <v>30</v>
      </c>
      <c r="AP408" s="16" t="str">
        <f aca="false">INT(
  NETWORKDAYS(B408,V408)-1
  + IF(WEEKDAY(V408,2)&lt;6,MOD(V408+W408,1),0)
  - IF(WEEKDAY(B408,2)&lt;6,MOD(B408+C408,1),0)
)
&amp; ":" &amp;
TEXT(HOUR(
  NETWORKDAYS(B408,V408)-1
  + IF(WEEKDAY(V408,2)&lt;6,MOD(V408+W408,1),0)
  - IF(WEEKDAY(B408,2)&lt;6,MOD(B408+C408,1),0)
),"00")
&amp; ":" &amp;
TEXT(MINUTE(
  NETWORKDAYS(B408,V408)-1
  + IF(WEEKDAY(V408,2)&lt;6,MOD(V408+W408,1),0)
  - IF(WEEKDAY(B408,2)&lt;6,MOD(B408+C408,1),0)
),"00")</f>
        <v>0:20:39</v>
      </c>
      <c r="AQ408" s="0" t="n">
        <f aca="false">IFERROR(
LEFT(AP408,FIND(":",AP408)-1)
+ MID(AP408,FIND(":",AP408)+1,2)/24
+ RIGHT(AP408,2)/1440,
"")</f>
        <v>0.860416666666667</v>
      </c>
      <c r="AR408" s="0" t="n">
        <f aca="false">WEEKNUM(B408,1)</f>
        <v>27</v>
      </c>
      <c r="AS408" s="17" t="n">
        <f aca="false">IF(B408&gt;0, (B408+C408)-TIME(13,30,0), "")</f>
        <v>46202.4819444444</v>
      </c>
      <c r="AT408" s="18" t="n">
        <f aca="false">IF(B408&gt;0, (B408+C408)-TIME(13,30,0), "")</f>
        <v>46202.4819444444</v>
      </c>
      <c r="AU408" s="17" t="n">
        <f aca="false">IF(V408&gt;0, (V408+W408)-TIME(13,30,0), "")</f>
        <v>46203.3430555556</v>
      </c>
      <c r="AV408" s="18" t="n">
        <f aca="false">IF(V408&gt;0, (V408+W408)-TIME(13,30,0), "")</f>
        <v>46203.3430555556</v>
      </c>
    </row>
    <row r="409" customFormat="false" ht="15" hidden="false" customHeight="false" outlineLevel="0" collapsed="false">
      <c r="A409" s="1" t="s">
        <v>1351</v>
      </c>
      <c r="B409" s="11" t="n">
        <v>46203</v>
      </c>
      <c r="C409" s="12" t="n">
        <v>0.0909722222222222</v>
      </c>
      <c r="D409" s="13" t="str">
        <f aca="false">IF(B409="","",TEXT(B409,"MMM")&amp;"'"&amp;TEXT(B409,"yy"))</f>
        <v>Jun'26</v>
      </c>
      <c r="E409" s="1" t="str">
        <f aca="false">$E$406</f>
        <v>ATS</v>
      </c>
      <c r="F409" s="1" t="s">
        <v>1130</v>
      </c>
      <c r="G409" s="1" t="str">
        <f aca="false">IF(F409="Closed","Closed","Pending")</f>
        <v>Pending</v>
      </c>
      <c r="H409" s="27" t="s">
        <v>263</v>
      </c>
      <c r="I409" s="26" t="s">
        <v>639</v>
      </c>
      <c r="J409" s="1" t="s">
        <v>74</v>
      </c>
      <c r="K409" s="1" t="s">
        <v>59</v>
      </c>
      <c r="L409" s="1" t="s">
        <v>1114</v>
      </c>
      <c r="M409" s="1" t="s">
        <v>1115</v>
      </c>
      <c r="N409" s="1" t="s">
        <v>143</v>
      </c>
      <c r="O409" s="1" t="s">
        <v>143</v>
      </c>
      <c r="Q409" s="1" t="s">
        <v>143</v>
      </c>
      <c r="R409" s="1" t="s">
        <v>66</v>
      </c>
      <c r="U409" s="12" t="n">
        <v>0.147222222222222</v>
      </c>
      <c r="Z409" s="1" t="s">
        <v>237</v>
      </c>
      <c r="AB409" s="2" t="e">
        <f aca="false">U409-#REF!</f>
        <v>#REF!</v>
      </c>
      <c r="AC409" s="14" t="n">
        <f aca="false">(V409+W409)-(B409+C409)</f>
        <v>-46203.0909722222</v>
      </c>
      <c r="AD409" s="4" t="str">
        <f aca="false">INT((V409+W409)-(B409+C409)) &amp; ":" &amp;
TEXT(HOUR((V409+W409)-(B409+C409)), "00") &amp; ":" &amp;
TEXT(MINUTE((V409+W409)-(B409+C409)), "00")</f>
        <v>-46204:21:49</v>
      </c>
      <c r="AE409" s="1" t="n">
        <f aca="false">IFERROR(
LEFT(AD409,FIND(":",AD409)-1)
+ MID(AD409,FIND(":",AD409)+1,2)/24
+ RIGHT(AD409,2)/1440,
"")</f>
        <v>-46203.0909722222</v>
      </c>
      <c r="AF409" s="4" t="str">
        <f aca="false">INT((X409+Y409)-(B409+C409)) &amp; ":" &amp;
TEXT(HOUR((X409+Y409)-(B409+C409)), "00") &amp; ":" &amp;
TEXT(MINUTE((X409+Y409)-(B409+C409)), "00")</f>
        <v>-46204:21:49</v>
      </c>
      <c r="AG409" s="4" t="str">
        <f aca="false" t="array" ref="AG409:AG409">INT(_xlfn.XLOOKUP(J409,{"Low","Medium","High","Urgent"},{48,24,12,8})/24) &amp; ":" &amp;
TEXT(MOD(_xlfn.XLOOKUP(J409,{"Low","Medium","High","Urgent"},{48,24,12,8}),24)/24,"hh:mm")</f>
        <v>2:00:00</v>
      </c>
      <c r="AH409" s="4" t="str">
        <f aca="false">IF(AD409&gt;AG409,"Not Met","Met")</f>
        <v>Met</v>
      </c>
      <c r="AI409" s="4" t="e">
        <f aca="false">IF(AB409&lt;TIME(0,30,0),"Met","Not Met")</f>
        <v>#REF!</v>
      </c>
      <c r="AN409" s="1" t="str">
        <f aca="false">TEXT(B409,"dd")</f>
        <v>30</v>
      </c>
      <c r="AO409" s="1" t="str">
        <f aca="false">TEXT(X409,"dd")</f>
        <v>30</v>
      </c>
      <c r="AP409" s="16" t="str">
        <f aca="false">INT(
  NETWORKDAYS(B409,V409)-1
  + IF(WEEKDAY(V409,2)&lt;6,MOD(V409+W409,1),0)
  - IF(WEEKDAY(B409,2)&lt;6,MOD(B409+C409,1),0)
)
&amp; ":" &amp;
TEXT(HOUR(
  NETWORKDAYS(B409,V409)-1
  + IF(WEEKDAY(V409,2)&lt;6,MOD(V409+W409,1),0)
  - IF(WEEKDAY(B409,2)&lt;6,MOD(B409+C409,1),0)
),"00")
&amp; ":" &amp;
TEXT(MINUTE(
  NETWORKDAYS(B409,V409)-1
  + IF(WEEKDAY(V409,2)&lt;6,MOD(V409+W409,1),0)
  - IF(WEEKDAY(B409,2)&lt;6,MOD(B409+C409,1),0)
),"00")</f>
        <v>-33004:21:49</v>
      </c>
      <c r="AQ409" s="0" t="n">
        <f aca="false">IFERROR(
LEFT(AP409,FIND(":",AP409)-1)
+ MID(AP409,FIND(":",AP409)+1,2)/24
+ RIGHT(AP409,2)/1440,
"")</f>
        <v>-33003.0909722222</v>
      </c>
      <c r="AR409" s="0" t="n">
        <f aca="false">WEEKNUM(B409,1)</f>
        <v>27</v>
      </c>
      <c r="AS409" s="17" t="n">
        <f aca="false">IF(B409&gt;0, (B409+C409)-TIME(13,30,0), "")</f>
        <v>46202.5284722222</v>
      </c>
      <c r="AT409" s="18" t="n">
        <f aca="false">IF(B409&gt;0, (B409+C409)-TIME(13,30,0), "")</f>
        <v>46202.5284722222</v>
      </c>
      <c r="AU409" s="17" t="str">
        <f aca="false">IF(V409&gt;0, (V409+W409)-TIME(13,30,0), "")</f>
        <v/>
      </c>
      <c r="AV409" s="18" t="str">
        <f aca="false">IF(V409&gt;0, (V409+W409)-TIME(13,30,0), "")</f>
        <v/>
      </c>
    </row>
    <row r="410" customFormat="false" ht="15" hidden="false" customHeight="false" outlineLevel="0" collapsed="false">
      <c r="A410" s="1" t="s">
        <v>1352</v>
      </c>
      <c r="B410" s="11" t="n">
        <v>46203</v>
      </c>
      <c r="C410" s="12" t="n">
        <v>0.240277777777778</v>
      </c>
      <c r="D410" s="13" t="str">
        <f aca="false">IF(B410="","",TEXT(B410,"MMM")&amp;"'"&amp;TEXT(B410,"yy"))</f>
        <v>Jun'26</v>
      </c>
      <c r="E410" s="1" t="str">
        <f aca="false">$E$406</f>
        <v>ATS</v>
      </c>
      <c r="F410" s="1" t="s">
        <v>140</v>
      </c>
      <c r="G410" s="1" t="str">
        <f aca="false">IF(F410="Closed","Closed","Pending")</f>
        <v>Pending</v>
      </c>
      <c r="H410" s="27" t="s">
        <v>72</v>
      </c>
      <c r="I410" s="1" t="s">
        <v>73</v>
      </c>
      <c r="J410" s="35" t="s">
        <v>74</v>
      </c>
      <c r="K410" s="1" t="s">
        <v>59</v>
      </c>
      <c r="L410" s="1" t="s">
        <v>1353</v>
      </c>
      <c r="M410" s="1" t="s">
        <v>1354</v>
      </c>
      <c r="N410" s="1" t="s">
        <v>62</v>
      </c>
      <c r="O410" s="1" t="s">
        <v>77</v>
      </c>
      <c r="Q410" s="1" t="s">
        <v>65</v>
      </c>
      <c r="R410" s="1" t="s">
        <v>87</v>
      </c>
      <c r="U410" s="12" t="n">
        <v>0.911111111111111</v>
      </c>
      <c r="Z410" s="1" t="s">
        <v>67</v>
      </c>
      <c r="AB410" s="2" t="e">
        <f aca="false">U410-#REF!</f>
        <v>#REF!</v>
      </c>
      <c r="AC410" s="14" t="n">
        <f aca="false">(V410+W410)-(B410+C410)</f>
        <v>-46203.2402777778</v>
      </c>
      <c r="AD410" s="4" t="str">
        <f aca="false">INT((V410+W410)-(B410+C410)) &amp; ":" &amp;
TEXT(HOUR((V410+W410)-(B410+C410)), "00") &amp; ":" &amp;
TEXT(MINUTE((V410+W410)-(B410+C410)), "00")</f>
        <v>-46204:18:14</v>
      </c>
      <c r="AE410" s="1" t="n">
        <f aca="false">IFERROR(
LEFT(AD410,FIND(":",AD410)-1)
+ MID(AD410,FIND(":",AD410)+1,2)/24
+ RIGHT(AD410,2)/1440,
"")</f>
        <v>-46203.2402777778</v>
      </c>
      <c r="AF410" s="4" t="str">
        <f aca="false">INT((X410+Y410)-(B410+C410)) &amp; ":" &amp;
TEXT(HOUR((X410+Y410)-(B410+C410)), "00") &amp; ":" &amp;
TEXT(MINUTE((X410+Y410)-(B410+C410)), "00")</f>
        <v>-46204:18:14</v>
      </c>
      <c r="AG410" s="4" t="str">
        <f aca="false" t="array" ref="AG410:AG410">INT(_xlfn.XLOOKUP(J410,{"Low","Medium","High","Urgent"},{48,24,12,8})/24) &amp; ":" &amp;
TEXT(MOD(_xlfn.XLOOKUP(J410,{"Low","Medium","High","Urgent"},{48,24,12,8}),24)/24,"hh:mm")</f>
        <v>2:00:00</v>
      </c>
      <c r="AH410" s="4" t="str">
        <f aca="false">IF(AD410&gt;AG410,"Not Met","Met")</f>
        <v>Met</v>
      </c>
      <c r="AI410" s="4" t="e">
        <f aca="false">IF(AB410&lt;TIME(0,30,0),"Met","Not Met")</f>
        <v>#REF!</v>
      </c>
      <c r="AN410" s="1" t="str">
        <f aca="false">TEXT(B410,"dd")</f>
        <v>30</v>
      </c>
      <c r="AO410" s="1" t="str">
        <f aca="false">TEXT(X410,"dd")</f>
        <v>30</v>
      </c>
      <c r="AP410" s="16" t="str">
        <f aca="false">INT(
  NETWORKDAYS(B410,V410)-1
  + IF(WEEKDAY(V410,2)&lt;6,MOD(V410+W410,1),0)
  - IF(WEEKDAY(B410,2)&lt;6,MOD(B410+C410,1),0)
)
&amp; ":" &amp;
TEXT(HOUR(
  NETWORKDAYS(B410,V410)-1
  + IF(WEEKDAY(V410,2)&lt;6,MOD(V410+W410,1),0)
  - IF(WEEKDAY(B410,2)&lt;6,MOD(B410+C410,1),0)
),"00")
&amp; ":" &amp;
TEXT(MINUTE(
  NETWORKDAYS(B410,V410)-1
  + IF(WEEKDAY(V410,2)&lt;6,MOD(V410+W410,1),0)
  - IF(WEEKDAY(B410,2)&lt;6,MOD(B410+C410,1),0)
),"00")</f>
        <v>-33004:18:14</v>
      </c>
      <c r="AQ410" s="0" t="n">
        <f aca="false">IFERROR(
LEFT(AP410,FIND(":",AP410)-1)
+ MID(AP410,FIND(":",AP410)+1,2)/24
+ RIGHT(AP410,2)/1440,
"")</f>
        <v>-33003.2402777778</v>
      </c>
      <c r="AR410" s="0" t="n">
        <f aca="false">WEEKNUM(B410,1)</f>
        <v>27</v>
      </c>
      <c r="AS410" s="17" t="n">
        <f aca="false">IF(B410&gt;0, (B410+C410)-TIME(13,30,0), "")</f>
        <v>46202.6777777778</v>
      </c>
      <c r="AT410" s="18" t="n">
        <f aca="false">IF(B410&gt;0, (B410+C410)-TIME(13,30,0), "")</f>
        <v>46202.6777777778</v>
      </c>
      <c r="AU410" s="17" t="str">
        <f aca="false">IF(V410&gt;0, (V410+W410)-TIME(13,30,0), "")</f>
        <v/>
      </c>
      <c r="AV410" s="18" t="str">
        <f aca="false">IF(V410&gt;0, (V410+W410)-TIME(13,30,0), "")</f>
        <v/>
      </c>
    </row>
    <row r="411" customFormat="false" ht="15" hidden="false" customHeight="false" outlineLevel="0" collapsed="false">
      <c r="A411" s="1" t="s">
        <v>1355</v>
      </c>
      <c r="B411" s="11" t="n">
        <v>46203</v>
      </c>
      <c r="C411" s="12" t="n">
        <v>0.897222222222222</v>
      </c>
      <c r="D411" s="13" t="str">
        <f aca="false">IF(B411="","",TEXT(B411,"MMM")&amp;"'"&amp;TEXT(B411,"yy"))</f>
        <v>Jun'26</v>
      </c>
      <c r="E411" s="1" t="str">
        <f aca="false">$E$406</f>
        <v>ATS</v>
      </c>
      <c r="F411" s="1" t="s">
        <v>39</v>
      </c>
      <c r="G411" s="1" t="str">
        <f aca="false">IF(F411="Closed","Closed","Pending")</f>
        <v>Closed</v>
      </c>
      <c r="H411" s="27" t="s">
        <v>81</v>
      </c>
      <c r="I411" s="1" t="s">
        <v>386</v>
      </c>
      <c r="J411" s="35" t="s">
        <v>74</v>
      </c>
      <c r="K411" s="1" t="s">
        <v>59</v>
      </c>
      <c r="L411" s="1" t="s">
        <v>1356</v>
      </c>
      <c r="M411" s="1" t="s">
        <v>1357</v>
      </c>
      <c r="N411" s="1" t="s">
        <v>65</v>
      </c>
      <c r="O411" s="1" t="s">
        <v>106</v>
      </c>
      <c r="Q411" s="1" t="s">
        <v>65</v>
      </c>
      <c r="R411" s="1" t="s">
        <v>87</v>
      </c>
      <c r="U411" s="25" t="n">
        <v>46204.8666666667</v>
      </c>
      <c r="V411" s="11" t="n">
        <v>46204</v>
      </c>
      <c r="W411" s="12" t="n">
        <v>0.866666666666667</v>
      </c>
      <c r="X411" s="11" t="n">
        <v>46204</v>
      </c>
      <c r="Y411" s="12" t="n">
        <v>0.9125</v>
      </c>
      <c r="Z411" s="1" t="s">
        <v>108</v>
      </c>
      <c r="AA411" s="1" t="s">
        <v>68</v>
      </c>
      <c r="AB411" s="2" t="n">
        <v>0.375</v>
      </c>
      <c r="AC411" s="14" t="n">
        <f aca="false">(V411+W411)-(B411+C411)</f>
        <v>0.969444444444444</v>
      </c>
      <c r="AD411" s="4" t="str">
        <f aca="false">INT((V411+W411)-(B411+C411)) &amp; ":" &amp;
TEXT(HOUR((V411+W411)-(B411+C411)), "00") &amp; ":" &amp;
TEXT(MINUTE((V411+W411)-(B411+C411)), "00")</f>
        <v>0:23:16</v>
      </c>
      <c r="AE411" s="1" t="n">
        <f aca="false">IFERROR(
LEFT(AD411,FIND(":",AD411)-1)
+ MID(AD411,FIND(":",AD411)+1,2)/24
+ RIGHT(AD411,2)/1440,
"")</f>
        <v>0.969444444444444</v>
      </c>
      <c r="AF411" s="4" t="str">
        <f aca="false">INT((X411+Y411)-(B411+C411)) &amp; ":" &amp;
TEXT(HOUR((X411+Y411)-(B411+C411)), "00") &amp; ":" &amp;
TEXT(MINUTE((X411+Y411)-(B411+C411)), "00")</f>
        <v>1:00:22</v>
      </c>
      <c r="AG411" s="4" t="str">
        <f aca="false" t="array" ref="AG411:AG411">INT(_xlfn.XLOOKUP(J411,{"Low","Medium","High","Urgent"},{48,24,12,8})/24) &amp; ":" &amp;
TEXT(MOD(_xlfn.XLOOKUP(J411,{"Low","Medium","High","Urgent"},{48,24,12,8}),24)/24,"hh:mm")</f>
        <v>2:00:00</v>
      </c>
      <c r="AH411" s="4" t="str">
        <f aca="false">IF(AD411&gt;AG411,"Not Met","Met")</f>
        <v>Met</v>
      </c>
      <c r="AI411" s="4" t="str">
        <f aca="false">IF(AB411&lt;TIME(0,30,0),"Met","Not Met")</f>
        <v>Not Met</v>
      </c>
      <c r="AN411" s="1" t="str">
        <f aca="false">TEXT(B411,"dd")</f>
        <v>30</v>
      </c>
      <c r="AO411" s="1" t="str">
        <f aca="false">TEXT(X411,"dd")</f>
        <v>01</v>
      </c>
      <c r="AP411" s="16" t="str">
        <f aca="false">INT(
  NETWORKDAYS(B411,V411)-1
  + IF(WEEKDAY(V411,2)&lt;6,MOD(V411+W411,1),0)
  - IF(WEEKDAY(B411,2)&lt;6,MOD(B411+C411,1),0)
)
&amp; ":" &amp;
TEXT(HOUR(
  NETWORKDAYS(B411,V411)-1
  + IF(WEEKDAY(V411,2)&lt;6,MOD(V411+W411,1),0)
  - IF(WEEKDAY(B411,2)&lt;6,MOD(B411+C411,1),0)
),"00")
&amp; ":" &amp;
TEXT(MINUTE(
  NETWORKDAYS(B411,V411)-1
  + IF(WEEKDAY(V411,2)&lt;6,MOD(V411+W411,1),0)
  - IF(WEEKDAY(B411,2)&lt;6,MOD(B411+C411,1),0)
),"00")</f>
        <v>0:23:16</v>
      </c>
      <c r="AQ411" s="0" t="n">
        <f aca="false">IFERROR(
LEFT(AP411,FIND(":",AP411)-1)
+ MID(AP411,FIND(":",AP411)+1,2)/24
+ RIGHT(AP411,2)/1440,
"")</f>
        <v>0.969444444444444</v>
      </c>
      <c r="AR411" s="0" t="n">
        <f aca="false">WEEKNUM(B411,1)</f>
        <v>27</v>
      </c>
      <c r="AS411" s="17" t="n">
        <f aca="false">IF(B411&gt;0, (B411+C411)-TIME(13,30,0), "")</f>
        <v>46203.3347222222</v>
      </c>
      <c r="AT411" s="18" t="n">
        <f aca="false">IF(B411&gt;0, (B411+C411)-TIME(13,30,0), "")</f>
        <v>46203.3347222222</v>
      </c>
      <c r="AU411" s="17" t="n">
        <f aca="false">IF(V411&gt;0, (V411+W411)-TIME(13,30,0), "")</f>
        <v>46204.3041666667</v>
      </c>
      <c r="AV411" s="18" t="n">
        <f aca="false">IF(V411&gt;0, (V411+W411)-TIME(13,30,0), "")</f>
        <v>46204.3041666667</v>
      </c>
    </row>
    <row r="412" customFormat="false" ht="15" hidden="false" customHeight="false" outlineLevel="0" collapsed="false">
      <c r="A412" s="52" t="s">
        <v>1358</v>
      </c>
      <c r="B412" s="11" t="n">
        <v>46204</v>
      </c>
      <c r="C412" s="12" t="n">
        <v>0.152083333333333</v>
      </c>
      <c r="D412" s="13" t="str">
        <f aca="false">IF(B412="","",TEXT(B412,"MMM")&amp;"'"&amp;TEXT(B412,"yy"))</f>
        <v>Jul'26</v>
      </c>
      <c r="E412" s="1" t="str">
        <f aca="false">$E$406</f>
        <v>ATS</v>
      </c>
      <c r="F412" s="1" t="s">
        <v>39</v>
      </c>
      <c r="G412" s="1" t="str">
        <f aca="false">IF(F412="Closed","Closed","Pending")</f>
        <v>Closed</v>
      </c>
      <c r="H412" s="58" t="s">
        <v>691</v>
      </c>
      <c r="I412" s="26" t="s">
        <v>663</v>
      </c>
      <c r="J412" s="35" t="s">
        <v>74</v>
      </c>
      <c r="K412" s="1" t="s">
        <v>59</v>
      </c>
      <c r="L412" s="1" t="s">
        <v>1359</v>
      </c>
      <c r="M412" s="1" t="s">
        <v>1360</v>
      </c>
      <c r="N412" s="1" t="s">
        <v>65</v>
      </c>
      <c r="O412" s="1" t="s">
        <v>106</v>
      </c>
      <c r="Q412" s="1" t="s">
        <v>65</v>
      </c>
      <c r="R412" s="1" t="s">
        <v>87</v>
      </c>
      <c r="U412" s="12" t="n">
        <v>0.155555555555556</v>
      </c>
      <c r="V412" s="11" t="n">
        <v>46209</v>
      </c>
      <c r="W412" s="12" t="n">
        <v>0.921527777777778</v>
      </c>
      <c r="X412" s="11" t="n">
        <v>46211</v>
      </c>
      <c r="Y412" s="12" t="n">
        <v>0.0458333333333333</v>
      </c>
      <c r="Z412" s="1" t="s">
        <v>67</v>
      </c>
      <c r="AA412" s="1" t="s">
        <v>68</v>
      </c>
      <c r="AB412" s="2" t="e">
        <f aca="false">U412-#REF!</f>
        <v>#REF!</v>
      </c>
      <c r="AC412" s="14" t="n">
        <f aca="false">(V412+W412)-(B412+C412)</f>
        <v>5.76944444444445</v>
      </c>
      <c r="AD412" s="4" t="str">
        <f aca="false">INT((V412+W412)-(B412+C412)) &amp; ":" &amp;
TEXT(HOUR((V412+W412)-(B412+C412)), "00") &amp; ":" &amp;
TEXT(MINUTE((V412+W412)-(B412+C412)), "00")</f>
        <v>5:18:28</v>
      </c>
      <c r="AE412" s="1" t="n">
        <f aca="false">IFERROR(
LEFT(AD412,FIND(":",AD412)-1)
+ MID(AD412,FIND(":",AD412)+1,2)/24
+ RIGHT(AD412,2)/1440,
"")</f>
        <v>5.76944444444445</v>
      </c>
      <c r="AF412" s="4" t="str">
        <f aca="false">INT((X412+Y412)-(B412+C412)) &amp; ":" &amp;
TEXT(HOUR((X412+Y412)-(B412+C412)), "00") &amp; ":" &amp;
TEXT(MINUTE((X412+Y412)-(B412+C412)), "00")</f>
        <v>6:21:27</v>
      </c>
      <c r="AG412" s="4" t="str">
        <f aca="false" t="array" ref="AG412:AG412">INT(_xlfn.XLOOKUP(J412,{"Low","Medium","High","Urgent"},{48,24,12,8})/24) &amp; ":" &amp;
TEXT(MOD(_xlfn.XLOOKUP(J412,{"Low","Medium","High","Urgent"},{48,24,12,8}),24)/24,"hh:mm")</f>
        <v>2:00:00</v>
      </c>
      <c r="AH412" s="4" t="str">
        <f aca="false">IF(AD412&gt;AG412,"Not Met","Met")</f>
        <v>Not Met</v>
      </c>
      <c r="AI412" s="4" t="e">
        <f aca="false">IF(AB412&lt;TIME(0,30,0),"Met","Not Met")</f>
        <v>#REF!</v>
      </c>
      <c r="AN412" s="1" t="str">
        <f aca="false">TEXT(B412,"dd")</f>
        <v>01</v>
      </c>
      <c r="AO412" s="1" t="str">
        <f aca="false">TEXT(X412,"dd")</f>
        <v>08</v>
      </c>
      <c r="AP412" s="16" t="str">
        <f aca="false">INT(
  NETWORKDAYS(B412,V412)-1
  + IF(WEEKDAY(V412,2)&lt;6,MOD(V412+W412,1),0)
  - IF(WEEKDAY(B412,2)&lt;6,MOD(B412+C412,1),0)
)
&amp; ":" &amp;
TEXT(HOUR(
  NETWORKDAYS(B412,V412)-1
  + IF(WEEKDAY(V412,2)&lt;6,MOD(V412+W412,1),0)
  - IF(WEEKDAY(B412,2)&lt;6,MOD(B412+C412,1),0)
),"00")
&amp; ":" &amp;
TEXT(MINUTE(
  NETWORKDAYS(B412,V412)-1
  + IF(WEEKDAY(V412,2)&lt;6,MOD(V412+W412,1),0)
  - IF(WEEKDAY(B412,2)&lt;6,MOD(B412+C412,1),0)
),"00")</f>
        <v>3:18:27</v>
      </c>
      <c r="AQ412" s="0" t="n">
        <f aca="false">IFERROR(
LEFT(AP412,FIND(":",AP412)-1)
+ MID(AP412,FIND(":",AP412)+1,2)/24
+ RIGHT(AP412,2)/1440,
"")</f>
        <v>3.76875</v>
      </c>
      <c r="AR412" s="0" t="n">
        <f aca="false">WEEKNUM(B412,1)</f>
        <v>27</v>
      </c>
      <c r="AS412" s="17" t="n">
        <f aca="false">IF(B412&gt;0, (B412+C412)-TIME(13,30,0), "")</f>
        <v>46203.5895833333</v>
      </c>
      <c r="AT412" s="18" t="n">
        <f aca="false">IF(B412&gt;0, (B412+C412)-TIME(13,30,0), "")</f>
        <v>46203.5895833333</v>
      </c>
      <c r="AU412" s="17" t="n">
        <f aca="false">IF(V412&gt;0, (V412+W412)-TIME(13,30,0), "")</f>
        <v>46209.3590277778</v>
      </c>
      <c r="AV412" s="18" t="n">
        <f aca="false">IF(V412&gt;0, (V412+W412)-TIME(13,30,0), "")</f>
        <v>46209.3590277778</v>
      </c>
    </row>
    <row r="413" customFormat="false" ht="15" hidden="false" customHeight="false" outlineLevel="0" collapsed="false">
      <c r="A413" s="71" t="s">
        <v>1361</v>
      </c>
      <c r="B413" s="24" t="n">
        <v>46204</v>
      </c>
      <c r="C413" s="12" t="n">
        <v>0.928472222222222</v>
      </c>
      <c r="D413" s="13" t="str">
        <f aca="false">IF(B413="","",TEXT(B413,"MMM")&amp;"'"&amp;TEXT(B413,"yy"))</f>
        <v>Jul'26</v>
      </c>
      <c r="E413" s="1" t="str">
        <f aca="false">$E$406</f>
        <v>ATS</v>
      </c>
      <c r="F413" s="1" t="s">
        <v>39</v>
      </c>
      <c r="G413" s="1" t="str">
        <f aca="false">IF(F413="Closed","Closed","Pending")</f>
        <v>Closed</v>
      </c>
      <c r="H413" s="1" t="s">
        <v>1292</v>
      </c>
      <c r="I413" s="1" t="s">
        <v>315</v>
      </c>
      <c r="J413" s="35" t="s">
        <v>74</v>
      </c>
      <c r="K413" s="1" t="s">
        <v>59</v>
      </c>
      <c r="L413" s="1" t="s">
        <v>1362</v>
      </c>
      <c r="M413" s="1" t="s">
        <v>1363</v>
      </c>
      <c r="N413" s="1" t="s">
        <v>62</v>
      </c>
      <c r="O413" s="1" t="s">
        <v>63</v>
      </c>
      <c r="Q413" s="1" t="s">
        <v>63</v>
      </c>
      <c r="R413" s="1" t="s">
        <v>87</v>
      </c>
      <c r="U413" s="12" t="n">
        <v>0.972916666666667</v>
      </c>
      <c r="V413" s="11" t="n">
        <v>46205</v>
      </c>
      <c r="W413" s="12" t="n">
        <v>0.954166666666667</v>
      </c>
      <c r="X413" s="11" t="n">
        <v>46211</v>
      </c>
      <c r="Y413" s="12" t="n">
        <v>0.946527777777778</v>
      </c>
      <c r="Z413" s="1" t="s">
        <v>67</v>
      </c>
      <c r="AB413" s="2" t="e">
        <f aca="false">U413-#REF!</f>
        <v>#REF!</v>
      </c>
      <c r="AC413" s="14" t="n">
        <f aca="false">(V413+W413)-(B413+C413)</f>
        <v>1.02569444444444</v>
      </c>
      <c r="AD413" s="4" t="str">
        <f aca="false">INT((V413+W413)-(B413+C413)) &amp; ":" &amp;
TEXT(HOUR((V413+W413)-(B413+C413)), "00") &amp; ":" &amp;
TEXT(MINUTE((V413+W413)-(B413+C413)), "00")</f>
        <v>1:00:37</v>
      </c>
      <c r="AE413" s="1" t="n">
        <f aca="false">IFERROR(
LEFT(AD413,FIND(":",AD413)-1)
+ MID(AD413,FIND(":",AD413)+1,2)/24
+ RIGHT(AD413,2)/1440,
"")</f>
        <v>1.02569444444444</v>
      </c>
      <c r="AF413" s="4" t="str">
        <f aca="false">INT((X413+Y413)-(B413+C413)) &amp; ":" &amp;
TEXT(HOUR((X413+Y413)-(B413+C413)), "00") &amp; ":" &amp;
TEXT(MINUTE((X413+Y413)-(B413+C413)), "00")</f>
        <v>7:00:26</v>
      </c>
      <c r="AG413" s="4" t="str">
        <f aca="false" t="array" ref="AG413:AG413">INT(_xlfn.XLOOKUP(J413,{"Low","Medium","High","Urgent"},{48,24,12,8})/24) &amp; ":" &amp;
TEXT(MOD(_xlfn.XLOOKUP(J413,{"Low","Medium","High","Urgent"},{48,24,12,8}),24)/24,"hh:mm")</f>
        <v>2:00:00</v>
      </c>
      <c r="AH413" s="4" t="str">
        <f aca="false">IF(AD413&gt;AG413,"Not Met","Met")</f>
        <v>Met</v>
      </c>
      <c r="AI413" s="4" t="e">
        <f aca="false">IF(AB413&lt;TIME(0,30,0),"Met","Not Met")</f>
        <v>#REF!</v>
      </c>
      <c r="AN413" s="1" t="str">
        <f aca="false">TEXT(B413,"dd")</f>
        <v>01</v>
      </c>
      <c r="AO413" s="1" t="str">
        <f aca="false">TEXT(X413,"dd")</f>
        <v>08</v>
      </c>
      <c r="AP413" s="16" t="str">
        <f aca="false">INT(
  NETWORKDAYS(B413,V413)-1
  + IF(WEEKDAY(V413,2)&lt;6,MOD(V413+W413,1),0)
  - IF(WEEKDAY(B413,2)&lt;6,MOD(B413+C413,1),0)
)
&amp; ":" &amp;
TEXT(HOUR(
  NETWORKDAYS(B413,V413)-1
  + IF(WEEKDAY(V413,2)&lt;6,MOD(V413+W413,1),0)
  - IF(WEEKDAY(B413,2)&lt;6,MOD(B413+C413,1),0)
),"00")
&amp; ":" &amp;
TEXT(MINUTE(
  NETWORKDAYS(B413,V413)-1
  + IF(WEEKDAY(V413,2)&lt;6,MOD(V413+W413,1),0)
  - IF(WEEKDAY(B413,2)&lt;6,MOD(B413+C413,1),0)
),"00")</f>
        <v>1:00:37</v>
      </c>
      <c r="AQ413" s="0" t="n">
        <f aca="false">IFERROR(
LEFT(AP413,FIND(":",AP413)-1)
+ MID(AP413,FIND(":",AP413)+1,2)/24
+ RIGHT(AP413,2)/1440,
"")</f>
        <v>1.02569444444444</v>
      </c>
      <c r="AR413" s="0" t="n">
        <f aca="false">WEEKNUM(B413,1)</f>
        <v>27</v>
      </c>
      <c r="AS413" s="17" t="n">
        <f aca="false">IF(B413&gt;0, (B413+C413)-TIME(13,30,0), "")</f>
        <v>46204.3659722222</v>
      </c>
      <c r="AT413" s="18" t="n">
        <f aca="false">IF(B413&gt;0, (B413+C413)-TIME(13,30,0), "")</f>
        <v>46204.3659722222</v>
      </c>
      <c r="AU413" s="17" t="n">
        <f aca="false">IF(V413&gt;0, (V413+W413)-TIME(13,30,0), "")</f>
        <v>46205.3916666667</v>
      </c>
      <c r="AV413" s="18" t="n">
        <f aca="false">IF(V413&gt;0, (V413+W413)-TIME(13,30,0), "")</f>
        <v>46205.3916666667</v>
      </c>
    </row>
    <row r="414" customFormat="false" ht="15" hidden="false" customHeight="false" outlineLevel="0" collapsed="false">
      <c r="A414" s="71" t="s">
        <v>1364</v>
      </c>
      <c r="B414" s="24" t="n">
        <v>46204</v>
      </c>
      <c r="C414" s="12" t="n">
        <v>0.957638888888889</v>
      </c>
      <c r="D414" s="13" t="str">
        <f aca="false">IF(B414="","",TEXT(B414,"MMM")&amp;"'"&amp;TEXT(B414,"yy"))</f>
        <v>Jul'26</v>
      </c>
      <c r="E414" s="1" t="str">
        <f aca="false">$E$406</f>
        <v>ATS</v>
      </c>
      <c r="F414" s="1" t="s">
        <v>39</v>
      </c>
      <c r="G414" s="1" t="str">
        <f aca="false">IF(F414="Closed","Closed","Pending")</f>
        <v>Closed</v>
      </c>
      <c r="H414" s="1" t="s">
        <v>72</v>
      </c>
      <c r="I414" s="1" t="s">
        <v>190</v>
      </c>
      <c r="J414" s="35" t="s">
        <v>74</v>
      </c>
      <c r="K414" s="1" t="s">
        <v>59</v>
      </c>
      <c r="L414" s="1" t="s">
        <v>1365</v>
      </c>
      <c r="M414" s="1" t="s">
        <v>1366</v>
      </c>
      <c r="N414" s="1" t="s">
        <v>65</v>
      </c>
      <c r="O414" s="1" t="s">
        <v>77</v>
      </c>
      <c r="Q414" s="1" t="s">
        <v>65</v>
      </c>
      <c r="R414" s="1" t="s">
        <v>87</v>
      </c>
      <c r="U414" s="12" t="n">
        <v>0.972916666666667</v>
      </c>
      <c r="V414" s="11" t="n">
        <v>46205</v>
      </c>
      <c r="W414" s="12" t="n">
        <v>0.95625</v>
      </c>
      <c r="X414" s="11" t="n">
        <v>46210</v>
      </c>
      <c r="Y414" s="12" t="n">
        <v>0.0458333333333333</v>
      </c>
      <c r="Z414" s="1" t="s">
        <v>67</v>
      </c>
      <c r="AA414" s="1" t="s">
        <v>68</v>
      </c>
      <c r="AB414" s="2" t="e">
        <f aca="false">U414-#REF!</f>
        <v>#REF!</v>
      </c>
      <c r="AC414" s="14" t="n">
        <f aca="false">(V414+W414)-(B414+C414)</f>
        <v>0.998611111111111</v>
      </c>
      <c r="AD414" s="4" t="str">
        <f aca="false">INT((V414+W414)-(B414+C414)) &amp; ":" &amp;
TEXT(HOUR((V414+W414)-(B414+C414)), "00") &amp; ":" &amp;
TEXT(MINUTE((V414+W414)-(B414+C414)), "00")</f>
        <v>0:23:58</v>
      </c>
      <c r="AE414" s="1" t="n">
        <f aca="false">IFERROR(
LEFT(AD414,FIND(":",AD414)-1)
+ MID(AD414,FIND(":",AD414)+1,2)/24
+ RIGHT(AD414,2)/1440,
"")</f>
        <v>0.998611111111111</v>
      </c>
      <c r="AF414" s="4" t="str">
        <f aca="false">INT((X414+Y414)-(B414+C414)) &amp; ":" &amp;
TEXT(HOUR((X414+Y414)-(B414+C414)), "00") &amp; ":" &amp;
TEXT(MINUTE((X414+Y414)-(B414+C414)), "00")</f>
        <v>5:02:07</v>
      </c>
      <c r="AG414" s="4" t="str">
        <f aca="false" t="array" ref="AG414:AG414">INT(_xlfn.XLOOKUP(J414,{"Low","Medium","High","Urgent"},{48,24,12,8})/24) &amp; ":" &amp;
TEXT(MOD(_xlfn.XLOOKUP(J414,{"Low","Medium","High","Urgent"},{48,24,12,8}),24)/24,"hh:mm")</f>
        <v>2:00:00</v>
      </c>
      <c r="AH414" s="4" t="str">
        <f aca="false">IF(AD414&gt;AG414,"Not Met","Met")</f>
        <v>Met</v>
      </c>
      <c r="AI414" s="4" t="e">
        <f aca="false">IF(AB414&lt;TIME(0,30,0),"Met","Not Met")</f>
        <v>#REF!</v>
      </c>
      <c r="AN414" s="1" t="str">
        <f aca="false">TEXT(B414,"dd")</f>
        <v>01</v>
      </c>
      <c r="AO414" s="1" t="str">
        <f aca="false">TEXT(X414,"dd")</f>
        <v>07</v>
      </c>
      <c r="AP414" s="16" t="str">
        <f aca="false">INT(
  NETWORKDAYS(B414,V414)-1
  + IF(WEEKDAY(V414,2)&lt;6,MOD(V414+W414,1),0)
  - IF(WEEKDAY(B414,2)&lt;6,MOD(B414+C414,1),0)
)
&amp; ":" &amp;
TEXT(HOUR(
  NETWORKDAYS(B414,V414)-1
  + IF(WEEKDAY(V414,2)&lt;6,MOD(V414+W414,1),0)
  - IF(WEEKDAY(B414,2)&lt;6,MOD(B414+C414,1),0)
),"00")
&amp; ":" &amp;
TEXT(MINUTE(
  NETWORKDAYS(B414,V414)-1
  + IF(WEEKDAY(V414,2)&lt;6,MOD(V414+W414,1),0)
  - IF(WEEKDAY(B414,2)&lt;6,MOD(B414+C414,1),0)
),"00")</f>
        <v>0:23:58</v>
      </c>
      <c r="AQ414" s="0" t="n">
        <f aca="false">IFERROR(
LEFT(AP414,FIND(":",AP414)-1)
+ MID(AP414,FIND(":",AP414)+1,2)/24
+ RIGHT(AP414,2)/1440,
"")</f>
        <v>0.998611111111111</v>
      </c>
      <c r="AR414" s="0" t="n">
        <f aca="false">WEEKNUM(B414,1)</f>
        <v>27</v>
      </c>
      <c r="AS414" s="17" t="n">
        <f aca="false">IF(B414&gt;0, (B414+C414)-TIME(13,30,0), "")</f>
        <v>46204.3951388889</v>
      </c>
      <c r="AT414" s="18" t="n">
        <f aca="false">IF(B414&gt;0, (B414+C414)-TIME(13,30,0), "")</f>
        <v>46204.3951388889</v>
      </c>
      <c r="AU414" s="17" t="n">
        <f aca="false">IF(V414&gt;0, (V414+W414)-TIME(13,30,0), "")</f>
        <v>46205.39375</v>
      </c>
      <c r="AV414" s="18" t="n">
        <f aca="false">IF(V414&gt;0, (V414+W414)-TIME(13,30,0), "")</f>
        <v>46205.39375</v>
      </c>
    </row>
    <row r="415" customFormat="false" ht="15" hidden="false" customHeight="false" outlineLevel="0" collapsed="false">
      <c r="A415" s="71" t="s">
        <v>1367</v>
      </c>
      <c r="B415" s="24" t="n">
        <v>46205</v>
      </c>
      <c r="C415" s="12" t="n">
        <v>0.0354166666666667</v>
      </c>
      <c r="D415" s="13" t="str">
        <f aca="false">IF(B415="","",TEXT(B415,"MMM")&amp;"'"&amp;TEXT(B415,"yy"))</f>
        <v>Jul'26</v>
      </c>
      <c r="E415" s="1" t="str">
        <f aca="false">$E$406</f>
        <v>ATS</v>
      </c>
      <c r="F415" s="1" t="s">
        <v>39</v>
      </c>
      <c r="G415" s="1" t="str">
        <f aca="false">IF(F415="Closed","Closed","Pending")</f>
        <v>Closed</v>
      </c>
      <c r="H415" s="1" t="s">
        <v>185</v>
      </c>
      <c r="I415" s="1" t="s">
        <v>1368</v>
      </c>
      <c r="J415" s="35" t="s">
        <v>74</v>
      </c>
      <c r="K415" s="1" t="s">
        <v>59</v>
      </c>
      <c r="L415" s="1" t="s">
        <v>1369</v>
      </c>
      <c r="M415" s="1" t="s">
        <v>1370</v>
      </c>
      <c r="N415" s="1" t="s">
        <v>65</v>
      </c>
      <c r="O415" s="1" t="s">
        <v>77</v>
      </c>
      <c r="Q415" s="1" t="s">
        <v>65</v>
      </c>
      <c r="R415" s="1" t="s">
        <v>66</v>
      </c>
      <c r="U415" s="25" t="n">
        <v>46205.9576388889</v>
      </c>
      <c r="V415" s="11" t="n">
        <v>46205</v>
      </c>
      <c r="W415" s="12" t="n">
        <v>0.957638888888889</v>
      </c>
      <c r="X415" s="11" t="n">
        <v>46205</v>
      </c>
      <c r="Y415" s="12" t="n">
        <v>0.999305555555556</v>
      </c>
      <c r="Z415" s="1" t="s">
        <v>108</v>
      </c>
      <c r="AA415" s="1" t="s">
        <v>68</v>
      </c>
      <c r="AB415" s="2" t="n">
        <v>0.397222222222222</v>
      </c>
      <c r="AC415" s="14" t="n">
        <f aca="false">(V415+W415)-(B415+C415)</f>
        <v>0.922222222222222</v>
      </c>
      <c r="AD415" s="4" t="str">
        <f aca="false">INT((V415+W415)-(B415+C415)) &amp; ":" &amp;
TEXT(HOUR((V415+W415)-(B415+C415)), "00") &amp; ":" &amp;
TEXT(MINUTE((V415+W415)-(B415+C415)), "00")</f>
        <v>0:22:08</v>
      </c>
      <c r="AE415" s="1" t="n">
        <f aca="false">IFERROR(
LEFT(AD415,FIND(":",AD415)-1)
+ MID(AD415,FIND(":",AD415)+1,2)/24
+ RIGHT(AD415,2)/1440,
"")</f>
        <v>0.922222222222222</v>
      </c>
      <c r="AF415" s="4" t="str">
        <f aca="false">INT((X415+Y415)-(B415+C415)) &amp; ":" &amp;
TEXT(HOUR((X415+Y415)-(B415+C415)), "00") &amp; ":" &amp;
TEXT(MINUTE((X415+Y415)-(B415+C415)), "00")</f>
        <v>0:23:08</v>
      </c>
      <c r="AG415" s="4" t="str">
        <f aca="false" t="array" ref="AG415:AG415">INT(_xlfn.XLOOKUP(J415,{"Low","Medium","High","Urgent"},{48,24,12,8})/24) &amp; ":" &amp;
TEXT(MOD(_xlfn.XLOOKUP(J415,{"Low","Medium","High","Urgent"},{48,24,12,8}),24)/24,"hh:mm")</f>
        <v>2:00:00</v>
      </c>
      <c r="AH415" s="4" t="str">
        <f aca="false">IF(AD415&gt;AG415,"Not Met","Met")</f>
        <v>Met</v>
      </c>
      <c r="AI415" s="4" t="str">
        <f aca="false">IF(AB415&lt;TIME(0,30,0),"Met","Not Met")</f>
        <v>Not Met</v>
      </c>
      <c r="AN415" s="1" t="str">
        <f aca="false">TEXT(B415,"dd")</f>
        <v>02</v>
      </c>
      <c r="AO415" s="1" t="str">
        <f aca="false">TEXT(X415,"dd")</f>
        <v>02</v>
      </c>
      <c r="AP415" s="16" t="str">
        <f aca="false">INT(
  NETWORKDAYS(B415,V415)-1
  + IF(WEEKDAY(V415,2)&lt;6,MOD(V415+W415,1),0)
  - IF(WEEKDAY(B415,2)&lt;6,MOD(B415+C415,1),0)
)
&amp; ":" &amp;
TEXT(HOUR(
  NETWORKDAYS(B415,V415)-1
  + IF(WEEKDAY(V415,2)&lt;6,MOD(V415+W415,1),0)
  - IF(WEEKDAY(B415,2)&lt;6,MOD(B415+C415,1),0)
),"00")
&amp; ":" &amp;
TEXT(MINUTE(
  NETWORKDAYS(B415,V415)-1
  + IF(WEEKDAY(V415,2)&lt;6,MOD(V415+W415,1),0)
  - IF(WEEKDAY(B415,2)&lt;6,MOD(B415+C415,1),0)
),"00")</f>
        <v>0:22:08</v>
      </c>
      <c r="AQ415" s="0" t="n">
        <f aca="false">IFERROR(
LEFT(AP415,FIND(":",AP415)-1)
+ MID(AP415,FIND(":",AP415)+1,2)/24
+ RIGHT(AP415,2)/1440,
"")</f>
        <v>0.922222222222222</v>
      </c>
      <c r="AR415" s="0" t="n">
        <f aca="false">WEEKNUM(B415,1)</f>
        <v>27</v>
      </c>
      <c r="AS415" s="17" t="n">
        <f aca="false">IF(B415&gt;0, (B415+C415)-TIME(13,30,0), "")</f>
        <v>46204.4729166667</v>
      </c>
      <c r="AT415" s="18" t="n">
        <f aca="false">IF(B415&gt;0, (B415+C415)-TIME(13,30,0), "")</f>
        <v>46204.4729166667</v>
      </c>
      <c r="AU415" s="17" t="n">
        <f aca="false">IF(V415&gt;0, (V415+W415)-TIME(13,30,0), "")</f>
        <v>46205.3951388889</v>
      </c>
      <c r="AV415" s="18" t="n">
        <f aca="false">IF(V415&gt;0, (V415+W415)-TIME(13,30,0), "")</f>
        <v>46205.3951388889</v>
      </c>
    </row>
    <row r="416" customFormat="false" ht="15" hidden="false" customHeight="false" outlineLevel="0" collapsed="false">
      <c r="A416" s="71" t="s">
        <v>1371</v>
      </c>
      <c r="B416" s="24" t="n">
        <v>46205</v>
      </c>
      <c r="C416" s="12" t="n">
        <v>0.0472222222222222</v>
      </c>
      <c r="D416" s="13" t="str">
        <f aca="false">IF(B416="","",TEXT(B416,"MMM")&amp;"'"&amp;TEXT(B416,"yy"))</f>
        <v>Jul'26</v>
      </c>
      <c r="E416" s="1" t="str">
        <f aca="false">$E$406</f>
        <v>ATS</v>
      </c>
      <c r="F416" s="1" t="s">
        <v>39</v>
      </c>
      <c r="G416" s="1" t="str">
        <f aca="false">IF(F416="Closed","Closed","Pending")</f>
        <v>Closed</v>
      </c>
      <c r="H416" s="1" t="s">
        <v>72</v>
      </c>
      <c r="I416" s="1" t="s">
        <v>73</v>
      </c>
      <c r="J416" s="35" t="s">
        <v>74</v>
      </c>
      <c r="K416" s="1" t="s">
        <v>59</v>
      </c>
      <c r="L416" s="1" t="s">
        <v>1372</v>
      </c>
      <c r="M416" s="1" t="s">
        <v>1373</v>
      </c>
      <c r="N416" s="1" t="s">
        <v>65</v>
      </c>
      <c r="O416" s="1" t="s">
        <v>106</v>
      </c>
      <c r="Q416" s="1" t="s">
        <v>65</v>
      </c>
      <c r="R416" s="1" t="s">
        <v>87</v>
      </c>
      <c r="U416" s="12" t="n">
        <v>0.05625</v>
      </c>
      <c r="V416" s="11" t="n">
        <v>46212</v>
      </c>
      <c r="W416" s="12" t="n">
        <v>0.904166666666667</v>
      </c>
      <c r="X416" s="11" t="n">
        <v>46223</v>
      </c>
      <c r="Y416" s="12" t="n">
        <v>0.876388888888889</v>
      </c>
      <c r="Z416" s="1" t="s">
        <v>67</v>
      </c>
      <c r="AA416" s="1" t="s">
        <v>68</v>
      </c>
      <c r="AB416" s="2" t="e">
        <f aca="false">U416-#REF!</f>
        <v>#REF!</v>
      </c>
      <c r="AC416" s="14" t="n">
        <f aca="false">(V416+W416)-(B416+C416)</f>
        <v>7.85694444444444</v>
      </c>
      <c r="AD416" s="4" t="str">
        <f aca="false">INT((V416+W416)-(B416+C416)) &amp; ":" &amp;
TEXT(HOUR((V416+W416)-(B416+C416)), "00") &amp; ":" &amp;
TEXT(MINUTE((V416+W416)-(B416+C416)), "00")</f>
        <v>7:20:34</v>
      </c>
      <c r="AE416" s="1" t="n">
        <f aca="false">IFERROR(
LEFT(AD416,FIND(":",AD416)-1)
+ MID(AD416,FIND(":",AD416)+1,2)/24
+ RIGHT(AD416,2)/1440,
"")</f>
        <v>7.85694444444444</v>
      </c>
      <c r="AF416" s="4" t="str">
        <f aca="false">INT((X416+Y416)-(B416+C416)) &amp; ":" &amp;
TEXT(HOUR((X416+Y416)-(B416+C416)), "00") &amp; ":" &amp;
TEXT(MINUTE((X416+Y416)-(B416+C416)), "00")</f>
        <v>18:19:54</v>
      </c>
      <c r="AG416" s="4" t="str">
        <f aca="false" t="array" ref="AG416:AG416">INT(_xlfn.XLOOKUP(J416,{"Low","Medium","High","Urgent"},{48,24,12,8})/24) &amp; ":" &amp;
TEXT(MOD(_xlfn.XLOOKUP(J416,{"Low","Medium","High","Urgent"},{48,24,12,8}),24)/24,"hh:mm")</f>
        <v>2:00:00</v>
      </c>
      <c r="AH416" s="4" t="str">
        <f aca="false">IF(AD416&gt;AG416,"Not Met","Met")</f>
        <v>Not Met</v>
      </c>
      <c r="AI416" s="4" t="e">
        <f aca="false">IF(AB416&lt;TIME(0,30,0),"Met","Not Met")</f>
        <v>#REF!</v>
      </c>
      <c r="AN416" s="1" t="str">
        <f aca="false">TEXT(B416,"dd")</f>
        <v>02</v>
      </c>
      <c r="AO416" s="1" t="str">
        <f aca="false">TEXT(X416,"dd")</f>
        <v>20</v>
      </c>
      <c r="AP416" s="16" t="str">
        <f aca="false">INT(
  NETWORKDAYS(B416,V416)-1
  + IF(WEEKDAY(V416,2)&lt;6,MOD(V416+W416,1),0)
  - IF(WEEKDAY(B416,2)&lt;6,MOD(B416+C416,1),0)
)
&amp; ":" &amp;
TEXT(HOUR(
  NETWORKDAYS(B416,V416)-1
  + IF(WEEKDAY(V416,2)&lt;6,MOD(V416+W416,1),0)
  - IF(WEEKDAY(B416,2)&lt;6,MOD(B416+C416,1),0)
),"00")
&amp; ":" &amp;
TEXT(MINUTE(
  NETWORKDAYS(B416,V416)-1
  + IF(WEEKDAY(V416,2)&lt;6,MOD(V416+W416,1),0)
  - IF(WEEKDAY(B416,2)&lt;6,MOD(B416+C416,1),0)
),"00")</f>
        <v>5:20:33</v>
      </c>
      <c r="AQ416" s="0" t="n">
        <f aca="false">IFERROR(
LEFT(AP416,FIND(":",AP416)-1)
+ MID(AP416,FIND(":",AP416)+1,2)/24
+ RIGHT(AP416,2)/1440,
"")</f>
        <v>5.85625</v>
      </c>
      <c r="AR416" s="0" t="n">
        <f aca="false">WEEKNUM(B416,1)</f>
        <v>27</v>
      </c>
      <c r="AS416" s="17" t="n">
        <f aca="false">IF(B416&gt;0, (B416+C416)-TIME(13,30,0), "")</f>
        <v>46204.4847222222</v>
      </c>
      <c r="AT416" s="18" t="n">
        <f aca="false">IF(B416&gt;0, (B416+C416)-TIME(13,30,0), "")</f>
        <v>46204.4847222222</v>
      </c>
      <c r="AU416" s="17" t="n">
        <f aca="false">IF(V416&gt;0, (V416+W416)-TIME(13,30,0), "")</f>
        <v>46212.3416666667</v>
      </c>
      <c r="AV416" s="18" t="n">
        <f aca="false">IF(V416&gt;0, (V416+W416)-TIME(13,30,0), "")</f>
        <v>46212.3416666667</v>
      </c>
    </row>
    <row r="417" customFormat="false" ht="15" hidden="false" customHeight="false" outlineLevel="0" collapsed="false">
      <c r="A417" s="71" t="s">
        <v>1374</v>
      </c>
      <c r="B417" s="24" t="n">
        <v>46205</v>
      </c>
      <c r="C417" s="12" t="n">
        <v>0.111805555555556</v>
      </c>
      <c r="D417" s="13" t="str">
        <f aca="false">IF(B417="","",TEXT(B417,"MMM")&amp;"'"&amp;TEXT(B417,"yy"))</f>
        <v>Jul'26</v>
      </c>
      <c r="E417" s="1" t="str">
        <f aca="false">$E$406</f>
        <v>ATS</v>
      </c>
      <c r="F417" s="1" t="s">
        <v>39</v>
      </c>
      <c r="G417" s="1" t="str">
        <f aca="false">IF(F417="Closed","Closed","Pending")</f>
        <v>Closed</v>
      </c>
      <c r="H417" s="1" t="s">
        <v>1292</v>
      </c>
      <c r="I417" s="26" t="s">
        <v>315</v>
      </c>
      <c r="J417" s="35" t="s">
        <v>74</v>
      </c>
      <c r="K417" s="1" t="s">
        <v>59</v>
      </c>
      <c r="L417" s="1" t="s">
        <v>1375</v>
      </c>
      <c r="M417" s="1" t="s">
        <v>1376</v>
      </c>
      <c r="N417" s="1" t="s">
        <v>65</v>
      </c>
      <c r="O417" s="1" t="s">
        <v>77</v>
      </c>
      <c r="Q417" s="1" t="s">
        <v>65</v>
      </c>
      <c r="R417" s="1" t="s">
        <v>1269</v>
      </c>
      <c r="U417" s="12" t="n">
        <v>0.244444444444444</v>
      </c>
      <c r="V417" s="11" t="n">
        <v>46205</v>
      </c>
      <c r="W417" s="12" t="n">
        <v>0.968055555555556</v>
      </c>
      <c r="X417" s="11" t="n">
        <v>46205</v>
      </c>
      <c r="Y417" s="12" t="n">
        <v>0.997916666666667</v>
      </c>
      <c r="Z417" s="1" t="s">
        <v>108</v>
      </c>
      <c r="AA417" s="1" t="s">
        <v>68</v>
      </c>
      <c r="AB417" s="2" t="e">
        <f aca="false">U417-#REF!</f>
        <v>#REF!</v>
      </c>
      <c r="AC417" s="14" t="n">
        <f aca="false">(V417+W417)-(B417+C417)</f>
        <v>0.85625</v>
      </c>
      <c r="AD417" s="4" t="str">
        <f aca="false">INT((V417+W417)-(B417+C417)) &amp; ":" &amp;
TEXT(HOUR((V417+W417)-(B417+C417)), "00") &amp; ":" &amp;
TEXT(MINUTE((V417+W417)-(B417+C417)), "00")</f>
        <v>0:20:33</v>
      </c>
      <c r="AE417" s="1" t="n">
        <f aca="false">IFERROR(
LEFT(AD417,FIND(":",AD417)-1)
+ MID(AD417,FIND(":",AD417)+1,2)/24
+ RIGHT(AD417,2)/1440,
"")</f>
        <v>0.85625</v>
      </c>
      <c r="AF417" s="4" t="str">
        <f aca="false">INT((X417+Y417)-(B417+C417)) &amp; ":" &amp;
TEXT(HOUR((X417+Y417)-(B417+C417)), "00") &amp; ":" &amp;
TEXT(MINUTE((X417+Y417)-(B417+C417)), "00")</f>
        <v>0:21:16</v>
      </c>
      <c r="AG417" s="4" t="str">
        <f aca="false" t="array" ref="AG417:AG417">INT(_xlfn.XLOOKUP(J417,{"Low","Medium","High","Urgent"},{48,24,12,8})/24) &amp; ":" &amp;
TEXT(MOD(_xlfn.XLOOKUP(J417,{"Low","Medium","High","Urgent"},{48,24,12,8}),24)/24,"hh:mm")</f>
        <v>2:00:00</v>
      </c>
      <c r="AH417" s="4" t="str">
        <f aca="false">IF(AD417&gt;AG417,"Not Met","Met")</f>
        <v>Met</v>
      </c>
      <c r="AI417" s="4" t="e">
        <f aca="false">IF(AB417&lt;TIME(0,30,0),"Met","Not Met")</f>
        <v>#REF!</v>
      </c>
      <c r="AN417" s="1" t="str">
        <f aca="false">TEXT(B417,"dd")</f>
        <v>02</v>
      </c>
      <c r="AO417" s="1" t="str">
        <f aca="false">TEXT(X417,"dd")</f>
        <v>02</v>
      </c>
      <c r="AP417" s="16" t="str">
        <f aca="false">INT(
  NETWORKDAYS(B417,V417)-1
  + IF(WEEKDAY(V417,2)&lt;6,MOD(V417+W417,1),0)
  - IF(WEEKDAY(B417,2)&lt;6,MOD(B417+C417,1),0)
)
&amp; ":" &amp;
TEXT(HOUR(
  NETWORKDAYS(B417,V417)-1
  + IF(WEEKDAY(V417,2)&lt;6,MOD(V417+W417,1),0)
  - IF(WEEKDAY(B417,2)&lt;6,MOD(B417+C417,1),0)
),"00")
&amp; ":" &amp;
TEXT(MINUTE(
  NETWORKDAYS(B417,V417)-1
  + IF(WEEKDAY(V417,2)&lt;6,MOD(V417+W417,1),0)
  - IF(WEEKDAY(B417,2)&lt;6,MOD(B417+C417,1),0)
),"00")</f>
        <v>0:20:32</v>
      </c>
      <c r="AQ417" s="0" t="n">
        <f aca="false">IFERROR(
LEFT(AP417,FIND(":",AP417)-1)
+ MID(AP417,FIND(":",AP417)+1,2)/24
+ RIGHT(AP417,2)/1440,
"")</f>
        <v>0.855555555555556</v>
      </c>
      <c r="AR417" s="0" t="n">
        <f aca="false">WEEKNUM(B417,1)</f>
        <v>27</v>
      </c>
      <c r="AS417" s="17" t="n">
        <f aca="false">IF(B417&gt;0, (B417+C417)-TIME(13,30,0), "")</f>
        <v>46204.5493055556</v>
      </c>
      <c r="AT417" s="18" t="n">
        <f aca="false">IF(B417&gt;0, (B417+C417)-TIME(13,30,0), "")</f>
        <v>46204.5493055556</v>
      </c>
      <c r="AU417" s="17" t="n">
        <f aca="false">IF(V417&gt;0, (V417+W417)-TIME(13,30,0), "")</f>
        <v>46205.4055555556</v>
      </c>
      <c r="AV417" s="18" t="n">
        <f aca="false">IF(V417&gt;0, (V417+W417)-TIME(13,30,0), "")</f>
        <v>46205.4055555556</v>
      </c>
    </row>
    <row r="418" customFormat="false" ht="15" hidden="false" customHeight="false" outlineLevel="0" collapsed="false">
      <c r="A418" s="71" t="s">
        <v>1377</v>
      </c>
      <c r="B418" s="24" t="n">
        <v>46205</v>
      </c>
      <c r="C418" s="12" t="n">
        <v>0.192361111111111</v>
      </c>
      <c r="D418" s="13" t="str">
        <f aca="false">IF(B418="","",TEXT(B418,"MMM")&amp;"'"&amp;TEXT(B418,"yy"))</f>
        <v>Jul'26</v>
      </c>
      <c r="E418" s="1" t="str">
        <f aca="false">$E$406</f>
        <v>ATS</v>
      </c>
      <c r="F418" s="1" t="s">
        <v>39</v>
      </c>
      <c r="G418" s="1" t="str">
        <f aca="false">IF(F418="Closed","Closed","Pending")</f>
        <v>Closed</v>
      </c>
      <c r="H418" s="27" t="s">
        <v>157</v>
      </c>
      <c r="I418" s="1" t="s">
        <v>581</v>
      </c>
      <c r="J418" s="35" t="s">
        <v>74</v>
      </c>
      <c r="K418" s="1" t="s">
        <v>59</v>
      </c>
      <c r="L418" s="1" t="s">
        <v>1378</v>
      </c>
      <c r="M418" s="1" t="s">
        <v>1379</v>
      </c>
      <c r="N418" s="1" t="s">
        <v>65</v>
      </c>
      <c r="O418" s="1" t="s">
        <v>106</v>
      </c>
      <c r="Q418" s="1" t="s">
        <v>65</v>
      </c>
      <c r="R418" s="1" t="s">
        <v>87</v>
      </c>
      <c r="U418" s="12" t="n">
        <v>0.245138888888889</v>
      </c>
      <c r="V418" s="11" t="n">
        <v>46209</v>
      </c>
      <c r="W418" s="12" t="n">
        <v>0.925</v>
      </c>
      <c r="X418" s="11" t="n">
        <v>46210</v>
      </c>
      <c r="Y418" s="12" t="n">
        <v>0.0541666666666667</v>
      </c>
      <c r="Z418" s="1" t="s">
        <v>108</v>
      </c>
      <c r="AA418" s="1" t="s">
        <v>68</v>
      </c>
      <c r="AB418" s="2" t="e">
        <f aca="false">U418-#REF!</f>
        <v>#REF!</v>
      </c>
      <c r="AC418" s="14" t="n">
        <f aca="false">(V418+W418)-(B418+C418)</f>
        <v>4.73263888888889</v>
      </c>
      <c r="AD418" s="4" t="str">
        <f aca="false">INT((V418+W418)-(B418+C418)) &amp; ":" &amp;
TEXT(HOUR((V418+W418)-(B418+C418)), "00") &amp; ":" &amp;
TEXT(MINUTE((V418+W418)-(B418+C418)), "00")</f>
        <v>4:17:35</v>
      </c>
      <c r="AE418" s="1" t="n">
        <f aca="false">IFERROR(
LEFT(AD418,FIND(":",AD418)-1)
+ MID(AD418,FIND(":",AD418)+1,2)/24
+ RIGHT(AD418,2)/1440,
"")</f>
        <v>4.73263888888889</v>
      </c>
      <c r="AF418" s="4" t="str">
        <f aca="false">INT((X418+Y418)-(B418+C418)) &amp; ":" &amp;
TEXT(HOUR((X418+Y418)-(B418+C418)), "00") &amp; ":" &amp;
TEXT(MINUTE((X418+Y418)-(B418+C418)), "00")</f>
        <v>4:20:41</v>
      </c>
      <c r="AG418" s="4" t="str">
        <f aca="false" t="array" ref="AG418:AG418">INT(_xlfn.XLOOKUP(J418,{"Low","Medium","High","Urgent"},{48,24,12,8})/24) &amp; ":" &amp;
TEXT(MOD(_xlfn.XLOOKUP(J418,{"Low","Medium","High","Urgent"},{48,24,12,8}),24)/24,"hh:mm")</f>
        <v>2:00:00</v>
      </c>
      <c r="AH418" s="4" t="str">
        <f aca="false">IF(AD418&gt;AG418,"Not Met","Met")</f>
        <v>Not Met</v>
      </c>
      <c r="AI418" s="4" t="e">
        <f aca="false">IF(AB418&lt;TIME(0,30,0),"Met","Not Met")</f>
        <v>#REF!</v>
      </c>
      <c r="AN418" s="1" t="str">
        <f aca="false">TEXT(B418,"dd")</f>
        <v>02</v>
      </c>
      <c r="AO418" s="1" t="str">
        <f aca="false">TEXT(X418,"dd")</f>
        <v>07</v>
      </c>
      <c r="AP418" s="16" t="str">
        <f aca="false">INT(
  NETWORKDAYS(B418,V418)-1
  + IF(WEEKDAY(V418,2)&lt;6,MOD(V418+W418,1),0)
  - IF(WEEKDAY(B418,2)&lt;6,MOD(B418+C418,1),0)
)
&amp; ":" &amp;
TEXT(HOUR(
  NETWORKDAYS(B418,V418)-1
  + IF(WEEKDAY(V418,2)&lt;6,MOD(V418+W418,1),0)
  - IF(WEEKDAY(B418,2)&lt;6,MOD(B418+C418,1),0)
),"00")
&amp; ":" &amp;
TEXT(MINUTE(
  NETWORKDAYS(B418,V418)-1
  + IF(WEEKDAY(V418,2)&lt;6,MOD(V418+W418,1),0)
  - IF(WEEKDAY(B418,2)&lt;6,MOD(B418+C418,1),0)
),"00")</f>
        <v>2:17:35</v>
      </c>
      <c r="AQ418" s="0" t="n">
        <f aca="false">IFERROR(
LEFT(AP418,FIND(":",AP418)-1)
+ MID(AP418,FIND(":",AP418)+1,2)/24
+ RIGHT(AP418,2)/1440,
"")</f>
        <v>2.73263888888889</v>
      </c>
      <c r="AR418" s="0" t="n">
        <f aca="false">WEEKNUM(B418,1)</f>
        <v>27</v>
      </c>
      <c r="AS418" s="17" t="n">
        <f aca="false">IF(B418&gt;0, (B418+C418)-TIME(13,30,0), "")</f>
        <v>46204.6298611111</v>
      </c>
      <c r="AT418" s="18" t="n">
        <f aca="false">IF(B418&gt;0, (B418+C418)-TIME(13,30,0), "")</f>
        <v>46204.6298611111</v>
      </c>
      <c r="AU418" s="17" t="n">
        <f aca="false">IF(V418&gt;0, (V418+W418)-TIME(13,30,0), "")</f>
        <v>46209.3625</v>
      </c>
      <c r="AV418" s="18" t="n">
        <f aca="false">IF(V418&gt;0, (V418+W418)-TIME(13,30,0), "")</f>
        <v>46209.3625</v>
      </c>
    </row>
    <row r="419" customFormat="false" ht="15" hidden="false" customHeight="false" outlineLevel="0" collapsed="false">
      <c r="A419" s="71" t="s">
        <v>1380</v>
      </c>
      <c r="B419" s="24" t="n">
        <v>46205</v>
      </c>
      <c r="C419" s="12" t="n">
        <v>0.195138888888889</v>
      </c>
      <c r="D419" s="13" t="str">
        <f aca="false">IF(B419="","",TEXT(B419,"MMM")&amp;"'"&amp;TEXT(B419,"yy"))</f>
        <v>Jul'26</v>
      </c>
      <c r="E419" s="1" t="str">
        <f aca="false">$E$406</f>
        <v>ATS</v>
      </c>
      <c r="F419" s="1" t="s">
        <v>39</v>
      </c>
      <c r="G419" s="1" t="str">
        <f aca="false">IF(F419="Closed","Closed","Pending")</f>
        <v>Closed</v>
      </c>
      <c r="H419" s="27" t="s">
        <v>157</v>
      </c>
      <c r="I419" s="1" t="s">
        <v>581</v>
      </c>
      <c r="J419" s="35" t="s">
        <v>74</v>
      </c>
      <c r="K419" s="1" t="s">
        <v>59</v>
      </c>
      <c r="L419" s="1" t="s">
        <v>1378</v>
      </c>
      <c r="M419" s="1" t="s">
        <v>1379</v>
      </c>
      <c r="N419" s="1" t="s">
        <v>65</v>
      </c>
      <c r="O419" s="1" t="s">
        <v>106</v>
      </c>
      <c r="Q419" s="1" t="s">
        <v>65</v>
      </c>
      <c r="R419" s="1" t="s">
        <v>87</v>
      </c>
      <c r="U419" s="12" t="n">
        <v>0.244444444444444</v>
      </c>
      <c r="V419" s="11" t="n">
        <v>46209</v>
      </c>
      <c r="W419" s="12" t="n">
        <v>0.927083333333333</v>
      </c>
      <c r="X419" s="11" t="n">
        <v>46210</v>
      </c>
      <c r="Y419" s="12" t="n">
        <v>0.0541666666666667</v>
      </c>
      <c r="Z419" s="1" t="s">
        <v>108</v>
      </c>
      <c r="AA419" s="1" t="s">
        <v>68</v>
      </c>
      <c r="AB419" s="2" t="e">
        <f aca="false">U419-#REF!</f>
        <v>#REF!</v>
      </c>
      <c r="AC419" s="14" t="n">
        <f aca="false">(V419+W419)-(B419+C419)</f>
        <v>4.73194444444444</v>
      </c>
      <c r="AD419" s="4" t="str">
        <f aca="false">INT((V419+W419)-(B419+C419)) &amp; ":" &amp;
TEXT(HOUR((V419+W419)-(B419+C419)), "00") &amp; ":" &amp;
TEXT(MINUTE((V419+W419)-(B419+C419)), "00")</f>
        <v>4:17:34</v>
      </c>
      <c r="AE419" s="1" t="n">
        <f aca="false">IFERROR(
LEFT(AD419,FIND(":",AD419)-1)
+ MID(AD419,FIND(":",AD419)+1,2)/24
+ RIGHT(AD419,2)/1440,
"")</f>
        <v>4.73194444444444</v>
      </c>
      <c r="AF419" s="4" t="str">
        <f aca="false">INT((X419+Y419)-(B419+C419)) &amp; ":" &amp;
TEXT(HOUR((X419+Y419)-(B419+C419)), "00") &amp; ":" &amp;
TEXT(MINUTE((X419+Y419)-(B419+C419)), "00")</f>
        <v>4:20:37</v>
      </c>
      <c r="AG419" s="4" t="str">
        <f aca="false" t="array" ref="AG419:AG419">INT(_xlfn.XLOOKUP(J419,{"Low","Medium","High","Urgent"},{48,24,12,8})/24) &amp; ":" &amp;
TEXT(MOD(_xlfn.XLOOKUP(J419,{"Low","Medium","High","Urgent"},{48,24,12,8}),24)/24,"hh:mm")</f>
        <v>2:00:00</v>
      </c>
      <c r="AH419" s="4" t="str">
        <f aca="false">IF(AD419&gt;AG419,"Not Met","Met")</f>
        <v>Not Met</v>
      </c>
      <c r="AI419" s="4" t="e">
        <f aca="false">IF(AB419&lt;TIME(0,30,0),"Met","Not Met")</f>
        <v>#REF!</v>
      </c>
      <c r="AN419" s="1" t="str">
        <f aca="false">TEXT(B419,"dd")</f>
        <v>02</v>
      </c>
      <c r="AO419" s="1" t="str">
        <f aca="false">TEXT(X419,"dd")</f>
        <v>07</v>
      </c>
      <c r="AP419" s="16" t="str">
        <f aca="false">INT(
  NETWORKDAYS(B419,V419)-1
  + IF(WEEKDAY(V419,2)&lt;6,MOD(V419+W419,1),0)
  - IF(WEEKDAY(B419,2)&lt;6,MOD(B419+C419,1),0)
)
&amp; ":" &amp;
TEXT(HOUR(
  NETWORKDAYS(B419,V419)-1
  + IF(WEEKDAY(V419,2)&lt;6,MOD(V419+W419,1),0)
  - IF(WEEKDAY(B419,2)&lt;6,MOD(B419+C419,1),0)
),"00")
&amp; ":" &amp;
TEXT(MINUTE(
  NETWORKDAYS(B419,V419)-1
  + IF(WEEKDAY(V419,2)&lt;6,MOD(V419+W419,1),0)
  - IF(WEEKDAY(B419,2)&lt;6,MOD(B419+C419,1),0)
),"00")</f>
        <v>2:17:33</v>
      </c>
      <c r="AQ419" s="0" t="n">
        <f aca="false">IFERROR(
LEFT(AP419,FIND(":",AP419)-1)
+ MID(AP419,FIND(":",AP419)+1,2)/24
+ RIGHT(AP419,2)/1440,
"")</f>
        <v>2.73125</v>
      </c>
      <c r="AR419" s="0" t="n">
        <f aca="false">WEEKNUM(B419,1)</f>
        <v>27</v>
      </c>
      <c r="AS419" s="17" t="n">
        <f aca="false">IF(B419&gt;0, (B419+C419)-TIME(13,30,0), "")</f>
        <v>46204.6326388889</v>
      </c>
      <c r="AT419" s="18" t="n">
        <f aca="false">IF(B419&gt;0, (B419+C419)-TIME(13,30,0), "")</f>
        <v>46204.6326388889</v>
      </c>
      <c r="AU419" s="17" t="n">
        <f aca="false">IF(V419&gt;0, (V419+W419)-TIME(13,30,0), "")</f>
        <v>46209.3645833333</v>
      </c>
      <c r="AV419" s="18" t="n">
        <f aca="false">IF(V419&gt;0, (V419+W419)-TIME(13,30,0), "")</f>
        <v>46209.3645833333</v>
      </c>
    </row>
    <row r="420" customFormat="false" ht="15" hidden="false" customHeight="false" outlineLevel="0" collapsed="false">
      <c r="A420" s="1" t="s">
        <v>1381</v>
      </c>
      <c r="B420" s="11" t="n">
        <v>46205</v>
      </c>
      <c r="C420" s="12" t="n">
        <v>0.797222222222222</v>
      </c>
      <c r="D420" s="13" t="str">
        <f aca="false">IF(B420="","",TEXT(B420,"MMM")&amp;"'"&amp;TEXT(B420,"yy"))</f>
        <v>Jul'26</v>
      </c>
      <c r="E420" s="1" t="str">
        <f aca="false">$E$406</f>
        <v>ATS</v>
      </c>
      <c r="F420" s="1" t="s">
        <v>39</v>
      </c>
      <c r="G420" s="1" t="str">
        <f aca="false">IF(F420="Closed","Closed","Pending")</f>
        <v>Closed</v>
      </c>
      <c r="H420" s="55" t="s">
        <v>120</v>
      </c>
      <c r="I420" s="1" t="s">
        <v>677</v>
      </c>
      <c r="J420" s="35" t="s">
        <v>74</v>
      </c>
      <c r="K420" s="1" t="s">
        <v>59</v>
      </c>
      <c r="L420" s="1" t="s">
        <v>1382</v>
      </c>
      <c r="M420" s="1" t="s">
        <v>1383</v>
      </c>
      <c r="N420" s="1" t="s">
        <v>62</v>
      </c>
      <c r="O420" s="1" t="s">
        <v>63</v>
      </c>
      <c r="Q420" s="1" t="s">
        <v>63</v>
      </c>
      <c r="R420" s="1" t="s">
        <v>87</v>
      </c>
      <c r="U420" s="12" t="n">
        <v>0.861805555555556</v>
      </c>
      <c r="V420" s="11" t="n">
        <v>46209</v>
      </c>
      <c r="W420" s="12" t="n">
        <v>0.928472222222222</v>
      </c>
      <c r="X420" s="11" t="n">
        <v>46209</v>
      </c>
      <c r="Y420" s="12" t="n">
        <v>0.936111111111111</v>
      </c>
      <c r="Z420" s="1" t="s">
        <v>67</v>
      </c>
      <c r="AA420" s="1" t="s">
        <v>68</v>
      </c>
      <c r="AB420" s="2" t="e">
        <f aca="false">U420-#REF!</f>
        <v>#REF!</v>
      </c>
      <c r="AC420" s="14" t="n">
        <f aca="false">(V420+W420)-(B420+C420)</f>
        <v>4.13125</v>
      </c>
      <c r="AD420" s="4" t="str">
        <f aca="false">INT((V420+W420)-(B420+C420)) &amp; ":" &amp;
TEXT(HOUR((V420+W420)-(B420+C420)), "00") &amp; ":" &amp;
TEXT(MINUTE((V420+W420)-(B420+C420)), "00")</f>
        <v>4:03:09</v>
      </c>
      <c r="AE420" s="1" t="n">
        <f aca="false">IFERROR(
LEFT(AD420,FIND(":",AD420)-1)
+ MID(AD420,FIND(":",AD420)+1,2)/24
+ RIGHT(AD420,2)/1440,
"")</f>
        <v>4.13125</v>
      </c>
      <c r="AF420" s="4" t="str">
        <f aca="false">INT((X420+Y420)-(B420+C420)) &amp; ":" &amp;
TEXT(HOUR((X420+Y420)-(B420+C420)), "00") &amp; ":" &amp;
TEXT(MINUTE((X420+Y420)-(B420+C420)), "00")</f>
        <v>4:03:20</v>
      </c>
      <c r="AG420" s="4" t="str">
        <f aca="false" t="array" ref="AG420:AG420">INT(_xlfn.XLOOKUP(J420,{"Low","Medium","High","Urgent"},{48,24,12,8})/24) &amp; ":" &amp;
TEXT(MOD(_xlfn.XLOOKUP(J420,{"Low","Medium","High","Urgent"},{48,24,12,8}),24)/24,"hh:mm")</f>
        <v>2:00:00</v>
      </c>
      <c r="AH420" s="4" t="str">
        <f aca="false">IF(AD420&gt;AG420,"Not Met","Met")</f>
        <v>Not Met</v>
      </c>
      <c r="AI420" s="4" t="e">
        <f aca="false">IF(AB420&lt;TIME(0,30,0),"Met","Not Met")</f>
        <v>#REF!</v>
      </c>
      <c r="AN420" s="1" t="str">
        <f aca="false">TEXT(B420,"dd")</f>
        <v>02</v>
      </c>
      <c r="AO420" s="1" t="str">
        <f aca="false">TEXT(X420,"dd")</f>
        <v>06</v>
      </c>
      <c r="AP420" s="16" t="str">
        <f aca="false">INT(
  NETWORKDAYS(B420,V420)-1
  + IF(WEEKDAY(V420,2)&lt;6,MOD(V420+W420,1),0)
  - IF(WEEKDAY(B420,2)&lt;6,MOD(B420+C420,1),0)
)
&amp; ":" &amp;
TEXT(HOUR(
  NETWORKDAYS(B420,V420)-1
  + IF(WEEKDAY(V420,2)&lt;6,MOD(V420+W420,1),0)
  - IF(WEEKDAY(B420,2)&lt;6,MOD(B420+C420,1),0)
),"00")
&amp; ":" &amp;
TEXT(MINUTE(
  NETWORKDAYS(B420,V420)-1
  + IF(WEEKDAY(V420,2)&lt;6,MOD(V420+W420,1),0)
  - IF(WEEKDAY(B420,2)&lt;6,MOD(B420+C420,1),0)
),"00")</f>
        <v>2:03:08</v>
      </c>
      <c r="AQ420" s="0" t="n">
        <f aca="false">IFERROR(
LEFT(AP420,FIND(":",AP420)-1)
+ MID(AP420,FIND(":",AP420)+1,2)/24
+ RIGHT(AP420,2)/1440,
"")</f>
        <v>2.13055555555556</v>
      </c>
      <c r="AR420" s="0" t="n">
        <f aca="false">WEEKNUM(B420,1)</f>
        <v>27</v>
      </c>
      <c r="AS420" s="17" t="n">
        <f aca="false">IF(B420&gt;0, (B420+C420)-TIME(13,30,0), "")</f>
        <v>46205.2347222222</v>
      </c>
      <c r="AT420" s="18" t="n">
        <f aca="false">IF(B420&gt;0, (B420+C420)-TIME(13,30,0), "")</f>
        <v>46205.2347222222</v>
      </c>
      <c r="AU420" s="17" t="n">
        <f aca="false">IF(V420&gt;0, (V420+W420)-TIME(13,30,0), "")</f>
        <v>46209.3659722222</v>
      </c>
      <c r="AV420" s="18" t="n">
        <f aca="false">IF(V420&gt;0, (V420+W420)-TIME(13,30,0), "")</f>
        <v>46209.3659722222</v>
      </c>
    </row>
    <row r="421" customFormat="false" ht="15" hidden="false" customHeight="false" outlineLevel="0" collapsed="false">
      <c r="A421" s="1" t="s">
        <v>1384</v>
      </c>
      <c r="B421" s="11" t="n">
        <v>46205</v>
      </c>
      <c r="C421" s="12" t="n">
        <v>0.875</v>
      </c>
      <c r="D421" s="13" t="str">
        <f aca="false">IF(B421="","",TEXT(B421,"MMM")&amp;"'"&amp;TEXT(B421,"yy"))</f>
        <v>Jul'26</v>
      </c>
      <c r="E421" s="1" t="str">
        <f aca="false">$E$406</f>
        <v>ATS</v>
      </c>
      <c r="F421" s="1" t="s">
        <v>1130</v>
      </c>
      <c r="G421" s="1" t="str">
        <f aca="false">IF(F421="Closed","Closed","Pending")</f>
        <v>Pending</v>
      </c>
      <c r="H421" s="27" t="s">
        <v>72</v>
      </c>
      <c r="I421" s="26" t="s">
        <v>1385</v>
      </c>
      <c r="J421" s="35" t="s">
        <v>74</v>
      </c>
      <c r="K421" s="1" t="s">
        <v>59</v>
      </c>
      <c r="L421" s="1" t="s">
        <v>1386</v>
      </c>
      <c r="M421" s="1" t="s">
        <v>1387</v>
      </c>
      <c r="N421" s="1" t="s">
        <v>65</v>
      </c>
      <c r="O421" s="1" t="s">
        <v>77</v>
      </c>
      <c r="Q421" s="1" t="s">
        <v>65</v>
      </c>
      <c r="R421" s="1" t="s">
        <v>66</v>
      </c>
      <c r="U421" s="25" t="n">
        <v>46209.9833333333</v>
      </c>
      <c r="Z421" s="1" t="s">
        <v>108</v>
      </c>
      <c r="AB421" s="2" t="n">
        <v>0.875</v>
      </c>
      <c r="AC421" s="14" t="n">
        <f aca="false">(V421+W421)-(B421+C421)</f>
        <v>-46205.875</v>
      </c>
      <c r="AD421" s="4" t="str">
        <f aca="false">INT((V421+W421)-(B421+C421)) &amp; ":" &amp;
TEXT(HOUR((V421+W421)-(B421+C421)), "00") &amp; ":" &amp;
TEXT(MINUTE((V421+W421)-(B421+C421)), "00")</f>
        <v>-46206:03:00</v>
      </c>
      <c r="AE421" s="1" t="n">
        <f aca="false">IFERROR(
LEFT(AD421,FIND(":",AD421)-1)
+ MID(AD421,FIND(":",AD421)+1,2)/24
+ RIGHT(AD421,2)/1440,
"")</f>
        <v>-46205.875</v>
      </c>
      <c r="AF421" s="4" t="str">
        <f aca="false">INT((X421+Y421)-(B421+C421)) &amp; ":" &amp;
TEXT(HOUR((X421+Y421)-(B421+C421)), "00") &amp; ":" &amp;
TEXT(MINUTE((X421+Y421)-(B421+C421)), "00")</f>
        <v>-46206:03:00</v>
      </c>
      <c r="AG421" s="4" t="str">
        <f aca="false" t="array" ref="AG421:AG421">INT(_xlfn.XLOOKUP(J421,{"Low","Medium","High","Urgent"},{48,24,12,8})/24) &amp; ":" &amp;
TEXT(MOD(_xlfn.XLOOKUP(J421,{"Low","Medium","High","Urgent"},{48,24,12,8}),24)/24,"hh:mm")</f>
        <v>2:00:00</v>
      </c>
      <c r="AH421" s="4" t="str">
        <f aca="false">IF(AD421&gt;AG421,"Not Met","Met")</f>
        <v>Met</v>
      </c>
      <c r="AI421" s="4" t="str">
        <f aca="false">IF(AB421&lt;TIME(0,30,0),"Met","Not Met")</f>
        <v>Not Met</v>
      </c>
      <c r="AN421" s="1" t="str">
        <f aca="false">TEXT(B421,"dd")</f>
        <v>02</v>
      </c>
      <c r="AO421" s="1" t="str">
        <f aca="false">TEXT(X421,"dd")</f>
        <v>30</v>
      </c>
      <c r="AP421" s="16" t="str">
        <f aca="false">INT(
  NETWORKDAYS(B421,V421)-1
  + IF(WEEKDAY(V421,2)&lt;6,MOD(V421+W421,1),0)
  - IF(WEEKDAY(B421,2)&lt;6,MOD(B421+C421,1),0)
)
&amp; ":" &amp;
TEXT(HOUR(
  NETWORKDAYS(B421,V421)-1
  + IF(WEEKDAY(V421,2)&lt;6,MOD(V421+W421,1),0)
  - IF(WEEKDAY(B421,2)&lt;6,MOD(B421+C421,1),0)
),"00")
&amp; ":" &amp;
TEXT(MINUTE(
  NETWORKDAYS(B421,V421)-1
  + IF(WEEKDAY(V421,2)&lt;6,MOD(V421+W421,1),0)
  - IF(WEEKDAY(B421,2)&lt;6,MOD(B421+C421,1),0)
),"00")</f>
        <v>-33006:03:00</v>
      </c>
      <c r="AQ421" s="0" t="n">
        <f aca="false">IFERROR(
LEFT(AP421,FIND(":",AP421)-1)
+ MID(AP421,FIND(":",AP421)+1,2)/24
+ RIGHT(AP421,2)/1440,
"")</f>
        <v>-33005.875</v>
      </c>
      <c r="AR421" s="0" t="n">
        <f aca="false">WEEKNUM(B421,1)</f>
        <v>27</v>
      </c>
      <c r="AS421" s="17" t="n">
        <f aca="false">IF(B421&gt;0, (B421+C421)-TIME(13,30,0), "")</f>
        <v>46205.3125</v>
      </c>
      <c r="AT421" s="18" t="n">
        <f aca="false">IF(B421&gt;0, (B421+C421)-TIME(13,30,0), "")</f>
        <v>46205.3125</v>
      </c>
      <c r="AU421" s="17" t="str">
        <f aca="false">IF(V421&gt;0, (V421+W421)-TIME(13,30,0), "")</f>
        <v/>
      </c>
      <c r="AV421" s="18" t="str">
        <f aca="false">IF(V421&gt;0, (V421+W421)-TIME(13,30,0), "")</f>
        <v/>
      </c>
    </row>
    <row r="422" customFormat="false" ht="15" hidden="false" customHeight="false" outlineLevel="0" collapsed="false">
      <c r="A422" s="1" t="s">
        <v>1388</v>
      </c>
      <c r="B422" s="11" t="n">
        <v>46206</v>
      </c>
      <c r="C422" s="12" t="n">
        <v>0.115277777777778</v>
      </c>
      <c r="D422" s="13" t="str">
        <f aca="false">IF(B422="","",TEXT(B422,"MMM")&amp;"'"&amp;TEXT(B422,"yy"))</f>
        <v>Jul'26</v>
      </c>
      <c r="E422" s="1" t="str">
        <f aca="false">$E$406</f>
        <v>ATS</v>
      </c>
      <c r="F422" s="1" t="s">
        <v>39</v>
      </c>
      <c r="G422" s="1" t="str">
        <f aca="false">IF(F422="Closed","Closed","Pending")</f>
        <v>Closed</v>
      </c>
      <c r="H422" s="27" t="s">
        <v>81</v>
      </c>
      <c r="I422" s="1" t="s">
        <v>82</v>
      </c>
      <c r="J422" s="35" t="s">
        <v>74</v>
      </c>
      <c r="K422" s="1" t="s">
        <v>59</v>
      </c>
      <c r="L422" s="1" t="s">
        <v>752</v>
      </c>
      <c r="M422" s="1" t="s">
        <v>752</v>
      </c>
      <c r="N422" s="1" t="s">
        <v>65</v>
      </c>
      <c r="O422" s="1" t="s">
        <v>106</v>
      </c>
      <c r="Q422" s="1" t="s">
        <v>65</v>
      </c>
      <c r="R422" s="1" t="s">
        <v>1269</v>
      </c>
      <c r="U422" s="12" t="n">
        <v>0.129166666666667</v>
      </c>
      <c r="V422" s="11" t="n">
        <v>46209</v>
      </c>
      <c r="W422" s="12" t="n">
        <v>0.930555555555556</v>
      </c>
      <c r="X422" s="11" t="n">
        <v>46210</v>
      </c>
      <c r="Y422" s="12" t="n">
        <v>0.943055555555556</v>
      </c>
      <c r="Z422" s="1" t="s">
        <v>237</v>
      </c>
      <c r="AA422" s="1" t="s">
        <v>68</v>
      </c>
      <c r="AB422" s="2" t="e">
        <f aca="false">U422-#REF!</f>
        <v>#REF!</v>
      </c>
      <c r="AC422" s="14" t="n">
        <f aca="false">(V422+W422)-(B422+C422)</f>
        <v>3.81527777777778</v>
      </c>
      <c r="AD422" s="4" t="str">
        <f aca="false">INT((V422+W422)-(B422+C422)) &amp; ":" &amp;
TEXT(HOUR((V422+W422)-(B422+C422)), "00") &amp; ":" &amp;
TEXT(MINUTE((V422+W422)-(B422+C422)), "00")</f>
        <v>3:19:34</v>
      </c>
      <c r="AE422" s="1" t="n">
        <f aca="false">IFERROR(
LEFT(AD422,FIND(":",AD422)-1)
+ MID(AD422,FIND(":",AD422)+1,2)/24
+ RIGHT(AD422,2)/1440,
"")</f>
        <v>3.81527777777778</v>
      </c>
      <c r="AF422" s="4" t="str">
        <f aca="false">INT((X422+Y422)-(B422+C422)) &amp; ":" &amp;
TEXT(HOUR((X422+Y422)-(B422+C422)), "00") &amp; ":" &amp;
TEXT(MINUTE((X422+Y422)-(B422+C422)), "00")</f>
        <v>4:19:52</v>
      </c>
      <c r="AG422" s="4" t="str">
        <f aca="false" t="array" ref="AG422:AG422">INT(_xlfn.XLOOKUP(J422,{"Low","Medium","High","Urgent"},{48,24,12,8})/24) &amp; ":" &amp;
TEXT(MOD(_xlfn.XLOOKUP(J422,{"Low","Medium","High","Urgent"},{48,24,12,8}),24)/24,"hh:mm")</f>
        <v>2:00:00</v>
      </c>
      <c r="AH422" s="4" t="str">
        <f aca="false">IF(AD422&gt;AG422,"Not Met","Met")</f>
        <v>Not Met</v>
      </c>
      <c r="AI422" s="4" t="e">
        <f aca="false">IF(AB422&lt;TIME(0,30,0),"Met","Not Met")</f>
        <v>#REF!</v>
      </c>
      <c r="AN422" s="1" t="str">
        <f aca="false">TEXT(B422,"dd")</f>
        <v>03</v>
      </c>
      <c r="AO422" s="1" t="str">
        <f aca="false">TEXT(X422,"dd")</f>
        <v>07</v>
      </c>
      <c r="AP422" s="16" t="str">
        <f aca="false">INT(
  NETWORKDAYS(B422,V422)-1
  + IF(WEEKDAY(V422,2)&lt;6,MOD(V422+W422,1),0)
  - IF(WEEKDAY(B422,2)&lt;6,MOD(B422+C422,1),0)
)
&amp; ":" &amp;
TEXT(HOUR(
  NETWORKDAYS(B422,V422)-1
  + IF(WEEKDAY(V422,2)&lt;6,MOD(V422+W422,1),0)
  - IF(WEEKDAY(B422,2)&lt;6,MOD(B422+C422,1),0)
),"00")
&amp; ":" &amp;
TEXT(MINUTE(
  NETWORKDAYS(B422,V422)-1
  + IF(WEEKDAY(V422,2)&lt;6,MOD(V422+W422,1),0)
  - IF(WEEKDAY(B422,2)&lt;6,MOD(B422+C422,1),0)
),"00")</f>
        <v>1:19:34</v>
      </c>
      <c r="AQ422" s="0" t="n">
        <f aca="false">IFERROR(
LEFT(AP422,FIND(":",AP422)-1)
+ MID(AP422,FIND(":",AP422)+1,2)/24
+ RIGHT(AP422,2)/1440,
"")</f>
        <v>1.81527777777778</v>
      </c>
      <c r="AR422" s="0" t="n">
        <f aca="false">WEEKNUM(B422,1)</f>
        <v>27</v>
      </c>
      <c r="AS422" s="17" t="n">
        <f aca="false">IF(B422&gt;0, (B422+C422)-TIME(13,30,0), "")</f>
        <v>46205.5527777778</v>
      </c>
      <c r="AT422" s="18" t="n">
        <f aca="false">IF(B422&gt;0, (B422+C422)-TIME(13,30,0), "")</f>
        <v>46205.5527777778</v>
      </c>
      <c r="AU422" s="17" t="n">
        <f aca="false">IF(V422&gt;0, (V422+W422)-TIME(13,30,0), "")</f>
        <v>46209.3680555556</v>
      </c>
      <c r="AV422" s="18" t="n">
        <f aca="false">IF(V422&gt;0, (V422+W422)-TIME(13,30,0), "")</f>
        <v>46209.3680555556</v>
      </c>
    </row>
    <row r="423" customFormat="false" ht="15" hidden="false" customHeight="false" outlineLevel="0" collapsed="false">
      <c r="A423" s="1" t="s">
        <v>1389</v>
      </c>
      <c r="B423" s="11" t="n">
        <v>46206</v>
      </c>
      <c r="C423" s="12" t="n">
        <v>0.759027777777778</v>
      </c>
      <c r="D423" s="13" t="str">
        <f aca="false">IF(B423="","",TEXT(B423,"MMM")&amp;"'"&amp;TEXT(B423,"yy"))</f>
        <v>Jul'26</v>
      </c>
      <c r="E423" s="1" t="str">
        <f aca="false">$E$406</f>
        <v>ATS</v>
      </c>
      <c r="F423" s="1" t="s">
        <v>140</v>
      </c>
      <c r="G423" s="1" t="str">
        <f aca="false">IF(F423="Closed","Closed","Pending")</f>
        <v>Pending</v>
      </c>
      <c r="H423" s="27" t="s">
        <v>120</v>
      </c>
      <c r="I423" s="1" t="s">
        <v>401</v>
      </c>
      <c r="J423" s="35" t="s">
        <v>58</v>
      </c>
      <c r="K423" s="1" t="s">
        <v>59</v>
      </c>
      <c r="L423" s="1" t="s">
        <v>1390</v>
      </c>
      <c r="M423" s="1" t="s">
        <v>1391</v>
      </c>
      <c r="N423" s="1" t="s">
        <v>143</v>
      </c>
      <c r="O423" s="1" t="s">
        <v>143</v>
      </c>
      <c r="Q423" s="1" t="s">
        <v>143</v>
      </c>
      <c r="R423" s="1" t="s">
        <v>66</v>
      </c>
      <c r="U423" s="25" t="n">
        <v>46209.9354166667</v>
      </c>
      <c r="Z423" s="1" t="s">
        <v>67</v>
      </c>
      <c r="AB423" s="2" t="n">
        <v>0.5</v>
      </c>
      <c r="AC423" s="14" t="n">
        <f aca="false">(V423+W423)-(B423+C423)</f>
        <v>-46206.7590277778</v>
      </c>
      <c r="AD423" s="4" t="str">
        <f aca="false">INT((V423+W423)-(B423+C423)) &amp; ":" &amp;
TEXT(HOUR((V423+W423)-(B423+C423)), "00") &amp; ":" &amp;
TEXT(MINUTE((V423+W423)-(B423+C423)), "00")</f>
        <v>-46207:05:47</v>
      </c>
      <c r="AE423" s="1" t="n">
        <f aca="false">IFERROR(
LEFT(AD423,FIND(":",AD423)-1)
+ MID(AD423,FIND(":",AD423)+1,2)/24
+ RIGHT(AD423,2)/1440,
"")</f>
        <v>-46206.7590277778</v>
      </c>
      <c r="AF423" s="4" t="str">
        <f aca="false">INT((X423+Y423)-(B423+C423)) &amp; ":" &amp;
TEXT(HOUR((X423+Y423)-(B423+C423)), "00") &amp; ":" &amp;
TEXT(MINUTE((X423+Y423)-(B423+C423)), "00")</f>
        <v>-46207:05:47</v>
      </c>
      <c r="AG423" s="4" t="str">
        <f aca="false" t="array" ref="AG423:AG423">INT(_xlfn.XLOOKUP(J423,{"Low","Medium","High","Urgent"},{48,24,12,8})/24) &amp; ":" &amp;
TEXT(MOD(_xlfn.XLOOKUP(J423,{"Low","Medium","High","Urgent"},{48,24,12,8}),24)/24,"hh:mm")</f>
        <v>1:00:00</v>
      </c>
      <c r="AH423" s="4" t="str">
        <f aca="false">IF(AD423&gt;AG423,"Not Met","Met")</f>
        <v>Met</v>
      </c>
      <c r="AI423" s="4" t="str">
        <f aca="false">IF(AB423&lt;TIME(0,30,0),"Met","Not Met")</f>
        <v>Not Met</v>
      </c>
      <c r="AN423" s="1" t="str">
        <f aca="false">TEXT(B423,"dd")</f>
        <v>03</v>
      </c>
      <c r="AO423" s="1" t="str">
        <f aca="false">TEXT(X423,"dd")</f>
        <v>30</v>
      </c>
      <c r="AP423" s="16" t="str">
        <f aca="false">INT(
  NETWORKDAYS(B423,V423)-1
  + IF(WEEKDAY(V423,2)&lt;6,MOD(V423+W423,1),0)
  - IF(WEEKDAY(B423,2)&lt;6,MOD(B423+C423,1),0)
)
&amp; ":" &amp;
TEXT(HOUR(
  NETWORKDAYS(B423,V423)-1
  + IF(WEEKDAY(V423,2)&lt;6,MOD(V423+W423,1),0)
  - IF(WEEKDAY(B423,2)&lt;6,MOD(B423+C423,1),0)
),"00")
&amp; ":" &amp;
TEXT(MINUTE(
  NETWORKDAYS(B423,V423)-1
  + IF(WEEKDAY(V423,2)&lt;6,MOD(V423+W423,1),0)
  - IF(WEEKDAY(B423,2)&lt;6,MOD(B423+C423,1),0)
),"00")</f>
        <v>-33007:05:47</v>
      </c>
      <c r="AQ423" s="0" t="n">
        <f aca="false">IFERROR(
LEFT(AP423,FIND(":",AP423)-1)
+ MID(AP423,FIND(":",AP423)+1,2)/24
+ RIGHT(AP423,2)/1440,
"")</f>
        <v>-33006.7590277778</v>
      </c>
      <c r="AR423" s="0" t="n">
        <f aca="false">WEEKNUM(B423,1)</f>
        <v>27</v>
      </c>
      <c r="AS423" s="17" t="n">
        <f aca="false">IF(B423&gt;0, (B423+C423)-TIME(13,30,0), "")</f>
        <v>46206.1965277778</v>
      </c>
      <c r="AT423" s="18" t="n">
        <f aca="false">IF(B423&gt;0, (B423+C423)-TIME(13,30,0), "")</f>
        <v>46206.1965277778</v>
      </c>
      <c r="AU423" s="17" t="str">
        <f aca="false">IF(V423&gt;0, (V423+W423)-TIME(13,30,0), "")</f>
        <v/>
      </c>
      <c r="AV423" s="18" t="str">
        <f aca="false">IF(V423&gt;0, (V423+W423)-TIME(13,30,0), "")</f>
        <v/>
      </c>
    </row>
    <row r="424" customFormat="false" ht="15" hidden="false" customHeight="false" outlineLevel="0" collapsed="false">
      <c r="A424" s="1" t="s">
        <v>1392</v>
      </c>
      <c r="B424" s="11" t="n">
        <v>46210</v>
      </c>
      <c r="C424" s="12" t="n">
        <v>0.1875</v>
      </c>
      <c r="D424" s="13" t="str">
        <f aca="false">IF(B424="","",TEXT(B424,"MMM")&amp;"'"&amp;TEXT(B424,"yy"))</f>
        <v>Jul'26</v>
      </c>
      <c r="E424" s="1" t="str">
        <f aca="false">$E$406</f>
        <v>ATS</v>
      </c>
      <c r="F424" s="1" t="s">
        <v>140</v>
      </c>
      <c r="G424" s="1" t="str">
        <f aca="false">IF(F424="Closed","Closed","Pending")</f>
        <v>Pending</v>
      </c>
      <c r="H424" s="27" t="s">
        <v>72</v>
      </c>
      <c r="I424" s="1" t="s">
        <v>323</v>
      </c>
      <c r="J424" s="35" t="s">
        <v>58</v>
      </c>
      <c r="K424" s="1" t="s">
        <v>59</v>
      </c>
      <c r="L424" s="23" t="s">
        <v>1393</v>
      </c>
      <c r="M424" s="1" t="s">
        <v>1394</v>
      </c>
      <c r="N424" s="1" t="s">
        <v>62</v>
      </c>
      <c r="O424" s="1" t="s">
        <v>63</v>
      </c>
      <c r="Q424" s="1" t="s">
        <v>63</v>
      </c>
      <c r="R424" s="1" t="s">
        <v>87</v>
      </c>
      <c r="U424" s="12" t="n">
        <v>0.893055555555556</v>
      </c>
      <c r="Z424" s="1" t="s">
        <v>108</v>
      </c>
      <c r="AB424" s="2" t="e">
        <f aca="false">U424-#REF!</f>
        <v>#REF!</v>
      </c>
      <c r="AC424" s="14" t="n">
        <f aca="false">(V424+W424)-(B424+C424)</f>
        <v>-46210.1875</v>
      </c>
      <c r="AD424" s="4" t="str">
        <f aca="false">INT((V424+W424)-(B424+C424)) &amp; ":" &amp;
TEXT(HOUR((V424+W424)-(B424+C424)), "00") &amp; ":" &amp;
TEXT(MINUTE((V424+W424)-(B424+C424)), "00")</f>
        <v>-46211:19:30</v>
      </c>
      <c r="AE424" s="1" t="n">
        <f aca="false">IFERROR(
LEFT(AD424,FIND(":",AD424)-1)
+ MID(AD424,FIND(":",AD424)+1,2)/24
+ RIGHT(AD424,2)/1440,
"")</f>
        <v>-46210.1875</v>
      </c>
      <c r="AF424" s="4" t="str">
        <f aca="false">INT((X424+Y424)-(B424+C424)) &amp; ":" &amp;
TEXT(HOUR((X424+Y424)-(B424+C424)), "00") &amp; ":" &amp;
TEXT(MINUTE((X424+Y424)-(B424+C424)), "00")</f>
        <v>-46211:19:30</v>
      </c>
      <c r="AG424" s="4" t="str">
        <f aca="false" t="array" ref="AG424:AG424">INT(_xlfn.XLOOKUP(J424,{"Low","Medium","High","Urgent"},{48,24,12,8})/24) &amp; ":" &amp;
TEXT(MOD(_xlfn.XLOOKUP(J424,{"Low","Medium","High","Urgent"},{48,24,12,8}),24)/24,"hh:mm")</f>
        <v>1:00:00</v>
      </c>
      <c r="AH424" s="4" t="str">
        <f aca="false">IF(AD424&gt;AG424,"Not Met","Met")</f>
        <v>Met</v>
      </c>
      <c r="AI424" s="4" t="e">
        <f aca="false">IF(AB424&lt;TIME(0,30,0),"Met","Not Met")</f>
        <v>#REF!</v>
      </c>
      <c r="AN424" s="1" t="str">
        <f aca="false">TEXT(B424,"dd")</f>
        <v>07</v>
      </c>
      <c r="AO424" s="1" t="str">
        <f aca="false">TEXT(X424,"dd")</f>
        <v>30</v>
      </c>
      <c r="AP424" s="16" t="str">
        <f aca="false">INT(
  NETWORKDAYS(B424,V424)-1
  + IF(WEEKDAY(V424,2)&lt;6,MOD(V424+W424,1),0)
  - IF(WEEKDAY(B424,2)&lt;6,MOD(B424+C424,1),0)
)
&amp; ":" &amp;
TEXT(HOUR(
  NETWORKDAYS(B424,V424)-1
  + IF(WEEKDAY(V424,2)&lt;6,MOD(V424+W424,1),0)
  - IF(WEEKDAY(B424,2)&lt;6,MOD(B424+C424,1),0)
),"00")
&amp; ":" &amp;
TEXT(MINUTE(
  NETWORKDAYS(B424,V424)-1
  + IF(WEEKDAY(V424,2)&lt;6,MOD(V424+W424,1),0)
  - IF(WEEKDAY(B424,2)&lt;6,MOD(B424+C424,1),0)
),"00")</f>
        <v>-33009:19:30</v>
      </c>
      <c r="AQ424" s="0" t="n">
        <f aca="false">IFERROR(
LEFT(AP424,FIND(":",AP424)-1)
+ MID(AP424,FIND(":",AP424)+1,2)/24
+ RIGHT(AP424,2)/1440,
"")</f>
        <v>-33008.1875</v>
      </c>
      <c r="AR424" s="0" t="n">
        <f aca="false">WEEKNUM(B424,1)</f>
        <v>28</v>
      </c>
      <c r="AS424" s="17" t="n">
        <f aca="false">IF(B424&gt;0, (B424+C424)-TIME(13,30,0), "")</f>
        <v>46209.625</v>
      </c>
      <c r="AT424" s="18" t="n">
        <f aca="false">IF(B424&gt;0, (B424+C424)-TIME(13,30,0), "")</f>
        <v>46209.625</v>
      </c>
      <c r="AU424" s="17" t="str">
        <f aca="false">IF(V424&gt;0, (V424+W424)-TIME(13,30,0), "")</f>
        <v/>
      </c>
      <c r="AV424" s="18" t="str">
        <f aca="false">IF(V424&gt;0, (V424+W424)-TIME(13,30,0), "")</f>
        <v/>
      </c>
    </row>
    <row r="425" customFormat="false" ht="15" hidden="false" customHeight="false" outlineLevel="0" collapsed="false">
      <c r="A425" s="1" t="s">
        <v>1395</v>
      </c>
      <c r="B425" s="11" t="n">
        <v>46210</v>
      </c>
      <c r="C425" s="12" t="n">
        <v>0.91875</v>
      </c>
      <c r="D425" s="13" t="str">
        <f aca="false">IF(B425="","",TEXT(B425,"MMM")&amp;"'"&amp;TEXT(B425,"yy"))</f>
        <v>Jul'26</v>
      </c>
      <c r="E425" s="1" t="str">
        <f aca="false">$E$406</f>
        <v>ATS</v>
      </c>
      <c r="F425" s="1" t="s">
        <v>140</v>
      </c>
      <c r="G425" s="1" t="str">
        <f aca="false">IF(F425="Closed","Closed","Pending")</f>
        <v>Pending</v>
      </c>
      <c r="H425" s="1" t="s">
        <v>72</v>
      </c>
      <c r="I425" s="1" t="s">
        <v>73</v>
      </c>
      <c r="J425" s="1" t="s">
        <v>74</v>
      </c>
      <c r="K425" s="1" t="s">
        <v>59</v>
      </c>
      <c r="L425" s="1" t="s">
        <v>1396</v>
      </c>
      <c r="M425" s="1" t="s">
        <v>1397</v>
      </c>
      <c r="N425" s="1" t="s">
        <v>62</v>
      </c>
      <c r="O425" s="1" t="s">
        <v>63</v>
      </c>
      <c r="Q425" s="1" t="s">
        <v>63</v>
      </c>
      <c r="R425" s="1" t="s">
        <v>87</v>
      </c>
      <c r="U425" s="12" t="n">
        <v>0.928472222222222</v>
      </c>
      <c r="Z425" s="1" t="s">
        <v>67</v>
      </c>
      <c r="AB425" s="2" t="e">
        <f aca="false">U425-#REF!</f>
        <v>#REF!</v>
      </c>
      <c r="AC425" s="14" t="n">
        <f aca="false">(V425+W425)-(B425+C425)</f>
        <v>-46210.91875</v>
      </c>
      <c r="AD425" s="4" t="str">
        <f aca="false">INT((V425+W425)-(B425+C425)) &amp; ":" &amp;
TEXT(HOUR((V425+W425)-(B425+C425)), "00") &amp; ":" &amp;
TEXT(MINUTE((V425+W425)-(B425+C425)), "00")</f>
        <v>-46211:01:57</v>
      </c>
      <c r="AE425" s="1" t="n">
        <f aca="false">IFERROR(
LEFT(AD425,FIND(":",AD425)-1)
+ MID(AD425,FIND(":",AD425)+1,2)/24
+ RIGHT(AD425,2)/1440,
"")</f>
        <v>-46210.91875</v>
      </c>
      <c r="AF425" s="4" t="str">
        <f aca="false">INT((X425+Y425)-(B425+C425)) &amp; ":" &amp;
TEXT(HOUR((X425+Y425)-(B425+C425)), "00") &amp; ":" &amp;
TEXT(MINUTE((X425+Y425)-(B425+C425)), "00")</f>
        <v>-46211:01:57</v>
      </c>
      <c r="AG425" s="4" t="str">
        <f aca="false" t="array" ref="AG425:AG425">INT(_xlfn.XLOOKUP(J425,{"Low","Medium","High","Urgent"},{48,24,12,8})/24) &amp; ":" &amp;
TEXT(MOD(_xlfn.XLOOKUP(J425,{"Low","Medium","High","Urgent"},{48,24,12,8}),24)/24,"hh:mm")</f>
        <v>2:00:00</v>
      </c>
      <c r="AH425" s="4" t="str">
        <f aca="false">IF(AD425&gt;AG425,"Not Met","Met")</f>
        <v>Met</v>
      </c>
      <c r="AI425" s="4" t="e">
        <f aca="false">IF(AB425&lt;TIME(0,30,0),"Met","Not Met")</f>
        <v>#REF!</v>
      </c>
      <c r="AN425" s="1" t="str">
        <f aca="false">TEXT(B425,"dd")</f>
        <v>07</v>
      </c>
      <c r="AO425" s="1" t="str">
        <f aca="false">TEXT(X425,"dd")</f>
        <v>30</v>
      </c>
      <c r="AP425" s="16" t="str">
        <f aca="false">INT(
  NETWORKDAYS(B425,V425)-1
  + IF(WEEKDAY(V425,2)&lt;6,MOD(V425+W425,1),0)
  - IF(WEEKDAY(B425,2)&lt;6,MOD(B425+C425,1),0)
)
&amp; ":" &amp;
TEXT(HOUR(
  NETWORKDAYS(B425,V425)-1
  + IF(WEEKDAY(V425,2)&lt;6,MOD(V425+W425,1),0)
  - IF(WEEKDAY(B425,2)&lt;6,MOD(B425+C425,1),0)
),"00")
&amp; ":" &amp;
TEXT(MINUTE(
  NETWORKDAYS(B425,V425)-1
  + IF(WEEKDAY(V425,2)&lt;6,MOD(V425+W425,1),0)
  - IF(WEEKDAY(B425,2)&lt;6,MOD(B425+C425,1),0)
),"00")</f>
        <v>-33009:01:57</v>
      </c>
      <c r="AQ425" s="0" t="n">
        <f aca="false">IFERROR(
LEFT(AP425,FIND(":",AP425)-1)
+ MID(AP425,FIND(":",AP425)+1,2)/24
+ RIGHT(AP425,2)/1440,
"")</f>
        <v>-33008.91875</v>
      </c>
      <c r="AR425" s="0" t="n">
        <f aca="false">WEEKNUM(B425,1)</f>
        <v>28</v>
      </c>
      <c r="AS425" s="17" t="n">
        <f aca="false">IF(B425&gt;0, (B425+C425)-TIME(13,30,0), "")</f>
        <v>46210.35625</v>
      </c>
      <c r="AT425" s="18" t="n">
        <f aca="false">IF(B425&gt;0, (B425+C425)-TIME(13,30,0), "")</f>
        <v>46210.35625</v>
      </c>
      <c r="AU425" s="17" t="str">
        <f aca="false">IF(V425&gt;0, (V425+W425)-TIME(13,30,0), "")</f>
        <v/>
      </c>
      <c r="AV425" s="18" t="str">
        <f aca="false">IF(V425&gt;0, (V425+W425)-TIME(13,30,0), "")</f>
        <v/>
      </c>
    </row>
    <row r="426" customFormat="false" ht="15" hidden="false" customHeight="false" outlineLevel="0" collapsed="false">
      <c r="A426" s="1" t="s">
        <v>1398</v>
      </c>
      <c r="B426" s="11" t="n">
        <v>46211</v>
      </c>
      <c r="C426" s="12" t="n">
        <v>0.00902777777777778</v>
      </c>
      <c r="D426" s="13" t="str">
        <f aca="false">IF(B426="","",TEXT(B426,"MMM")&amp;"'"&amp;TEXT(B426,"yy"))</f>
        <v>Jul'26</v>
      </c>
      <c r="E426" s="1" t="str">
        <f aca="false">$E$406</f>
        <v>ATS</v>
      </c>
      <c r="F426" s="1" t="s">
        <v>140</v>
      </c>
      <c r="G426" s="1" t="str">
        <f aca="false">IF(F426="Closed","Closed","Pending")</f>
        <v>Pending</v>
      </c>
      <c r="H426" s="27" t="s">
        <v>72</v>
      </c>
      <c r="I426" s="1" t="s">
        <v>323</v>
      </c>
      <c r="J426" s="1" t="s">
        <v>58</v>
      </c>
      <c r="K426" s="1" t="s">
        <v>59</v>
      </c>
      <c r="L426" s="1" t="s">
        <v>1399</v>
      </c>
      <c r="M426" s="1" t="s">
        <v>1400</v>
      </c>
      <c r="N426" s="1" t="s">
        <v>62</v>
      </c>
      <c r="O426" s="1" t="s">
        <v>63</v>
      </c>
      <c r="Q426" s="1" t="s">
        <v>63</v>
      </c>
      <c r="R426" s="1" t="s">
        <v>66</v>
      </c>
      <c r="U426" s="12" t="n">
        <v>0.115972222222222</v>
      </c>
      <c r="Z426" s="1" t="s">
        <v>108</v>
      </c>
      <c r="AB426" s="2" t="e">
        <f aca="false">U426-#REF!</f>
        <v>#REF!</v>
      </c>
      <c r="AC426" s="14" t="n">
        <f aca="false">(V426+W426)-(B426+C426)</f>
        <v>-46211.0090277778</v>
      </c>
      <c r="AD426" s="4" t="str">
        <f aca="false">INT((V426+W426)-(B426+C426)) &amp; ":" &amp;
TEXT(HOUR((V426+W426)-(B426+C426)), "00") &amp; ":" &amp;
TEXT(MINUTE((V426+W426)-(B426+C426)), "00")</f>
        <v>-46212:23:47</v>
      </c>
      <c r="AE426" s="1" t="n">
        <f aca="false">IFERROR(
LEFT(AD426,FIND(":",AD426)-1)
+ MID(AD426,FIND(":",AD426)+1,2)/24
+ RIGHT(AD426,2)/1440,
"")</f>
        <v>-46211.0090277778</v>
      </c>
      <c r="AF426" s="4" t="str">
        <f aca="false">INT((X426+Y426)-(B426+C426)) &amp; ":" &amp;
TEXT(HOUR((X426+Y426)-(B426+C426)), "00") &amp; ":" &amp;
TEXT(MINUTE((X426+Y426)-(B426+C426)), "00")</f>
        <v>-46212:23:47</v>
      </c>
      <c r="AG426" s="4" t="str">
        <f aca="false" t="array" ref="AG426:AG426">INT(_xlfn.XLOOKUP(J426,{"Low","Medium","High","Urgent"},{48,24,12,8})/24) &amp; ":" &amp;
TEXT(MOD(_xlfn.XLOOKUP(J426,{"Low","Medium","High","Urgent"},{48,24,12,8}),24)/24,"hh:mm")</f>
        <v>1:00:00</v>
      </c>
      <c r="AH426" s="4" t="str">
        <f aca="false">IF(AD426&gt;AG426,"Not Met","Met")</f>
        <v>Met</v>
      </c>
      <c r="AI426" s="4" t="e">
        <f aca="false">IF(AB426&lt;TIME(0,30,0),"Met","Not Met")</f>
        <v>#REF!</v>
      </c>
      <c r="AN426" s="1" t="str">
        <f aca="false">TEXT(B426,"dd")</f>
        <v>08</v>
      </c>
      <c r="AO426" s="1" t="str">
        <f aca="false">TEXT(X426,"dd")</f>
        <v>30</v>
      </c>
      <c r="AP426" s="16" t="str">
        <f aca="false">INT(
  NETWORKDAYS(B426,V426)-1
  + IF(WEEKDAY(V426,2)&lt;6,MOD(V426+W426,1),0)
  - IF(WEEKDAY(B426,2)&lt;6,MOD(B426+C426,1),0)
)
&amp; ":" &amp;
TEXT(HOUR(
  NETWORKDAYS(B426,V426)-1
  + IF(WEEKDAY(V426,2)&lt;6,MOD(V426+W426,1),0)
  - IF(WEEKDAY(B426,2)&lt;6,MOD(B426+C426,1),0)
),"00")
&amp; ":" &amp;
TEXT(MINUTE(
  NETWORKDAYS(B426,V426)-1
  + IF(WEEKDAY(V426,2)&lt;6,MOD(V426+W426,1),0)
  - IF(WEEKDAY(B426,2)&lt;6,MOD(B426+C426,1),0)
),"00")</f>
        <v>-33010:23:47</v>
      </c>
      <c r="AQ426" s="0" t="n">
        <f aca="false">IFERROR(
LEFT(AP426,FIND(":",AP426)-1)
+ MID(AP426,FIND(":",AP426)+1,2)/24
+ RIGHT(AP426,2)/1440,
"")</f>
        <v>-33009.0090277778</v>
      </c>
      <c r="AR426" s="0" t="n">
        <f aca="false">WEEKNUM(B426,1)</f>
        <v>28</v>
      </c>
      <c r="AS426" s="17" t="n">
        <f aca="false">IF(B426&gt;0, (B426+C426)-TIME(13,30,0), "")</f>
        <v>46210.4465277778</v>
      </c>
      <c r="AT426" s="18" t="n">
        <f aca="false">IF(B426&gt;0, (B426+C426)-TIME(13,30,0), "")</f>
        <v>46210.4465277778</v>
      </c>
      <c r="AU426" s="17" t="str">
        <f aca="false">IF(V426&gt;0, (V426+W426)-TIME(13,30,0), "")</f>
        <v/>
      </c>
      <c r="AV426" s="18" t="str">
        <f aca="false">IF(V426&gt;0, (V426+W426)-TIME(13,30,0), "")</f>
        <v/>
      </c>
    </row>
    <row r="427" customFormat="false" ht="15" hidden="false" customHeight="false" outlineLevel="0" collapsed="false">
      <c r="A427" s="1" t="s">
        <v>1401</v>
      </c>
      <c r="B427" s="11" t="n">
        <v>46211</v>
      </c>
      <c r="C427" s="12" t="n">
        <v>0.0222222222222222</v>
      </c>
      <c r="D427" s="13" t="str">
        <f aca="false">IF(B427="","",TEXT(B427,"MMM")&amp;"'"&amp;TEXT(B427,"yy"))</f>
        <v>Jul'26</v>
      </c>
      <c r="E427" s="1" t="str">
        <f aca="false">$E$406</f>
        <v>ATS</v>
      </c>
      <c r="F427" s="1" t="s">
        <v>1130</v>
      </c>
      <c r="G427" s="1" t="str">
        <f aca="false">IF(F427="Closed","Closed","Pending")</f>
        <v>Pending</v>
      </c>
      <c r="H427" s="27" t="s">
        <v>81</v>
      </c>
      <c r="I427" s="26" t="s">
        <v>82</v>
      </c>
      <c r="J427" s="1" t="s">
        <v>74</v>
      </c>
      <c r="K427" s="1" t="s">
        <v>59</v>
      </c>
      <c r="L427" s="1" t="s">
        <v>1402</v>
      </c>
      <c r="M427" s="1" t="s">
        <v>1403</v>
      </c>
      <c r="N427" s="1" t="s">
        <v>65</v>
      </c>
      <c r="O427" s="1" t="s">
        <v>77</v>
      </c>
      <c r="Q427" s="1" t="s">
        <v>65</v>
      </c>
      <c r="R427" s="1" t="s">
        <v>66</v>
      </c>
      <c r="U427" s="12" t="n">
        <v>0.115972222222222</v>
      </c>
      <c r="Z427" s="1" t="s">
        <v>108</v>
      </c>
      <c r="AB427" s="2" t="e">
        <f aca="false">U427-#REF!</f>
        <v>#REF!</v>
      </c>
      <c r="AC427" s="14" t="n">
        <f aca="false">(V427+W427)-(B427+C427)</f>
        <v>-46211.0222222222</v>
      </c>
      <c r="AD427" s="4" t="str">
        <f aca="false">INT((V427+W427)-(B427+C427)) &amp; ":" &amp;
TEXT(HOUR((V427+W427)-(B427+C427)), "00") &amp; ":" &amp;
TEXT(MINUTE((V427+W427)-(B427+C427)), "00")</f>
        <v>-46212:23:28</v>
      </c>
      <c r="AE427" s="1" t="n">
        <f aca="false">IFERROR(
LEFT(AD427,FIND(":",AD427)-1)
+ MID(AD427,FIND(":",AD427)+1,2)/24
+ RIGHT(AD427,2)/1440,
"")</f>
        <v>-46211.0222222222</v>
      </c>
      <c r="AF427" s="4" t="str">
        <f aca="false">INT((X427+Y427)-(B427+C427)) &amp; ":" &amp;
TEXT(HOUR((X427+Y427)-(B427+C427)), "00") &amp; ":" &amp;
TEXT(MINUTE((X427+Y427)-(B427+C427)), "00")</f>
        <v>-46212:23:28</v>
      </c>
      <c r="AG427" s="4" t="str">
        <f aca="false" t="array" ref="AG427:AG427">INT(_xlfn.XLOOKUP(J427,{"Low","Medium","High","Urgent"},{48,24,12,8})/24) &amp; ":" &amp;
TEXT(MOD(_xlfn.XLOOKUP(J427,{"Low","Medium","High","Urgent"},{48,24,12,8}),24)/24,"hh:mm")</f>
        <v>2:00:00</v>
      </c>
      <c r="AH427" s="4" t="str">
        <f aca="false">IF(AD427&gt;AG427,"Not Met","Met")</f>
        <v>Met</v>
      </c>
      <c r="AI427" s="4" t="e">
        <f aca="false">IF(AB427&lt;TIME(0,30,0),"Met","Not Met")</f>
        <v>#REF!</v>
      </c>
      <c r="AN427" s="1" t="str">
        <f aca="false">TEXT(B427,"dd")</f>
        <v>08</v>
      </c>
      <c r="AO427" s="1" t="str">
        <f aca="false">TEXT(X427,"dd")</f>
        <v>30</v>
      </c>
      <c r="AP427" s="16" t="str">
        <f aca="false">INT(
  NETWORKDAYS(B427,V427)-1
  + IF(WEEKDAY(V427,2)&lt;6,MOD(V427+W427,1),0)
  - IF(WEEKDAY(B427,2)&lt;6,MOD(B427+C427,1),0)
)
&amp; ":" &amp;
TEXT(HOUR(
  NETWORKDAYS(B427,V427)-1
  + IF(WEEKDAY(V427,2)&lt;6,MOD(V427+W427,1),0)
  - IF(WEEKDAY(B427,2)&lt;6,MOD(B427+C427,1),0)
),"00")
&amp; ":" &amp;
TEXT(MINUTE(
  NETWORKDAYS(B427,V427)-1
  + IF(WEEKDAY(V427,2)&lt;6,MOD(V427+W427,1),0)
  - IF(WEEKDAY(B427,2)&lt;6,MOD(B427+C427,1),0)
),"00")</f>
        <v>-33010:23:28</v>
      </c>
      <c r="AQ427" s="0" t="n">
        <f aca="false">IFERROR(
LEFT(AP427,FIND(":",AP427)-1)
+ MID(AP427,FIND(":",AP427)+1,2)/24
+ RIGHT(AP427,2)/1440,
"")</f>
        <v>-33009.0222222222</v>
      </c>
      <c r="AR427" s="0" t="n">
        <f aca="false">WEEKNUM(B427,1)</f>
        <v>28</v>
      </c>
      <c r="AS427" s="17" t="n">
        <f aca="false">IF(B427&gt;0, (B427+C427)-TIME(13,30,0), "")</f>
        <v>46210.4597222222</v>
      </c>
      <c r="AT427" s="18" t="n">
        <f aca="false">IF(B427&gt;0, (B427+C427)-TIME(13,30,0), "")</f>
        <v>46210.4597222222</v>
      </c>
      <c r="AU427" s="17" t="str">
        <f aca="false">IF(V427&gt;0, (V427+W427)-TIME(13,30,0), "")</f>
        <v/>
      </c>
      <c r="AV427" s="18" t="str">
        <f aca="false">IF(V427&gt;0, (V427+W427)-TIME(13,30,0), "")</f>
        <v/>
      </c>
    </row>
    <row r="428" customFormat="false" ht="15" hidden="false" customHeight="false" outlineLevel="0" collapsed="false">
      <c r="A428" s="1" t="s">
        <v>1404</v>
      </c>
      <c r="B428" s="11" t="n">
        <v>46211</v>
      </c>
      <c r="C428" s="12" t="n">
        <v>0.0666666666666667</v>
      </c>
      <c r="D428" s="13" t="str">
        <f aca="false">IF(B428="","",TEXT(B428,"MMM")&amp;"'"&amp;TEXT(B428,"yy"))</f>
        <v>Jul'26</v>
      </c>
      <c r="E428" s="1" t="str">
        <f aca="false">$E$406</f>
        <v>ATS</v>
      </c>
      <c r="F428" s="1" t="s">
        <v>39</v>
      </c>
      <c r="G428" s="1" t="str">
        <f aca="false">IF(F428="Closed","Closed","Pending")</f>
        <v>Closed</v>
      </c>
      <c r="H428" s="27" t="s">
        <v>81</v>
      </c>
      <c r="I428" s="1" t="s">
        <v>82</v>
      </c>
      <c r="J428" s="35" t="s">
        <v>74</v>
      </c>
      <c r="K428" s="1" t="s">
        <v>59</v>
      </c>
      <c r="L428" s="1" t="s">
        <v>1210</v>
      </c>
      <c r="M428" s="1" t="s">
        <v>752</v>
      </c>
      <c r="N428" s="1" t="s">
        <v>65</v>
      </c>
      <c r="O428" s="1" t="s">
        <v>106</v>
      </c>
      <c r="Q428" s="1" t="s">
        <v>65</v>
      </c>
      <c r="R428" s="1" t="s">
        <v>1269</v>
      </c>
      <c r="U428" s="12" t="n">
        <v>0.116666666666667</v>
      </c>
      <c r="V428" s="11" t="n">
        <v>46212</v>
      </c>
      <c r="W428" s="12" t="n">
        <v>0.909722222222222</v>
      </c>
      <c r="X428" s="11" t="n">
        <v>46212</v>
      </c>
      <c r="Y428" s="12" t="n">
        <v>0.917361111111111</v>
      </c>
      <c r="Z428" s="1" t="s">
        <v>108</v>
      </c>
      <c r="AA428" s="1" t="s">
        <v>68</v>
      </c>
      <c r="AB428" s="2" t="e">
        <f aca="false">U428-#REF!</f>
        <v>#REF!</v>
      </c>
      <c r="AC428" s="14" t="n">
        <f aca="false">(V428+W428)-(B428+C428)</f>
        <v>1.84305555555556</v>
      </c>
      <c r="AD428" s="4" t="str">
        <f aca="false">INT((V428+W428)-(B428+C428)) &amp; ":" &amp;
TEXT(HOUR((V428+W428)-(B428+C428)), "00") &amp; ":" &amp;
TEXT(MINUTE((V428+W428)-(B428+C428)), "00")</f>
        <v>1:20:14</v>
      </c>
      <c r="AE428" s="1" t="n">
        <f aca="false">IFERROR(
LEFT(AD428,FIND(":",AD428)-1)
+ MID(AD428,FIND(":",AD428)+1,2)/24
+ RIGHT(AD428,2)/1440,
"")</f>
        <v>1.84305555555556</v>
      </c>
      <c r="AF428" s="4" t="str">
        <f aca="false">INT((X428+Y428)-(B428+C428)) &amp; ":" &amp;
TEXT(HOUR((X428+Y428)-(B428+C428)), "00") &amp; ":" &amp;
TEXT(MINUTE((X428+Y428)-(B428+C428)), "00")</f>
        <v>1:20:25</v>
      </c>
      <c r="AG428" s="4" t="str">
        <f aca="false" t="array" ref="AG428:AG428">INT(_xlfn.XLOOKUP(J428,{"Low","Medium","High","Urgent"},{48,24,12,8})/24) &amp; ":" &amp;
TEXT(MOD(_xlfn.XLOOKUP(J428,{"Low","Medium","High","Urgent"},{48,24,12,8}),24)/24,"hh:mm")</f>
        <v>2:00:00</v>
      </c>
      <c r="AH428" s="4" t="str">
        <f aca="false">IF(AD428&gt;AG428,"Not Met","Met")</f>
        <v>Met</v>
      </c>
      <c r="AI428" s="4" t="e">
        <f aca="false">IF(AB428&lt;TIME(0,30,0),"Met","Not Met")</f>
        <v>#REF!</v>
      </c>
      <c r="AN428" s="1" t="str">
        <f aca="false">TEXT(B428,"dd")</f>
        <v>08</v>
      </c>
      <c r="AO428" s="1" t="str">
        <f aca="false">TEXT(X428,"dd")</f>
        <v>09</v>
      </c>
      <c r="AP428" s="16" t="str">
        <f aca="false">INT(
  NETWORKDAYS(B428,V428)-1
  + IF(WEEKDAY(V428,2)&lt;6,MOD(V428+W428,1),0)
  - IF(WEEKDAY(B428,2)&lt;6,MOD(B428+C428,1),0)
)
&amp; ":" &amp;
TEXT(HOUR(
  NETWORKDAYS(B428,V428)-1
  + IF(WEEKDAY(V428,2)&lt;6,MOD(V428+W428,1),0)
  - IF(WEEKDAY(B428,2)&lt;6,MOD(B428+C428,1),0)
),"00")
&amp; ":" &amp;
TEXT(MINUTE(
  NETWORKDAYS(B428,V428)-1
  + IF(WEEKDAY(V428,2)&lt;6,MOD(V428+W428,1),0)
  - IF(WEEKDAY(B428,2)&lt;6,MOD(B428+C428,1),0)
),"00")</f>
        <v>1:20:13</v>
      </c>
      <c r="AQ428" s="0" t="n">
        <f aca="false">IFERROR(
LEFT(AP428,FIND(":",AP428)-1)
+ MID(AP428,FIND(":",AP428)+1,2)/24
+ RIGHT(AP428,2)/1440,
"")</f>
        <v>1.84236111111111</v>
      </c>
      <c r="AR428" s="0" t="n">
        <f aca="false">WEEKNUM(B428,1)</f>
        <v>28</v>
      </c>
      <c r="AS428" s="17" t="n">
        <f aca="false">IF(B428&gt;0, (B428+C428)-TIME(13,30,0), "")</f>
        <v>46210.5041666667</v>
      </c>
      <c r="AT428" s="18" t="n">
        <f aca="false">IF(B428&gt;0, (B428+C428)-TIME(13,30,0), "")</f>
        <v>46210.5041666667</v>
      </c>
      <c r="AU428" s="17" t="n">
        <f aca="false">IF(V428&gt;0, (V428+W428)-TIME(13,30,0), "")</f>
        <v>46212.3472222222</v>
      </c>
      <c r="AV428" s="18" t="n">
        <f aca="false">IF(V428&gt;0, (V428+W428)-TIME(13,30,0), "")</f>
        <v>46212.3472222222</v>
      </c>
    </row>
    <row r="429" customFormat="false" ht="15" hidden="false" customHeight="false" outlineLevel="0" collapsed="false">
      <c r="A429" s="1" t="s">
        <v>1405</v>
      </c>
      <c r="B429" s="11" t="n">
        <v>46212</v>
      </c>
      <c r="C429" s="12" t="n">
        <v>0.01875</v>
      </c>
      <c r="D429" s="13" t="str">
        <f aca="false">IF(B429="","",TEXT(B429,"MMM")&amp;"'"&amp;TEXT(B429,"yy"))</f>
        <v>Jul'26</v>
      </c>
      <c r="E429" s="1" t="str">
        <f aca="false">$E$406</f>
        <v>ATS</v>
      </c>
      <c r="F429" s="1" t="s">
        <v>39</v>
      </c>
      <c r="G429" s="1" t="str">
        <f aca="false">IF(F429="Closed","Closed","Pending")</f>
        <v>Closed</v>
      </c>
      <c r="H429" s="27" t="s">
        <v>72</v>
      </c>
      <c r="I429" s="1" t="s">
        <v>1406</v>
      </c>
      <c r="J429" s="35" t="s">
        <v>74</v>
      </c>
      <c r="K429" s="1" t="s">
        <v>59</v>
      </c>
      <c r="L429" s="1" t="s">
        <v>1407</v>
      </c>
      <c r="M429" s="1" t="s">
        <v>1408</v>
      </c>
      <c r="N429" s="1" t="s">
        <v>62</v>
      </c>
      <c r="O429" s="1" t="s">
        <v>77</v>
      </c>
      <c r="Q429" s="1" t="s">
        <v>65</v>
      </c>
      <c r="R429" s="1" t="s">
        <v>66</v>
      </c>
      <c r="U429" s="12" t="n">
        <v>0.0402777777777778</v>
      </c>
      <c r="V429" s="11" t="n">
        <v>46212</v>
      </c>
      <c r="W429" s="12" t="n">
        <v>0.911111111111111</v>
      </c>
      <c r="X429" s="11" t="n">
        <v>46223</v>
      </c>
      <c r="Y429" s="12" t="n">
        <v>0.788194444444444</v>
      </c>
      <c r="Z429" s="1" t="s">
        <v>67</v>
      </c>
      <c r="AA429" s="1" t="s">
        <v>68</v>
      </c>
      <c r="AB429" s="2" t="e">
        <f aca="false">U429-#REF!</f>
        <v>#REF!</v>
      </c>
      <c r="AC429" s="14" t="n">
        <f aca="false">(V429+W429)-(B429+C429)</f>
        <v>0.892361111111111</v>
      </c>
      <c r="AD429" s="4" t="str">
        <f aca="false">INT((V429+W429)-(B429+C429)) &amp; ":" &amp;
TEXT(HOUR((V429+W429)-(B429+C429)), "00") &amp; ":" &amp;
TEXT(MINUTE((V429+W429)-(B429+C429)), "00")</f>
        <v>0:21:25</v>
      </c>
      <c r="AE429" s="1" t="n">
        <f aca="false">IFERROR(
LEFT(AD429,FIND(":",AD429)-1)
+ MID(AD429,FIND(":",AD429)+1,2)/24
+ RIGHT(AD429,2)/1440,
"")</f>
        <v>0.892361111111111</v>
      </c>
      <c r="AF429" s="4" t="str">
        <f aca="false">INT((X429+Y429)-(B429+C429)) &amp; ":" &amp;
TEXT(HOUR((X429+Y429)-(B429+C429)), "00") &amp; ":" &amp;
TEXT(MINUTE((X429+Y429)-(B429+C429)), "00")</f>
        <v>11:18:28</v>
      </c>
      <c r="AG429" s="4" t="str">
        <f aca="false" t="array" ref="AG429:AG429">INT(_xlfn.XLOOKUP(J429,{"Low","Medium","High","Urgent"},{48,24,12,8})/24) &amp; ":" &amp;
TEXT(MOD(_xlfn.XLOOKUP(J429,{"Low","Medium","High","Urgent"},{48,24,12,8}),24)/24,"hh:mm")</f>
        <v>2:00:00</v>
      </c>
      <c r="AH429" s="4" t="str">
        <f aca="false">IF(AD429&gt;AG429,"Not Met","Met")</f>
        <v>Met</v>
      </c>
      <c r="AI429" s="4" t="e">
        <f aca="false">IF(AB429&lt;TIME(0,30,0),"Met","Not Met")</f>
        <v>#REF!</v>
      </c>
      <c r="AN429" s="1" t="str">
        <f aca="false">TEXT(B429,"dd")</f>
        <v>09</v>
      </c>
      <c r="AO429" s="1" t="str">
        <f aca="false">TEXT(X429,"dd")</f>
        <v>20</v>
      </c>
      <c r="AP429" s="16" t="str">
        <f aca="false">INT(
  NETWORKDAYS(B429,V429)-1
  + IF(WEEKDAY(V429,2)&lt;6,MOD(V429+W429,1),0)
  - IF(WEEKDAY(B429,2)&lt;6,MOD(B429+C429,1),0)
)
&amp; ":" &amp;
TEXT(HOUR(
  NETWORKDAYS(B429,V429)-1
  + IF(WEEKDAY(V429,2)&lt;6,MOD(V429+W429,1),0)
  - IF(WEEKDAY(B429,2)&lt;6,MOD(B429+C429,1),0)
),"00")
&amp; ":" &amp;
TEXT(MINUTE(
  NETWORKDAYS(B429,V429)-1
  + IF(WEEKDAY(V429,2)&lt;6,MOD(V429+W429,1),0)
  - IF(WEEKDAY(B429,2)&lt;6,MOD(B429+C429,1),0)
),"00")</f>
        <v>0:21:24</v>
      </c>
      <c r="AQ429" s="0" t="n">
        <f aca="false">IFERROR(
LEFT(AP429,FIND(":",AP429)-1)
+ MID(AP429,FIND(":",AP429)+1,2)/24
+ RIGHT(AP429,2)/1440,
"")</f>
        <v>0.891666666666667</v>
      </c>
      <c r="AR429" s="0" t="n">
        <f aca="false">WEEKNUM(B429,1)</f>
        <v>28</v>
      </c>
      <c r="AS429" s="17" t="n">
        <f aca="false">IF(B429&gt;0, (B429+C429)-TIME(13,30,0), "")</f>
        <v>46211.45625</v>
      </c>
      <c r="AT429" s="18" t="n">
        <f aca="false">IF(B429&gt;0, (B429+C429)-TIME(13,30,0), "")</f>
        <v>46211.45625</v>
      </c>
      <c r="AU429" s="17" t="n">
        <f aca="false">IF(V429&gt;0, (V429+W429)-TIME(13,30,0), "")</f>
        <v>46212.3486111111</v>
      </c>
      <c r="AV429" s="18" t="n">
        <f aca="false">IF(V429&gt;0, (V429+W429)-TIME(13,30,0), "")</f>
        <v>46212.3486111111</v>
      </c>
    </row>
    <row r="430" customFormat="false" ht="15" hidden="false" customHeight="false" outlineLevel="0" collapsed="false">
      <c r="A430" s="1" t="s">
        <v>1409</v>
      </c>
      <c r="B430" s="11" t="n">
        <v>46212</v>
      </c>
      <c r="C430" s="12" t="n">
        <v>0.0840277777777778</v>
      </c>
      <c r="D430" s="13" t="str">
        <f aca="false">IF(B430="","",TEXT(B430,"MMM")&amp;"'"&amp;TEXT(B430,"yy"))</f>
        <v>Jul'26</v>
      </c>
      <c r="E430" s="1" t="str">
        <f aca="false">$E$406</f>
        <v>ATS</v>
      </c>
      <c r="F430" s="1" t="s">
        <v>39</v>
      </c>
      <c r="G430" s="1" t="str">
        <f aca="false">IF(F430="Closed","Closed","Pending")</f>
        <v>Closed</v>
      </c>
      <c r="H430" s="27" t="s">
        <v>81</v>
      </c>
      <c r="I430" s="1" t="s">
        <v>82</v>
      </c>
      <c r="J430" s="35" t="s">
        <v>58</v>
      </c>
      <c r="K430" s="1" t="s">
        <v>59</v>
      </c>
      <c r="L430" s="1" t="s">
        <v>1410</v>
      </c>
      <c r="M430" s="1" t="s">
        <v>1411</v>
      </c>
      <c r="N430" s="1" t="s">
        <v>65</v>
      </c>
      <c r="O430" s="1" t="s">
        <v>77</v>
      </c>
      <c r="Q430" s="1" t="s">
        <v>65</v>
      </c>
      <c r="R430" s="1" t="s">
        <v>87</v>
      </c>
      <c r="U430" s="12" t="n">
        <v>0.104166666666667</v>
      </c>
      <c r="V430" s="11" t="n">
        <v>46212</v>
      </c>
      <c r="W430" s="12" t="n">
        <v>0.913888888888889</v>
      </c>
      <c r="X430" s="11" t="n">
        <v>46213</v>
      </c>
      <c r="Y430" s="12" t="n">
        <v>0.0854166666666667</v>
      </c>
      <c r="Z430" s="1" t="s">
        <v>67</v>
      </c>
      <c r="AA430" s="1" t="s">
        <v>68</v>
      </c>
      <c r="AB430" s="2" t="e">
        <f aca="false">U430-#REF!</f>
        <v>#REF!</v>
      </c>
      <c r="AC430" s="14" t="n">
        <f aca="false">(V430+W430)-(B430+C430)</f>
        <v>0.829861111111111</v>
      </c>
      <c r="AD430" s="4" t="str">
        <f aca="false">INT((V430+W430)-(B430+C430)) &amp; ":" &amp;
TEXT(HOUR((V430+W430)-(B430+C430)), "00") &amp; ":" &amp;
TEXT(MINUTE((V430+W430)-(B430+C430)), "00")</f>
        <v>0:19:55</v>
      </c>
      <c r="AE430" s="1" t="n">
        <f aca="false">IFERROR(
LEFT(AD430,FIND(":",AD430)-1)
+ MID(AD430,FIND(":",AD430)+1,2)/24
+ RIGHT(AD430,2)/1440,
"")</f>
        <v>0.829861111111111</v>
      </c>
      <c r="AF430" s="4" t="str">
        <f aca="false">INT((X430+Y430)-(B430+C430)) &amp; ":" &amp;
TEXT(HOUR((X430+Y430)-(B430+C430)), "00") &amp; ":" &amp;
TEXT(MINUTE((X430+Y430)-(B430+C430)), "00")</f>
        <v>1:00:02</v>
      </c>
      <c r="AG430" s="4" t="str">
        <f aca="false" t="array" ref="AG430:AG430">INT(_xlfn.XLOOKUP(J430,{"Low","Medium","High","Urgent"},{48,24,12,8})/24) &amp; ":" &amp;
TEXT(MOD(_xlfn.XLOOKUP(J430,{"Low","Medium","High","Urgent"},{48,24,12,8}),24)/24,"hh:mm")</f>
        <v>1:00:00</v>
      </c>
      <c r="AH430" s="4" t="str">
        <f aca="false">IF(AD430&gt;AG430,"Not Met","Met")</f>
        <v>Met</v>
      </c>
      <c r="AI430" s="4" t="e">
        <f aca="false">IF(AB430&lt;TIME(0,30,0),"Met","Not Met")</f>
        <v>#REF!</v>
      </c>
      <c r="AN430" s="1" t="str">
        <f aca="false">TEXT(B430,"dd")</f>
        <v>09</v>
      </c>
      <c r="AO430" s="1" t="str">
        <f aca="false">TEXT(X430,"dd")</f>
        <v>10</v>
      </c>
      <c r="AP430" s="16" t="str">
        <f aca="false">INT(
  NETWORKDAYS(B430,V430)-1
  + IF(WEEKDAY(V430,2)&lt;6,MOD(V430+W430,1),0)
  - IF(WEEKDAY(B430,2)&lt;6,MOD(B430+C430,1),0)
)
&amp; ":" &amp;
TEXT(HOUR(
  NETWORKDAYS(B430,V430)-1
  + IF(WEEKDAY(V430,2)&lt;6,MOD(V430+W430,1),0)
  - IF(WEEKDAY(B430,2)&lt;6,MOD(B430+C430,1),0)
),"00")
&amp; ":" &amp;
TEXT(MINUTE(
  NETWORKDAYS(B430,V430)-1
  + IF(WEEKDAY(V430,2)&lt;6,MOD(V430+W430,1),0)
  - IF(WEEKDAY(B430,2)&lt;6,MOD(B430+C430,1),0)
),"00")</f>
        <v>0:19:55</v>
      </c>
      <c r="AQ430" s="0" t="n">
        <f aca="false">IFERROR(
LEFT(AP430,FIND(":",AP430)-1)
+ MID(AP430,FIND(":",AP430)+1,2)/24
+ RIGHT(AP430,2)/1440,
"")</f>
        <v>0.829861111111111</v>
      </c>
      <c r="AR430" s="0" t="n">
        <f aca="false">WEEKNUM(B430,1)</f>
        <v>28</v>
      </c>
      <c r="AS430" s="17" t="n">
        <f aca="false">IF(B430&gt;0, (B430+C430)-TIME(13,30,0), "")</f>
        <v>46211.5215277778</v>
      </c>
      <c r="AT430" s="18" t="n">
        <f aca="false">IF(B430&gt;0, (B430+C430)-TIME(13,30,0), "")</f>
        <v>46211.5215277778</v>
      </c>
      <c r="AU430" s="17" t="n">
        <f aca="false">IF(V430&gt;0, (V430+W430)-TIME(13,30,0), "")</f>
        <v>46212.3513888889</v>
      </c>
      <c r="AV430" s="18" t="n">
        <f aca="false">IF(V430&gt;0, (V430+W430)-TIME(13,30,0), "")</f>
        <v>46212.3513888889</v>
      </c>
    </row>
    <row r="431" customFormat="false" ht="15" hidden="false" customHeight="false" outlineLevel="0" collapsed="false">
      <c r="A431" s="1" t="s">
        <v>1412</v>
      </c>
      <c r="B431" s="11" t="n">
        <v>46212</v>
      </c>
      <c r="C431" s="12" t="n">
        <v>0.145138888888889</v>
      </c>
      <c r="D431" s="13" t="str">
        <f aca="false">IF(B431="","",TEXT(B431,"MMM")&amp;"'"&amp;TEXT(B431,"yy"))</f>
        <v>Jul'26</v>
      </c>
      <c r="E431" s="1" t="str">
        <f aca="false">$E$406</f>
        <v>ATS</v>
      </c>
      <c r="F431" s="1" t="s">
        <v>39</v>
      </c>
      <c r="G431" s="1" t="str">
        <f aca="false">IF(F431="Closed","Closed","Pending")</f>
        <v>Closed</v>
      </c>
      <c r="H431" s="27" t="s">
        <v>72</v>
      </c>
      <c r="I431" s="26" t="s">
        <v>1413</v>
      </c>
      <c r="J431" s="35" t="s">
        <v>58</v>
      </c>
      <c r="K431" s="1" t="s">
        <v>59</v>
      </c>
      <c r="L431" s="1" t="s">
        <v>1414</v>
      </c>
      <c r="M431" s="1" t="s">
        <v>1415</v>
      </c>
      <c r="N431" s="1" t="s">
        <v>62</v>
      </c>
      <c r="O431" s="1" t="s">
        <v>63</v>
      </c>
      <c r="P431" s="1" t="s">
        <v>1416</v>
      </c>
      <c r="Q431" s="1" t="s">
        <v>63</v>
      </c>
      <c r="R431" s="1" t="s">
        <v>87</v>
      </c>
      <c r="U431" s="12" t="n">
        <v>0.231944444444444</v>
      </c>
      <c r="V431" s="11" t="n">
        <v>46212</v>
      </c>
      <c r="W431" s="12" t="n">
        <v>0.915972222222222</v>
      </c>
      <c r="X431" s="11" t="n">
        <v>46213</v>
      </c>
      <c r="Y431" s="12" t="n">
        <v>0.188888888888889</v>
      </c>
      <c r="Z431" s="1" t="s">
        <v>108</v>
      </c>
      <c r="AA431" s="1" t="s">
        <v>68</v>
      </c>
      <c r="AB431" s="2" t="e">
        <f aca="false">U431-#REF!</f>
        <v>#REF!</v>
      </c>
      <c r="AC431" s="14" t="n">
        <f aca="false">(V431+W431)-(B431+C431)</f>
        <v>0.770833333333333</v>
      </c>
      <c r="AD431" s="4" t="str">
        <f aca="false">INT((V431+W431)-(B431+C431)) &amp; ":" &amp;
TEXT(HOUR((V431+W431)-(B431+C431)), "00") &amp; ":" &amp;
TEXT(MINUTE((V431+W431)-(B431+C431)), "00")</f>
        <v>0:18:30</v>
      </c>
      <c r="AE431" s="1" t="n">
        <f aca="false">IFERROR(
LEFT(AD431,FIND(":",AD431)-1)
+ MID(AD431,FIND(":",AD431)+1,2)/24
+ RIGHT(AD431,2)/1440,
"")</f>
        <v>0.770833333333333</v>
      </c>
      <c r="AF431" s="4" t="str">
        <f aca="false">INT((X431+Y431)-(B431+C431)) &amp; ":" &amp;
TEXT(HOUR((X431+Y431)-(B431+C431)), "00") &amp; ":" &amp;
TEXT(MINUTE((X431+Y431)-(B431+C431)), "00")</f>
        <v>1:01:03</v>
      </c>
      <c r="AG431" s="4" t="str">
        <f aca="false" t="array" ref="AG431:AG431">INT(_xlfn.XLOOKUP(J431,{"Low","Medium","High","Urgent"},{48,24,12,8})/24) &amp; ":" &amp;
TEXT(MOD(_xlfn.XLOOKUP(J431,{"Low","Medium","High","Urgent"},{48,24,12,8}),24)/24,"hh:mm")</f>
        <v>1:00:00</v>
      </c>
      <c r="AH431" s="4" t="str">
        <f aca="false">IF(AD431&gt;AG431,"Not Met","Met")</f>
        <v>Met</v>
      </c>
      <c r="AI431" s="4" t="e">
        <f aca="false">IF(AB431&lt;TIME(0,30,0),"Met","Not Met")</f>
        <v>#REF!</v>
      </c>
      <c r="AN431" s="1" t="str">
        <f aca="false">TEXT(B431,"dd")</f>
        <v>09</v>
      </c>
      <c r="AO431" s="1" t="str">
        <f aca="false">TEXT(X431,"dd")</f>
        <v>10</v>
      </c>
      <c r="AP431" s="16" t="str">
        <f aca="false">INT(
  NETWORKDAYS(B431,V431)-1
  + IF(WEEKDAY(V431,2)&lt;6,MOD(V431+W431,1),0)
  - IF(WEEKDAY(B431,2)&lt;6,MOD(B431+C431,1),0)
)
&amp; ":" &amp;
TEXT(HOUR(
  NETWORKDAYS(B431,V431)-1
  + IF(WEEKDAY(V431,2)&lt;6,MOD(V431+W431,1),0)
  - IF(WEEKDAY(B431,2)&lt;6,MOD(B431+C431,1),0)
),"00")
&amp; ":" &amp;
TEXT(MINUTE(
  NETWORKDAYS(B431,V431)-1
  + IF(WEEKDAY(V431,2)&lt;6,MOD(V431+W431,1),0)
  - IF(WEEKDAY(B431,2)&lt;6,MOD(B431+C431,1),0)
),"00")</f>
        <v>0:18:30</v>
      </c>
      <c r="AQ431" s="0" t="n">
        <f aca="false">IFERROR(
LEFT(AP431,FIND(":",AP431)-1)
+ MID(AP431,FIND(":",AP431)+1,2)/24
+ RIGHT(AP431,2)/1440,
"")</f>
        <v>0.770833333333333</v>
      </c>
      <c r="AR431" s="0" t="n">
        <f aca="false">WEEKNUM(B431,1)</f>
        <v>28</v>
      </c>
      <c r="AS431" s="17" t="n">
        <f aca="false">IF(B431&gt;0, (B431+C431)-TIME(13,30,0), "")</f>
        <v>46211.5826388889</v>
      </c>
      <c r="AT431" s="18" t="n">
        <f aca="false">IF(B431&gt;0, (B431+C431)-TIME(13,30,0), "")</f>
        <v>46211.5826388889</v>
      </c>
      <c r="AU431" s="17" t="n">
        <f aca="false">IF(V431&gt;0, (V431+W431)-TIME(13,30,0), "")</f>
        <v>46212.3534722222</v>
      </c>
      <c r="AV431" s="18" t="n">
        <f aca="false">IF(V431&gt;0, (V431+W431)-TIME(13,30,0), "")</f>
        <v>46212.3534722222</v>
      </c>
    </row>
    <row r="432" customFormat="false" ht="15" hidden="false" customHeight="false" outlineLevel="0" collapsed="false">
      <c r="A432" s="23" t="s">
        <v>1417</v>
      </c>
      <c r="B432" s="11" t="n">
        <v>46212</v>
      </c>
      <c r="C432" s="12" t="n">
        <v>0.99375</v>
      </c>
      <c r="D432" s="13" t="str">
        <f aca="false">IF(B432="","",TEXT(B432,"MMM")&amp;"'"&amp;TEXT(B432,"yy"))</f>
        <v>Jul'26</v>
      </c>
      <c r="E432" s="1" t="str">
        <f aca="false">$E$406</f>
        <v>ATS</v>
      </c>
      <c r="F432" s="1" t="s">
        <v>39</v>
      </c>
      <c r="G432" s="1" t="str">
        <f aca="false">IF(F432="Closed","Closed","Pending")</f>
        <v>Closed</v>
      </c>
      <c r="H432" s="27" t="s">
        <v>120</v>
      </c>
      <c r="I432" s="1" t="s">
        <v>349</v>
      </c>
      <c r="J432" s="35" t="s">
        <v>74</v>
      </c>
      <c r="K432" s="1" t="s">
        <v>59</v>
      </c>
      <c r="L432" s="1" t="s">
        <v>1418</v>
      </c>
      <c r="M432" s="1" t="s">
        <v>722</v>
      </c>
      <c r="N432" s="1" t="s">
        <v>65</v>
      </c>
      <c r="O432" s="1" t="s">
        <v>106</v>
      </c>
      <c r="Q432" s="1" t="s">
        <v>65</v>
      </c>
      <c r="R432" s="1" t="s">
        <v>87</v>
      </c>
      <c r="U432" s="25" t="n">
        <v>46213.0159722222</v>
      </c>
      <c r="V432" s="11" t="n">
        <v>46219</v>
      </c>
      <c r="W432" s="12" t="n">
        <v>0.956944444444445</v>
      </c>
      <c r="X432" s="11" t="n">
        <v>46219</v>
      </c>
      <c r="Y432" s="12" t="n">
        <v>0.956944444444445</v>
      </c>
      <c r="Z432" s="1" t="s">
        <v>67</v>
      </c>
      <c r="AA432" s="1" t="s">
        <v>68</v>
      </c>
      <c r="AB432" s="2" t="n">
        <v>0.0222222222222222</v>
      </c>
      <c r="AC432" s="14" t="n">
        <f aca="false">(V432+W432)-(B432+C432)</f>
        <v>6.96319444444444</v>
      </c>
      <c r="AD432" s="4" t="str">
        <f aca="false">INT((V432+W432)-(B432+C432)) &amp; ":" &amp;
TEXT(HOUR((V432+W432)-(B432+C432)), "00") &amp; ":" &amp;
TEXT(MINUTE((V432+W432)-(B432+C432)), "00")</f>
        <v>6:23:07</v>
      </c>
      <c r="AE432" s="1" t="n">
        <f aca="false">IFERROR(
LEFT(AD432,FIND(":",AD432)-1)
+ MID(AD432,FIND(":",AD432)+1,2)/24
+ RIGHT(AD432,2)/1440,
"")</f>
        <v>6.96319444444444</v>
      </c>
      <c r="AF432" s="4" t="str">
        <f aca="false">INT((X432+Y432)-(B432+C432)) &amp; ":" &amp;
TEXT(HOUR((X432+Y432)-(B432+C432)), "00") &amp; ":" &amp;
TEXT(MINUTE((X432+Y432)-(B432+C432)), "00")</f>
        <v>6:23:07</v>
      </c>
      <c r="AG432" s="4" t="str">
        <f aca="false" t="array" ref="AG432:AG432">INT(_xlfn.XLOOKUP(J432,{"Low","Medium","High","Urgent"},{48,24,12,8})/24) &amp; ":" &amp;
TEXT(MOD(_xlfn.XLOOKUP(J432,{"Low","Medium","High","Urgent"},{48,24,12,8}),24)/24,"hh:mm")</f>
        <v>2:00:00</v>
      </c>
      <c r="AH432" s="4" t="str">
        <f aca="false">IF(AD432&gt;AG432,"Not Met","Met")</f>
        <v>Not Met</v>
      </c>
      <c r="AI432" s="4" t="str">
        <f aca="false">IF(AB432&lt;TIME(0,30,0),"Met","Not Met")</f>
        <v>Not Met</v>
      </c>
      <c r="AN432" s="1" t="str">
        <f aca="false">TEXT(B432,"dd")</f>
        <v>09</v>
      </c>
      <c r="AO432" s="1" t="str">
        <f aca="false">TEXT(X432,"dd")</f>
        <v>16</v>
      </c>
      <c r="AP432" s="16" t="str">
        <f aca="false">INT(
  NETWORKDAYS(B432,V432)-1
  + IF(WEEKDAY(V432,2)&lt;6,MOD(V432+W432,1),0)
  - IF(WEEKDAY(B432,2)&lt;6,MOD(B432+C432,1),0)
)
&amp; ":" &amp;
TEXT(HOUR(
  NETWORKDAYS(B432,V432)-1
  + IF(WEEKDAY(V432,2)&lt;6,MOD(V432+W432,1),0)
  - IF(WEEKDAY(B432,2)&lt;6,MOD(B432+C432,1),0)
),"00")
&amp; ":" &amp;
TEXT(MINUTE(
  NETWORKDAYS(B432,V432)-1
  + IF(WEEKDAY(V432,2)&lt;6,MOD(V432+W432,1),0)
  - IF(WEEKDAY(B432,2)&lt;6,MOD(B432+C432,1),0)
),"00")</f>
        <v>4:23:06</v>
      </c>
      <c r="AQ432" s="0" t="n">
        <f aca="false">IFERROR(
LEFT(AP432,FIND(":",AP432)-1)
+ MID(AP432,FIND(":",AP432)+1,2)/24
+ RIGHT(AP432,2)/1440,
"")</f>
        <v>4.9625</v>
      </c>
      <c r="AR432" s="0" t="n">
        <f aca="false">WEEKNUM(B432,1)</f>
        <v>28</v>
      </c>
      <c r="AS432" s="17" t="n">
        <f aca="false">IF(B432&gt;0, (B432+C432)-TIME(13,30,0), "")</f>
        <v>46212.43125</v>
      </c>
      <c r="AT432" s="18" t="n">
        <f aca="false">IF(B432&gt;0, (B432+C432)-TIME(13,30,0), "")</f>
        <v>46212.43125</v>
      </c>
      <c r="AU432" s="17" t="n">
        <f aca="false">IF(V432&gt;0, (V432+W432)-TIME(13,30,0), "")</f>
        <v>46219.3944444444</v>
      </c>
      <c r="AV432" s="18" t="n">
        <f aca="false">IF(V432&gt;0, (V432+W432)-TIME(13,30,0), "")</f>
        <v>46219.3944444444</v>
      </c>
    </row>
    <row r="433" customFormat="false" ht="15" hidden="false" customHeight="false" outlineLevel="0" collapsed="false">
      <c r="A433" s="1" t="s">
        <v>1419</v>
      </c>
      <c r="B433" s="11" t="n">
        <v>46214</v>
      </c>
      <c r="C433" s="12" t="n">
        <v>0.0340277777777778</v>
      </c>
      <c r="D433" s="13" t="str">
        <f aca="false">IF(B433="","",TEXT(B433,"MMM")&amp;"'"&amp;TEXT(B433,"yy"))</f>
        <v>Jul'26</v>
      </c>
      <c r="E433" s="1" t="s">
        <v>55</v>
      </c>
      <c r="F433" s="1" t="s">
        <v>140</v>
      </c>
      <c r="G433" s="1" t="str">
        <f aca="false">IF(F433="Closed","Closed","Pending")</f>
        <v>Pending</v>
      </c>
      <c r="H433" s="27" t="s">
        <v>691</v>
      </c>
      <c r="I433" s="1" t="s">
        <v>270</v>
      </c>
      <c r="J433" s="35" t="s">
        <v>74</v>
      </c>
      <c r="K433" s="1" t="s">
        <v>59</v>
      </c>
      <c r="L433" s="1" t="s">
        <v>1420</v>
      </c>
      <c r="M433" s="1" t="s">
        <v>1421</v>
      </c>
      <c r="N433" s="1" t="s">
        <v>62</v>
      </c>
      <c r="O433" s="1" t="s">
        <v>63</v>
      </c>
      <c r="Q433" s="1" t="s">
        <v>63</v>
      </c>
      <c r="R433" s="1" t="s">
        <v>1269</v>
      </c>
      <c r="U433" s="12" t="n">
        <v>0.0444444444444444</v>
      </c>
      <c r="Z433" s="1" t="s">
        <v>108</v>
      </c>
      <c r="AB433" s="2" t="e">
        <f aca="false">U433-#REF!</f>
        <v>#REF!</v>
      </c>
      <c r="AC433" s="14" t="n">
        <f aca="false">(V433+W433)-(B433+C433)</f>
        <v>-46214.0340277778</v>
      </c>
      <c r="AD433" s="4" t="str">
        <f aca="false">INT((V433+W433)-(B433+C433)) &amp; ":" &amp;
TEXT(HOUR((V433+W433)-(B433+C433)), "00") &amp; ":" &amp;
TEXT(MINUTE((V433+W433)-(B433+C433)), "00")</f>
        <v>-46215:23:11</v>
      </c>
      <c r="AE433" s="1" t="n">
        <f aca="false">IFERROR(
LEFT(AD433,FIND(":",AD433)-1)
+ MID(AD433,FIND(":",AD433)+1,2)/24
+ RIGHT(AD433,2)/1440,
"")</f>
        <v>-46214.0340277778</v>
      </c>
      <c r="AF433" s="4" t="str">
        <f aca="false">INT((X433+Y433)-(B433+C433)) &amp; ":" &amp;
TEXT(HOUR((X433+Y433)-(B433+C433)), "00") &amp; ":" &amp;
TEXT(MINUTE((X433+Y433)-(B433+C433)), "00")</f>
        <v>-46215:23:11</v>
      </c>
      <c r="AG433" s="4" t="str">
        <f aca="false" t="array" ref="AG433:AG433">INT(_xlfn.XLOOKUP(J433,{"Low","Medium","High","Urgent"},{48,24,12,8})/24) &amp; ":" &amp;
TEXT(MOD(_xlfn.XLOOKUP(J433,{"Low","Medium","High","Urgent"},{48,24,12,8}),24)/24,"hh:mm")</f>
        <v>2:00:00</v>
      </c>
      <c r="AH433" s="4" t="str">
        <f aca="false">IF(AD433&gt;AG433,"Not Met","Met")</f>
        <v>Met</v>
      </c>
      <c r="AI433" s="4" t="e">
        <f aca="false">IF(AB433&lt;TIME(0,30,0),"Met","Not Met")</f>
        <v>#REF!</v>
      </c>
      <c r="AN433" s="1" t="str">
        <f aca="false">TEXT(B433,"dd")</f>
        <v>11</v>
      </c>
      <c r="AO433" s="1" t="str">
        <f aca="false">TEXT(X433,"dd")</f>
        <v>30</v>
      </c>
      <c r="AP433" s="16" t="str">
        <f aca="false">INT(
  NETWORKDAYS(B433,V433)-1
  + IF(WEEKDAY(V433,2)&lt;6,MOD(V433+W433,1),0)
  - IF(WEEKDAY(B433,2)&lt;6,MOD(B433+C433,1),0)
)
&amp; ":" &amp;
TEXT(HOUR(
  NETWORKDAYS(B433,V433)-1
  + IF(WEEKDAY(V433,2)&lt;6,MOD(V433+W433,1),0)
  - IF(WEEKDAY(B433,2)&lt;6,MOD(B433+C433,1),0)
),"00")
&amp; ":" &amp;
TEXT(MINUTE(
  NETWORKDAYS(B433,V433)-1
  + IF(WEEKDAY(V433,2)&lt;6,MOD(V433+W433,1),0)
  - IF(WEEKDAY(B433,2)&lt;6,MOD(B433+C433,1),0)
),"00")</f>
        <v>-33011:00:00</v>
      </c>
      <c r="AQ433" s="0" t="n">
        <f aca="false">IFERROR(
LEFT(AP433,FIND(":",AP433)-1)
+ MID(AP433,FIND(":",AP433)+1,2)/24
+ RIGHT(AP433,2)/1440,
"")</f>
        <v>-33011</v>
      </c>
      <c r="AR433" s="0" t="n">
        <f aca="false">WEEKNUM(B433,1)</f>
        <v>28</v>
      </c>
      <c r="AS433" s="17" t="n">
        <f aca="false">IF(B433&gt;0, (B433+C433)-TIME(13,30,0), "")</f>
        <v>46213.4715277778</v>
      </c>
      <c r="AT433" s="18" t="n">
        <f aca="false">IF(B433&gt;0, (B433+C433)-TIME(13,30,0), "")</f>
        <v>46213.4715277778</v>
      </c>
      <c r="AU433" s="17" t="str">
        <f aca="false">IF(V433&gt;0, (V433+W433)-TIME(13,30,0), "")</f>
        <v/>
      </c>
      <c r="AV433" s="18" t="str">
        <f aca="false">IF(V433&gt;0, (V433+W433)-TIME(13,30,0), "")</f>
        <v/>
      </c>
    </row>
    <row r="434" customFormat="false" ht="15" hidden="false" customHeight="false" outlineLevel="0" collapsed="false">
      <c r="A434" s="23" t="s">
        <v>1422</v>
      </c>
      <c r="B434" s="11" t="n">
        <v>46216</v>
      </c>
      <c r="C434" s="12" t="n">
        <v>0.851388888888889</v>
      </c>
      <c r="D434" s="13" t="str">
        <f aca="false">IF(B434="","",TEXT(B434,"MMM")&amp;"'"&amp;TEXT(B434,"yy"))</f>
        <v>Jul'26</v>
      </c>
      <c r="E434" s="1" t="s">
        <v>55</v>
      </c>
      <c r="F434" s="1" t="s">
        <v>39</v>
      </c>
      <c r="G434" s="1" t="str">
        <f aca="false">IF(F434="Closed","Closed","Pending")</f>
        <v>Closed</v>
      </c>
      <c r="H434" s="27" t="s">
        <v>691</v>
      </c>
      <c r="I434" s="1" t="s">
        <v>158</v>
      </c>
      <c r="J434" s="35" t="s">
        <v>74</v>
      </c>
      <c r="K434" s="1" t="s">
        <v>59</v>
      </c>
      <c r="L434" s="1" t="s">
        <v>1035</v>
      </c>
      <c r="M434" s="1" t="s">
        <v>1036</v>
      </c>
      <c r="N434" s="1" t="s">
        <v>65</v>
      </c>
      <c r="O434" s="1" t="s">
        <v>106</v>
      </c>
      <c r="Q434" s="1" t="s">
        <v>65</v>
      </c>
      <c r="R434" s="1" t="s">
        <v>230</v>
      </c>
      <c r="U434" s="12" t="n">
        <v>0.875</v>
      </c>
      <c r="V434" s="11" t="n">
        <v>46218</v>
      </c>
      <c r="W434" s="12" t="n">
        <v>0.900694444444445</v>
      </c>
      <c r="X434" s="11" t="n">
        <v>46218</v>
      </c>
      <c r="Y434" s="12" t="n">
        <v>0.901388888888889</v>
      </c>
      <c r="Z434" s="1" t="s">
        <v>108</v>
      </c>
      <c r="AA434" s="1" t="s">
        <v>68</v>
      </c>
      <c r="AB434" s="2" t="e">
        <f aca="false">U434-#REF!</f>
        <v>#REF!</v>
      </c>
      <c r="AC434" s="14" t="n">
        <f aca="false">(V434+W434)-(B434+C434)</f>
        <v>2.04930555555556</v>
      </c>
      <c r="AD434" s="4" t="str">
        <f aca="false">INT((V434+W434)-(B434+C434)) &amp; ":" &amp;
TEXT(HOUR((V434+W434)-(B434+C434)), "00") &amp; ":" &amp;
TEXT(MINUTE((V434+W434)-(B434+C434)), "00")</f>
        <v>2:01:11</v>
      </c>
      <c r="AE434" s="1" t="n">
        <f aca="false">IFERROR(
LEFT(AD434,FIND(":",AD434)-1)
+ MID(AD434,FIND(":",AD434)+1,2)/24
+ RIGHT(AD434,2)/1440,
"")</f>
        <v>2.04930555555556</v>
      </c>
      <c r="AF434" s="4" t="str">
        <f aca="false">INT((X434+Y434)-(B434+C434)) &amp; ":" &amp;
TEXT(HOUR((X434+Y434)-(B434+C434)), "00") &amp; ":" &amp;
TEXT(MINUTE((X434+Y434)-(B434+C434)), "00")</f>
        <v>2:01:12</v>
      </c>
      <c r="AG434" s="4" t="str">
        <f aca="false" t="array" ref="AG434:AG434">INT(_xlfn.XLOOKUP(J434,{"Low","Medium","High","Urgent"},{48,24,12,8})/24) &amp; ":" &amp;
TEXT(MOD(_xlfn.XLOOKUP(J434,{"Low","Medium","High","Urgent"},{48,24,12,8}),24)/24,"hh:mm")</f>
        <v>2:00:00</v>
      </c>
      <c r="AH434" s="4" t="str">
        <f aca="false">IF(AD434&gt;AG434,"Not Met","Met")</f>
        <v>Not Met</v>
      </c>
      <c r="AI434" s="4" t="e">
        <f aca="false">IF(AB434&lt;TIME(0,30,0),"Met","Not Met")</f>
        <v>#REF!</v>
      </c>
      <c r="AN434" s="1" t="str">
        <f aca="false">TEXT(B434,"dd")</f>
        <v>13</v>
      </c>
      <c r="AO434" s="1" t="str">
        <f aca="false">TEXT(X434,"dd")</f>
        <v>15</v>
      </c>
      <c r="AP434" s="16" t="str">
        <f aca="false">INT(
  NETWORKDAYS(B434,V434)-1
  + IF(WEEKDAY(V434,2)&lt;6,MOD(V434+W434,1),0)
  - IF(WEEKDAY(B434,2)&lt;6,MOD(B434+C434,1),0)
)
&amp; ":" &amp;
TEXT(HOUR(
  NETWORKDAYS(B434,V434)-1
  + IF(WEEKDAY(V434,2)&lt;6,MOD(V434+W434,1),0)
  - IF(WEEKDAY(B434,2)&lt;6,MOD(B434+C434,1),0)
),"00")
&amp; ":" &amp;
TEXT(MINUTE(
  NETWORKDAYS(B434,V434)-1
  + IF(WEEKDAY(V434,2)&lt;6,MOD(V434+W434,1),0)
  - IF(WEEKDAY(B434,2)&lt;6,MOD(B434+C434,1),0)
),"00")</f>
        <v>2:01:10</v>
      </c>
      <c r="AQ434" s="0" t="n">
        <f aca="false">IFERROR(
LEFT(AP434,FIND(":",AP434)-1)
+ MID(AP434,FIND(":",AP434)+1,2)/24
+ RIGHT(AP434,2)/1440,
"")</f>
        <v>2.04861111111111</v>
      </c>
      <c r="AR434" s="0" t="n">
        <f aca="false">WEEKNUM(B434,1)</f>
        <v>29</v>
      </c>
      <c r="AS434" s="17" t="n">
        <f aca="false">IF(B434&gt;0, (B434+C434)-TIME(13,30,0), "")</f>
        <v>46216.2888888889</v>
      </c>
      <c r="AT434" s="18" t="n">
        <f aca="false">IF(B434&gt;0, (B434+C434)-TIME(13,30,0), "")</f>
        <v>46216.2888888889</v>
      </c>
      <c r="AU434" s="17" t="n">
        <f aca="false">IF(V434&gt;0, (V434+W434)-TIME(13,30,0), "")</f>
        <v>46218.3381944444</v>
      </c>
      <c r="AV434" s="18" t="n">
        <f aca="false">IF(V434&gt;0, (V434+W434)-TIME(13,30,0), "")</f>
        <v>46218.3381944444</v>
      </c>
    </row>
    <row r="435" customFormat="false" ht="15" hidden="false" customHeight="false" outlineLevel="0" collapsed="false">
      <c r="A435" s="23" t="s">
        <v>1423</v>
      </c>
      <c r="B435" s="11" t="n">
        <v>46216</v>
      </c>
      <c r="C435" s="12" t="n">
        <v>0.983333333333333</v>
      </c>
      <c r="D435" s="13" t="str">
        <f aca="false">IF(B435="","",TEXT(B435,"MMM")&amp;"'"&amp;TEXT(B435,"yy"))</f>
        <v>Jul'26</v>
      </c>
      <c r="E435" s="1" t="s">
        <v>55</v>
      </c>
      <c r="F435" s="1" t="s">
        <v>1130</v>
      </c>
      <c r="G435" s="1" t="str">
        <f aca="false">IF(F435="Closed","Closed","Pending")</f>
        <v>Pending</v>
      </c>
      <c r="H435" s="27" t="s">
        <v>72</v>
      </c>
      <c r="I435" s="1" t="s">
        <v>135</v>
      </c>
      <c r="J435" s="35" t="s">
        <v>74</v>
      </c>
      <c r="K435" s="1" t="s">
        <v>59</v>
      </c>
      <c r="L435" s="1" t="s">
        <v>1424</v>
      </c>
      <c r="M435" s="1" t="s">
        <v>1425</v>
      </c>
      <c r="N435" s="1" t="s">
        <v>62</v>
      </c>
      <c r="R435" s="1" t="s">
        <v>87</v>
      </c>
      <c r="U435" s="25" t="n">
        <v>46217.0111111111</v>
      </c>
      <c r="Z435" s="1" t="s">
        <v>108</v>
      </c>
      <c r="AB435" s="2" t="n">
        <v>0.0277777777777778</v>
      </c>
      <c r="AC435" s="14" t="n">
        <f aca="false">(V435+W435)-(B435+C435)</f>
        <v>-46216.9833333333</v>
      </c>
      <c r="AD435" s="4" t="str">
        <f aca="false">INT((V435+W435)-(B435+C435)) &amp; ":" &amp;
TEXT(HOUR((V435+W435)-(B435+C435)), "00") &amp; ":" &amp;
TEXT(MINUTE((V435+W435)-(B435+C435)), "00")</f>
        <v>-46217:00:24</v>
      </c>
      <c r="AE435" s="1" t="n">
        <f aca="false">IFERROR(
LEFT(AD435,FIND(":",AD435)-1)
+ MID(AD435,FIND(":",AD435)+1,2)/24
+ RIGHT(AD435,2)/1440,
"")</f>
        <v>-46216.9833333333</v>
      </c>
      <c r="AF435" s="4" t="str">
        <f aca="false">INT((X435+Y435)-(B435+C435)) &amp; ":" &amp;
TEXT(HOUR((X435+Y435)-(B435+C435)), "00") &amp; ":" &amp;
TEXT(MINUTE((X435+Y435)-(B435+C435)), "00")</f>
        <v>-46217:00:24</v>
      </c>
      <c r="AG435" s="4" t="str">
        <f aca="false" t="array" ref="AG435:AG435">INT(_xlfn.XLOOKUP(J435,{"Low","Medium","High","Urgent"},{48,24,12,8})/24) &amp; ":" &amp;
TEXT(MOD(_xlfn.XLOOKUP(J435,{"Low","Medium","High","Urgent"},{48,24,12,8}),24)/24,"hh:mm")</f>
        <v>2:00:00</v>
      </c>
      <c r="AH435" s="4" t="str">
        <f aca="false">IF(AD435&gt;AG435,"Not Met","Met")</f>
        <v>Met</v>
      </c>
      <c r="AI435" s="4" t="str">
        <f aca="false">IF(AB435&lt;TIME(0,30,0),"Met","Not Met")</f>
        <v>Not Met</v>
      </c>
      <c r="AN435" s="1" t="str">
        <f aca="false">TEXT(B435,"dd")</f>
        <v>13</v>
      </c>
      <c r="AO435" s="1" t="str">
        <f aca="false">TEXT(X435,"dd")</f>
        <v>30</v>
      </c>
      <c r="AP435" s="16" t="str">
        <f aca="false">INT(
  NETWORKDAYS(B435,V435)-1
  + IF(WEEKDAY(V435,2)&lt;6,MOD(V435+W435,1),0)
  - IF(WEEKDAY(B435,2)&lt;6,MOD(B435+C435,1),0)
)
&amp; ":" &amp;
TEXT(HOUR(
  NETWORKDAYS(B435,V435)-1
  + IF(WEEKDAY(V435,2)&lt;6,MOD(V435+W435,1),0)
  - IF(WEEKDAY(B435,2)&lt;6,MOD(B435+C435,1),0)
),"00")
&amp; ":" &amp;
TEXT(MINUTE(
  NETWORKDAYS(B435,V435)-1
  + IF(WEEKDAY(V435,2)&lt;6,MOD(V435+W435,1),0)
  - IF(WEEKDAY(B435,2)&lt;6,MOD(B435+C435,1),0)
),"00")</f>
        <v>-33013:00:24</v>
      </c>
      <c r="AQ435" s="0" t="n">
        <f aca="false">IFERROR(
LEFT(AP435,FIND(":",AP435)-1)
+ MID(AP435,FIND(":",AP435)+1,2)/24
+ RIGHT(AP435,2)/1440,
"")</f>
        <v>-33012.9833333333</v>
      </c>
      <c r="AR435" s="0" t="n">
        <f aca="false">WEEKNUM(B435,1)</f>
        <v>29</v>
      </c>
      <c r="AS435" s="17" t="n">
        <f aca="false">IF(B435&gt;0, (B435+C435)-TIME(13,30,0), "")</f>
        <v>46216.4208333333</v>
      </c>
      <c r="AT435" s="18" t="n">
        <f aca="false">IF(B435&gt;0, (B435+C435)-TIME(13,30,0), "")</f>
        <v>46216.4208333333</v>
      </c>
      <c r="AU435" s="17" t="str">
        <f aca="false">IF(V435&gt;0, (V435+W435)-TIME(13,30,0), "")</f>
        <v/>
      </c>
      <c r="AV435" s="18" t="str">
        <f aca="false">IF(V435&gt;0, (V435+W435)-TIME(13,30,0), "")</f>
        <v/>
      </c>
    </row>
    <row r="436" customFormat="false" ht="15" hidden="false" customHeight="false" outlineLevel="0" collapsed="false">
      <c r="A436" s="23" t="s">
        <v>1426</v>
      </c>
      <c r="B436" s="11" t="n">
        <v>46217</v>
      </c>
      <c r="C436" s="12" t="n">
        <v>0.0770833333333333</v>
      </c>
      <c r="D436" s="13" t="str">
        <f aca="false">IF(B436="","",TEXT(B436,"MMM")&amp;"'"&amp;TEXT(B436,"yy"))</f>
        <v>Jul'26</v>
      </c>
      <c r="E436" s="1" t="s">
        <v>55</v>
      </c>
      <c r="F436" s="1" t="s">
        <v>39</v>
      </c>
      <c r="G436" s="1" t="str">
        <f aca="false">IF(F436="Closed","Closed","Pending")</f>
        <v>Closed</v>
      </c>
      <c r="H436" s="27" t="s">
        <v>72</v>
      </c>
      <c r="I436" s="1" t="s">
        <v>501</v>
      </c>
      <c r="J436" s="35" t="s">
        <v>74</v>
      </c>
      <c r="K436" s="1" t="s">
        <v>59</v>
      </c>
      <c r="L436" s="1" t="s">
        <v>1427</v>
      </c>
      <c r="M436" s="1" t="s">
        <v>1428</v>
      </c>
      <c r="N436" s="1" t="s">
        <v>65</v>
      </c>
      <c r="O436" s="1" t="s">
        <v>106</v>
      </c>
      <c r="Q436" s="1" t="s">
        <v>65</v>
      </c>
      <c r="R436" s="1" t="s">
        <v>426</v>
      </c>
      <c r="U436" s="12" t="n">
        <v>0.0979166666666667</v>
      </c>
      <c r="V436" s="11" t="n">
        <v>46218</v>
      </c>
      <c r="W436" s="12" t="n">
        <v>0.901388888888889</v>
      </c>
      <c r="X436" s="11" t="n">
        <v>46219</v>
      </c>
      <c r="Y436" s="12" t="n">
        <v>0.875694444444444</v>
      </c>
      <c r="Z436" s="1" t="s">
        <v>108</v>
      </c>
      <c r="AA436" s="1" t="s">
        <v>68</v>
      </c>
      <c r="AB436" s="2" t="e">
        <f aca="false">U436-#REF!</f>
        <v>#REF!</v>
      </c>
      <c r="AC436" s="14" t="n">
        <f aca="false">(V436+W436)-(B436+C436)</f>
        <v>1.82430555555556</v>
      </c>
      <c r="AD436" s="4" t="str">
        <f aca="false">INT((V436+W436)-(B436+C436)) &amp; ":" &amp;
TEXT(HOUR((V436+W436)-(B436+C436)), "00") &amp; ":" &amp;
TEXT(MINUTE((V436+W436)-(B436+C436)), "00")</f>
        <v>1:19:47</v>
      </c>
      <c r="AE436" s="1" t="n">
        <f aca="false">IFERROR(
LEFT(AD436,FIND(":",AD436)-1)
+ MID(AD436,FIND(":",AD436)+1,2)/24
+ RIGHT(AD436,2)/1440,
"")</f>
        <v>1.82430555555556</v>
      </c>
      <c r="AF436" s="4" t="str">
        <f aca="false">INT((X436+Y436)-(B436+C436)) &amp; ":" &amp;
TEXT(HOUR((X436+Y436)-(B436+C436)), "00") &amp; ":" &amp;
TEXT(MINUTE((X436+Y436)-(B436+C436)), "00")</f>
        <v>2:19:10</v>
      </c>
      <c r="AG436" s="4" t="str">
        <f aca="false" t="array" ref="AG436:AG436">INT(_xlfn.XLOOKUP(J436,{"Low","Medium","High","Urgent"},{48,24,12,8})/24) &amp; ":" &amp;
TEXT(MOD(_xlfn.XLOOKUP(J436,{"Low","Medium","High","Urgent"},{48,24,12,8}),24)/24,"hh:mm")</f>
        <v>2:00:00</v>
      </c>
      <c r="AH436" s="4" t="str">
        <f aca="false">IF(AD436&gt;AG436,"Not Met","Met")</f>
        <v>Met</v>
      </c>
      <c r="AI436" s="4" t="e">
        <f aca="false">IF(AB436&lt;TIME(0,30,0),"Met","Not Met")</f>
        <v>#REF!</v>
      </c>
      <c r="AN436" s="1" t="str">
        <f aca="false">TEXT(B436,"dd")</f>
        <v>14</v>
      </c>
      <c r="AO436" s="1" t="str">
        <f aca="false">TEXT(X436,"dd")</f>
        <v>16</v>
      </c>
      <c r="AP436" s="16" t="str">
        <f aca="false">INT(
  NETWORKDAYS(B436,V436)-1
  + IF(WEEKDAY(V436,2)&lt;6,MOD(V436+W436,1),0)
  - IF(WEEKDAY(B436,2)&lt;6,MOD(B436+C436,1),0)
)
&amp; ":" &amp;
TEXT(HOUR(
  NETWORKDAYS(B436,V436)-1
  + IF(WEEKDAY(V436,2)&lt;6,MOD(V436+W436,1),0)
  - IF(WEEKDAY(B436,2)&lt;6,MOD(B436+C436,1),0)
),"00")
&amp; ":" &amp;
TEXT(MINUTE(
  NETWORKDAYS(B436,V436)-1
  + IF(WEEKDAY(V436,2)&lt;6,MOD(V436+W436,1),0)
  - IF(WEEKDAY(B436,2)&lt;6,MOD(B436+C436,1),0)
),"00")</f>
        <v>1:19:47</v>
      </c>
      <c r="AQ436" s="0" t="n">
        <f aca="false">IFERROR(
LEFT(AP436,FIND(":",AP436)-1)
+ MID(AP436,FIND(":",AP436)+1,2)/24
+ RIGHT(AP436,2)/1440,
"")</f>
        <v>1.82430555555556</v>
      </c>
      <c r="AR436" s="0" t="n">
        <f aca="false">WEEKNUM(B436,1)</f>
        <v>29</v>
      </c>
      <c r="AS436" s="17" t="n">
        <f aca="false">IF(B436&gt;0, (B436+C436)-TIME(13,30,0), "")</f>
        <v>46216.5145833333</v>
      </c>
      <c r="AT436" s="18" t="n">
        <f aca="false">IF(B436&gt;0, (B436+C436)-TIME(13,30,0), "")</f>
        <v>46216.5145833333</v>
      </c>
      <c r="AU436" s="17" t="n">
        <f aca="false">IF(V436&gt;0, (V436+W436)-TIME(13,30,0), "")</f>
        <v>46218.3388888889</v>
      </c>
      <c r="AV436" s="18" t="n">
        <f aca="false">IF(V436&gt;0, (V436+W436)-TIME(13,30,0), "")</f>
        <v>46218.3388888889</v>
      </c>
    </row>
    <row r="437" customFormat="false" ht="15" hidden="false" customHeight="false" outlineLevel="0" collapsed="false">
      <c r="A437" s="23" t="s">
        <v>1429</v>
      </c>
      <c r="B437" s="11" t="n">
        <v>46217</v>
      </c>
      <c r="C437" s="12" t="n">
        <v>0.103472222222222</v>
      </c>
      <c r="D437" s="13" t="str">
        <f aca="false">IF(B437="","",TEXT(B437,"MMM")&amp;"'"&amp;TEXT(B437,"yy"))</f>
        <v>Jul'26</v>
      </c>
      <c r="E437" s="1" t="s">
        <v>55</v>
      </c>
      <c r="F437" s="1" t="s">
        <v>140</v>
      </c>
      <c r="G437" s="1" t="str">
        <f aca="false">IF(F437="Closed","Closed","Pending")</f>
        <v>Pending</v>
      </c>
      <c r="H437" s="27" t="s">
        <v>81</v>
      </c>
      <c r="I437" s="1" t="s">
        <v>82</v>
      </c>
      <c r="J437" s="35" t="s">
        <v>74</v>
      </c>
      <c r="K437" s="1" t="s">
        <v>59</v>
      </c>
      <c r="L437" s="1" t="s">
        <v>1430</v>
      </c>
      <c r="M437" s="1" t="s">
        <v>1431</v>
      </c>
      <c r="N437" s="1" t="s">
        <v>143</v>
      </c>
      <c r="O437" s="1" t="s">
        <v>143</v>
      </c>
      <c r="Q437" s="1" t="s">
        <v>143</v>
      </c>
      <c r="R437" s="1" t="s">
        <v>66</v>
      </c>
      <c r="U437" s="12" t="n">
        <v>0.120138888888889</v>
      </c>
      <c r="Z437" s="1" t="s">
        <v>108</v>
      </c>
      <c r="AB437" s="2" t="e">
        <f aca="false">U437-#REF!</f>
        <v>#REF!</v>
      </c>
      <c r="AC437" s="14" t="n">
        <f aca="false">(V437+W437)-(B437+C437)</f>
        <v>-46217.1034722222</v>
      </c>
      <c r="AD437" s="4" t="str">
        <f aca="false">INT((V437+W437)-(B437+C437)) &amp; ":" &amp;
TEXT(HOUR((V437+W437)-(B437+C437)), "00") &amp; ":" &amp;
TEXT(MINUTE((V437+W437)-(B437+C437)), "00")</f>
        <v>-46218:21:31</v>
      </c>
      <c r="AE437" s="1" t="n">
        <f aca="false">IFERROR(
LEFT(AD437,FIND(":",AD437)-1)
+ MID(AD437,FIND(":",AD437)+1,2)/24
+ RIGHT(AD437,2)/1440,
"")</f>
        <v>-46217.1034722222</v>
      </c>
      <c r="AF437" s="4" t="str">
        <f aca="false">INT((X437+Y437)-(B437+C437)) &amp; ":" &amp;
TEXT(HOUR((X437+Y437)-(B437+C437)), "00") &amp; ":" &amp;
TEXT(MINUTE((X437+Y437)-(B437+C437)), "00")</f>
        <v>-46218:21:31</v>
      </c>
      <c r="AG437" s="4" t="str">
        <f aca="false" t="array" ref="AG437:AG437">INT(_xlfn.XLOOKUP(J437,{"Low","Medium","High","Urgent"},{48,24,12,8})/24) &amp; ":" &amp;
TEXT(MOD(_xlfn.XLOOKUP(J437,{"Low","Medium","High","Urgent"},{48,24,12,8}),24)/24,"hh:mm")</f>
        <v>2:00:00</v>
      </c>
      <c r="AH437" s="4" t="str">
        <f aca="false">IF(AD437&gt;AG437,"Not Met","Met")</f>
        <v>Met</v>
      </c>
      <c r="AI437" s="4" t="e">
        <f aca="false">IF(AB437&lt;TIME(0,30,0),"Met","Not Met")</f>
        <v>#REF!</v>
      </c>
      <c r="AN437" s="1" t="str">
        <f aca="false">TEXT(B437,"dd")</f>
        <v>14</v>
      </c>
      <c r="AO437" s="1" t="str">
        <f aca="false">TEXT(X437,"dd")</f>
        <v>30</v>
      </c>
      <c r="AP437" s="16" t="str">
        <f aca="false">INT(
  NETWORKDAYS(B437,V437)-1
  + IF(WEEKDAY(V437,2)&lt;6,MOD(V437+W437,1),0)
  - IF(WEEKDAY(B437,2)&lt;6,MOD(B437+C437,1),0)
)
&amp; ":" &amp;
TEXT(HOUR(
  NETWORKDAYS(B437,V437)-1
  + IF(WEEKDAY(V437,2)&lt;6,MOD(V437+W437,1),0)
  - IF(WEEKDAY(B437,2)&lt;6,MOD(B437+C437,1),0)
),"00")
&amp; ":" &amp;
TEXT(MINUTE(
  NETWORKDAYS(B437,V437)-1
  + IF(WEEKDAY(V437,2)&lt;6,MOD(V437+W437,1),0)
  - IF(WEEKDAY(B437,2)&lt;6,MOD(B437+C437,1),0)
),"00")</f>
        <v>-33014:21:31</v>
      </c>
      <c r="AQ437" s="0" t="n">
        <f aca="false">IFERROR(
LEFT(AP437,FIND(":",AP437)-1)
+ MID(AP437,FIND(":",AP437)+1,2)/24
+ RIGHT(AP437,2)/1440,
"")</f>
        <v>-33013.1034722222</v>
      </c>
      <c r="AR437" s="0" t="n">
        <f aca="false">WEEKNUM(B437,1)</f>
        <v>29</v>
      </c>
      <c r="AS437" s="17" t="n">
        <f aca="false">IF(B437&gt;0, (B437+C437)-TIME(13,30,0), "")</f>
        <v>46216.5409722222</v>
      </c>
      <c r="AT437" s="18" t="n">
        <f aca="false">IF(B437&gt;0, (B437+C437)-TIME(13,30,0), "")</f>
        <v>46216.5409722222</v>
      </c>
      <c r="AU437" s="17" t="str">
        <f aca="false">IF(V437&gt;0, (V437+W437)-TIME(13,30,0), "")</f>
        <v/>
      </c>
      <c r="AV437" s="18" t="str">
        <f aca="false">IF(V437&gt;0, (V437+W437)-TIME(13,30,0), "")</f>
        <v/>
      </c>
    </row>
    <row r="438" customFormat="false" ht="15" hidden="false" customHeight="false" outlineLevel="0" collapsed="false">
      <c r="A438" s="23" t="s">
        <v>1432</v>
      </c>
      <c r="B438" s="11" t="n">
        <v>46217</v>
      </c>
      <c r="C438" s="12" t="n">
        <v>0.11875</v>
      </c>
      <c r="D438" s="13" t="str">
        <f aca="false">IF(B438="","",TEXT(B438,"MMM")&amp;"'"&amp;TEXT(B438,"yy"))</f>
        <v>Jul'26</v>
      </c>
      <c r="E438" s="1" t="s">
        <v>55</v>
      </c>
      <c r="F438" s="1" t="s">
        <v>140</v>
      </c>
      <c r="G438" s="1" t="str">
        <f aca="false">IF(F438="Closed","Closed","Pending")</f>
        <v>Pending</v>
      </c>
      <c r="H438" s="27" t="s">
        <v>72</v>
      </c>
      <c r="I438" s="1" t="s">
        <v>1140</v>
      </c>
      <c r="J438" s="35" t="s">
        <v>58</v>
      </c>
      <c r="K438" s="1" t="s">
        <v>59</v>
      </c>
      <c r="L438" s="1" t="s">
        <v>1433</v>
      </c>
      <c r="M438" s="1" t="s">
        <v>1434</v>
      </c>
      <c r="N438" s="1" t="s">
        <v>62</v>
      </c>
      <c r="O438" s="1" t="s">
        <v>1152</v>
      </c>
      <c r="Q438" s="1" t="s">
        <v>63</v>
      </c>
      <c r="R438" s="1" t="s">
        <v>87</v>
      </c>
      <c r="U438" s="12" t="n">
        <v>0.121527777777778</v>
      </c>
      <c r="Z438" s="1" t="s">
        <v>108</v>
      </c>
      <c r="AB438" s="2" t="e">
        <f aca="false">U438-#REF!</f>
        <v>#REF!</v>
      </c>
      <c r="AC438" s="14" t="n">
        <f aca="false">(V438+W438)-(B438+C438)</f>
        <v>-46217.11875</v>
      </c>
      <c r="AD438" s="4" t="str">
        <f aca="false">INT((V438+W438)-(B438+C438)) &amp; ":" &amp;
TEXT(HOUR((V438+W438)-(B438+C438)), "00") &amp; ":" &amp;
TEXT(MINUTE((V438+W438)-(B438+C438)), "00")</f>
        <v>-46218:21:09</v>
      </c>
      <c r="AE438" s="1" t="n">
        <f aca="false">IFERROR(
LEFT(AD438,FIND(":",AD438)-1)
+ MID(AD438,FIND(":",AD438)+1,2)/24
+ RIGHT(AD438,2)/1440,
"")</f>
        <v>-46217.11875</v>
      </c>
      <c r="AF438" s="4" t="str">
        <f aca="false">INT((X438+Y438)-(B438+C438)) &amp; ":" &amp;
TEXT(HOUR((X438+Y438)-(B438+C438)), "00") &amp; ":" &amp;
TEXT(MINUTE((X438+Y438)-(B438+C438)), "00")</f>
        <v>-46218:21:09</v>
      </c>
      <c r="AG438" s="4" t="str">
        <f aca="false" t="array" ref="AG438:AG438">INT(_xlfn.XLOOKUP(J438,{"Low","Medium","High","Urgent"},{48,24,12,8})/24) &amp; ":" &amp;
TEXT(MOD(_xlfn.XLOOKUP(J438,{"Low","Medium","High","Urgent"},{48,24,12,8}),24)/24,"hh:mm")</f>
        <v>1:00:00</v>
      </c>
      <c r="AH438" s="4" t="str">
        <f aca="false">IF(AD438&gt;AG438,"Not Met","Met")</f>
        <v>Met</v>
      </c>
      <c r="AI438" s="4" t="e">
        <f aca="false">IF(AB438&lt;TIME(0,30,0),"Met","Not Met")</f>
        <v>#REF!</v>
      </c>
      <c r="AN438" s="1" t="str">
        <f aca="false">TEXT(B438,"dd")</f>
        <v>14</v>
      </c>
      <c r="AO438" s="1" t="str">
        <f aca="false">TEXT(X438,"dd")</f>
        <v>30</v>
      </c>
      <c r="AP438" s="16" t="str">
        <f aca="false">INT(
  NETWORKDAYS(B438,V438)-1
  + IF(WEEKDAY(V438,2)&lt;6,MOD(V438+W438,1),0)
  - IF(WEEKDAY(B438,2)&lt;6,MOD(B438+C438,1),0)
)
&amp; ":" &amp;
TEXT(HOUR(
  NETWORKDAYS(B438,V438)-1
  + IF(WEEKDAY(V438,2)&lt;6,MOD(V438+W438,1),0)
  - IF(WEEKDAY(B438,2)&lt;6,MOD(B438+C438,1),0)
),"00")
&amp; ":" &amp;
TEXT(MINUTE(
  NETWORKDAYS(B438,V438)-1
  + IF(WEEKDAY(V438,2)&lt;6,MOD(V438+W438,1),0)
  - IF(WEEKDAY(B438,2)&lt;6,MOD(B438+C438,1),0)
),"00")</f>
        <v>-33014:21:09</v>
      </c>
      <c r="AQ438" s="0" t="n">
        <f aca="false">IFERROR(
LEFT(AP438,FIND(":",AP438)-1)
+ MID(AP438,FIND(":",AP438)+1,2)/24
+ RIGHT(AP438,2)/1440,
"")</f>
        <v>-33013.11875</v>
      </c>
      <c r="AR438" s="0" t="n">
        <f aca="false">WEEKNUM(B438,1)</f>
        <v>29</v>
      </c>
      <c r="AS438" s="17" t="n">
        <f aca="false">IF(B438&gt;0, (B438+C438)-TIME(13,30,0), "")</f>
        <v>46216.55625</v>
      </c>
      <c r="AT438" s="18" t="n">
        <f aca="false">IF(B438&gt;0, (B438+C438)-TIME(13,30,0), "")</f>
        <v>46216.55625</v>
      </c>
      <c r="AU438" s="17" t="str">
        <f aca="false">IF(V438&gt;0, (V438+W438)-TIME(13,30,0), "")</f>
        <v/>
      </c>
      <c r="AV438" s="18" t="str">
        <f aca="false">IF(V438&gt;0, (V438+W438)-TIME(13,30,0), "")</f>
        <v/>
      </c>
    </row>
    <row r="439" customFormat="false" ht="15" hidden="false" customHeight="false" outlineLevel="0" collapsed="false">
      <c r="A439" s="23" t="s">
        <v>1435</v>
      </c>
      <c r="B439" s="11" t="n">
        <v>46217</v>
      </c>
      <c r="C439" s="12" t="n">
        <v>0.202083333333333</v>
      </c>
      <c r="D439" s="13" t="str">
        <f aca="false">IF(B439="","",TEXT(B439,"MMM")&amp;"'"&amp;TEXT(B439,"yy"))</f>
        <v>Jul'26</v>
      </c>
      <c r="E439" s="1" t="s">
        <v>55</v>
      </c>
      <c r="F439" s="1" t="s">
        <v>140</v>
      </c>
      <c r="G439" s="1" t="str">
        <f aca="false">IF(F439="Closed","Closed","Pending")</f>
        <v>Pending</v>
      </c>
      <c r="H439" s="27" t="s">
        <v>81</v>
      </c>
      <c r="I439" s="1" t="s">
        <v>82</v>
      </c>
      <c r="J439" s="35" t="s">
        <v>58</v>
      </c>
      <c r="K439" s="1" t="s">
        <v>59</v>
      </c>
      <c r="L439" s="1" t="s">
        <v>1436</v>
      </c>
      <c r="M439" s="1" t="s">
        <v>1437</v>
      </c>
      <c r="N439" s="1" t="s">
        <v>143</v>
      </c>
      <c r="O439" s="1" t="s">
        <v>143</v>
      </c>
      <c r="Q439" s="1" t="s">
        <v>143</v>
      </c>
      <c r="R439" s="1" t="s">
        <v>87</v>
      </c>
      <c r="U439" s="12" t="n">
        <v>0.222916666666667</v>
      </c>
      <c r="Z439" s="1" t="s">
        <v>108</v>
      </c>
      <c r="AB439" s="2" t="e">
        <f aca="false">U439-#REF!</f>
        <v>#REF!</v>
      </c>
      <c r="AC439" s="14" t="n">
        <f aca="false">(V439+W439)-(B439+C439)</f>
        <v>-46217.2020833333</v>
      </c>
      <c r="AD439" s="4" t="str">
        <f aca="false">INT((V439+W439)-(B439+C439)) &amp; ":" &amp;
TEXT(HOUR((V439+W439)-(B439+C439)), "00") &amp; ":" &amp;
TEXT(MINUTE((V439+W439)-(B439+C439)), "00")</f>
        <v>-46218:19:09</v>
      </c>
      <c r="AE439" s="1" t="n">
        <f aca="false">IFERROR(
LEFT(AD439,FIND(":",AD439)-1)
+ MID(AD439,FIND(":",AD439)+1,2)/24
+ RIGHT(AD439,2)/1440,
"")</f>
        <v>-46217.2020833333</v>
      </c>
      <c r="AF439" s="4" t="str">
        <f aca="false">INT((X439+Y439)-(B439+C439)) &amp; ":" &amp;
TEXT(HOUR((X439+Y439)-(B439+C439)), "00") &amp; ":" &amp;
TEXT(MINUTE((X439+Y439)-(B439+C439)), "00")</f>
        <v>-46218:19:09</v>
      </c>
      <c r="AG439" s="4" t="str">
        <f aca="false" t="array" ref="AG439:AG439">INT(_xlfn.XLOOKUP(J439,{"Low","Medium","High","Urgent"},{48,24,12,8})/24) &amp; ":" &amp;
TEXT(MOD(_xlfn.XLOOKUP(J439,{"Low","Medium","High","Urgent"},{48,24,12,8}),24)/24,"hh:mm")</f>
        <v>1:00:00</v>
      </c>
      <c r="AH439" s="4" t="str">
        <f aca="false">IF(AD439&gt;AG439,"Not Met","Met")</f>
        <v>Met</v>
      </c>
      <c r="AI439" s="4" t="e">
        <f aca="false">IF(AB439&lt;TIME(0,30,0),"Met","Not Met")</f>
        <v>#REF!</v>
      </c>
      <c r="AN439" s="1" t="str">
        <f aca="false">TEXT(B439,"dd")</f>
        <v>14</v>
      </c>
      <c r="AO439" s="1" t="str">
        <f aca="false">TEXT(X439,"dd")</f>
        <v>30</v>
      </c>
      <c r="AP439" s="16" t="str">
        <f aca="false">INT(
  NETWORKDAYS(B439,V439)-1
  + IF(WEEKDAY(V439,2)&lt;6,MOD(V439+W439,1),0)
  - IF(WEEKDAY(B439,2)&lt;6,MOD(B439+C439,1),0)
)
&amp; ":" &amp;
TEXT(HOUR(
  NETWORKDAYS(B439,V439)-1
  + IF(WEEKDAY(V439,2)&lt;6,MOD(V439+W439,1),0)
  - IF(WEEKDAY(B439,2)&lt;6,MOD(B439+C439,1),0)
),"00")
&amp; ":" &amp;
TEXT(MINUTE(
  NETWORKDAYS(B439,V439)-1
  + IF(WEEKDAY(V439,2)&lt;6,MOD(V439+W439,1),0)
  - IF(WEEKDAY(B439,2)&lt;6,MOD(B439+C439,1),0)
),"00")</f>
        <v>-33014:19:09</v>
      </c>
      <c r="AQ439" s="0" t="n">
        <f aca="false">IFERROR(
LEFT(AP439,FIND(":",AP439)-1)
+ MID(AP439,FIND(":",AP439)+1,2)/24
+ RIGHT(AP439,2)/1440,
"")</f>
        <v>-33013.2020833333</v>
      </c>
      <c r="AR439" s="0" t="n">
        <f aca="false">WEEKNUM(B439,1)</f>
        <v>29</v>
      </c>
      <c r="AS439" s="17" t="n">
        <f aca="false">IF(B439&gt;0, (B439+C439)-TIME(13,30,0), "")</f>
        <v>46216.6395833333</v>
      </c>
      <c r="AT439" s="18" t="n">
        <f aca="false">IF(B439&gt;0, (B439+C439)-TIME(13,30,0), "")</f>
        <v>46216.6395833333</v>
      </c>
      <c r="AU439" s="17" t="str">
        <f aca="false">IF(V439&gt;0, (V439+W439)-TIME(13,30,0), "")</f>
        <v/>
      </c>
      <c r="AV439" s="18" t="str">
        <f aca="false">IF(V439&gt;0, (V439+W439)-TIME(13,30,0), "")</f>
        <v/>
      </c>
    </row>
    <row r="440" customFormat="false" ht="15" hidden="false" customHeight="false" outlineLevel="0" collapsed="false">
      <c r="A440" s="23" t="s">
        <v>1438</v>
      </c>
      <c r="B440" s="11" t="n">
        <v>46217</v>
      </c>
      <c r="C440" s="12" t="n">
        <v>0.202083333333333</v>
      </c>
      <c r="D440" s="13" t="str">
        <f aca="false">IF(B440="","",TEXT(B440,"MMM")&amp;"'"&amp;TEXT(B440,"yy"))</f>
        <v>Jul'26</v>
      </c>
      <c r="E440" s="1" t="s">
        <v>55</v>
      </c>
      <c r="F440" s="1" t="s">
        <v>39</v>
      </c>
      <c r="G440" s="1" t="str">
        <f aca="false">IF(F440="Closed","Closed","Pending")</f>
        <v>Closed</v>
      </c>
      <c r="H440" s="27" t="s">
        <v>1292</v>
      </c>
      <c r="I440" s="1" t="s">
        <v>1015</v>
      </c>
      <c r="J440" s="35" t="s">
        <v>58</v>
      </c>
      <c r="K440" s="1" t="s">
        <v>59</v>
      </c>
      <c r="L440" s="1" t="s">
        <v>1439</v>
      </c>
      <c r="M440" s="1" t="s">
        <v>1440</v>
      </c>
      <c r="N440" s="1" t="s">
        <v>65</v>
      </c>
      <c r="O440" s="1" t="s">
        <v>106</v>
      </c>
      <c r="Q440" s="1" t="s">
        <v>65</v>
      </c>
      <c r="R440" s="1" t="s">
        <v>87</v>
      </c>
      <c r="U440" s="12" t="n">
        <v>0.222916666666667</v>
      </c>
      <c r="V440" s="11" t="n">
        <v>46218</v>
      </c>
      <c r="W440" s="12" t="n">
        <v>0.902777777777778</v>
      </c>
      <c r="X440" s="11" t="n">
        <v>46218</v>
      </c>
      <c r="Y440" s="12" t="n">
        <v>0.922916666666667</v>
      </c>
      <c r="Z440" s="1" t="s">
        <v>108</v>
      </c>
      <c r="AA440" s="1" t="s">
        <v>68</v>
      </c>
      <c r="AB440" s="2" t="e">
        <f aca="false">U440-#REF!</f>
        <v>#REF!</v>
      </c>
      <c r="AC440" s="14" t="n">
        <f aca="false">(V440+W440)-(B440+C440)</f>
        <v>1.70069444444444</v>
      </c>
      <c r="AD440" s="4" t="str">
        <f aca="false">INT((V440+W440)-(B440+C440)) &amp; ":" &amp;
TEXT(HOUR((V440+W440)-(B440+C440)), "00") &amp; ":" &amp;
TEXT(MINUTE((V440+W440)-(B440+C440)), "00")</f>
        <v>1:16:49</v>
      </c>
      <c r="AE440" s="1" t="n">
        <f aca="false">IFERROR(
LEFT(AD440,FIND(":",AD440)-1)
+ MID(AD440,FIND(":",AD440)+1,2)/24
+ RIGHT(AD440,2)/1440,
"")</f>
        <v>1.70069444444444</v>
      </c>
      <c r="AF440" s="4" t="str">
        <f aca="false">INT((X440+Y440)-(B440+C440)) &amp; ":" &amp;
TEXT(HOUR((X440+Y440)-(B440+C440)), "00") &amp; ":" &amp;
TEXT(MINUTE((X440+Y440)-(B440+C440)), "00")</f>
        <v>1:17:18</v>
      </c>
      <c r="AG440" s="4" t="str">
        <f aca="false" t="array" ref="AG440:AG440">INT(_xlfn.XLOOKUP(J440,{"Low","Medium","High","Urgent"},{48,24,12,8})/24) &amp; ":" &amp;
TEXT(MOD(_xlfn.XLOOKUP(J440,{"Low","Medium","High","Urgent"},{48,24,12,8}),24)/24,"hh:mm")</f>
        <v>1:00:00</v>
      </c>
      <c r="AH440" s="4" t="str">
        <f aca="false">IF(AD440&gt;AG440,"Not Met","Met")</f>
        <v>Not Met</v>
      </c>
      <c r="AI440" s="4" t="e">
        <f aca="false">IF(AB440&lt;TIME(0,30,0),"Met","Not Met")</f>
        <v>#REF!</v>
      </c>
      <c r="AN440" s="1" t="str">
        <f aca="false">TEXT(B440,"dd")</f>
        <v>14</v>
      </c>
      <c r="AO440" s="1" t="str">
        <f aca="false">TEXT(X440,"dd")</f>
        <v>15</v>
      </c>
      <c r="AP440" s="16" t="str">
        <f aca="false">INT(
  NETWORKDAYS(B440,V440)-1
  + IF(WEEKDAY(V440,2)&lt;6,MOD(V440+W440,1),0)
  - IF(WEEKDAY(B440,2)&lt;6,MOD(B440+C440,1),0)
)
&amp; ":" &amp;
TEXT(HOUR(
  NETWORKDAYS(B440,V440)-1
  + IF(WEEKDAY(V440,2)&lt;6,MOD(V440+W440,1),0)
  - IF(WEEKDAY(B440,2)&lt;6,MOD(B440+C440,1),0)
),"00")
&amp; ":" &amp;
TEXT(MINUTE(
  NETWORKDAYS(B440,V440)-1
  + IF(WEEKDAY(V440,2)&lt;6,MOD(V440+W440,1),0)
  - IF(WEEKDAY(B440,2)&lt;6,MOD(B440+C440,1),0)
),"00")</f>
        <v>1:16:49</v>
      </c>
      <c r="AQ440" s="0" t="n">
        <f aca="false">IFERROR(
LEFT(AP440,FIND(":",AP440)-1)
+ MID(AP440,FIND(":",AP440)+1,2)/24
+ RIGHT(AP440,2)/1440,
"")</f>
        <v>1.70069444444444</v>
      </c>
      <c r="AR440" s="0" t="n">
        <f aca="false">WEEKNUM(B440,1)</f>
        <v>29</v>
      </c>
      <c r="AS440" s="17" t="n">
        <f aca="false">IF(B440&gt;0, (B440+C440)-TIME(13,30,0), "")</f>
        <v>46216.6395833333</v>
      </c>
      <c r="AT440" s="18" t="n">
        <f aca="false">IF(B440&gt;0, (B440+C440)-TIME(13,30,0), "")</f>
        <v>46216.6395833333</v>
      </c>
      <c r="AU440" s="17" t="n">
        <f aca="false">IF(V440&gt;0, (V440+W440)-TIME(13,30,0), "")</f>
        <v>46218.3402777778</v>
      </c>
      <c r="AV440" s="18" t="n">
        <f aca="false">IF(V440&gt;0, (V440+W440)-TIME(13,30,0), "")</f>
        <v>46218.3402777778</v>
      </c>
    </row>
    <row r="441" customFormat="false" ht="15" hidden="false" customHeight="false" outlineLevel="0" collapsed="false">
      <c r="A441" s="1" t="s">
        <v>1441</v>
      </c>
      <c r="B441" s="11" t="n">
        <v>46217</v>
      </c>
      <c r="C441" s="12" t="n">
        <v>0.929166666666667</v>
      </c>
      <c r="D441" s="13" t="str">
        <f aca="false">IF(B441="","",TEXT(B441,"MMM")&amp;"'"&amp;TEXT(B441,"yy"))</f>
        <v>Jul'26</v>
      </c>
      <c r="E441" s="1" t="s">
        <v>55</v>
      </c>
      <c r="F441" s="1" t="s">
        <v>39</v>
      </c>
      <c r="G441" s="1" t="str">
        <f aca="false">IF(F441="Closed","Closed","Pending")</f>
        <v>Closed</v>
      </c>
      <c r="H441" s="1" t="s">
        <v>81</v>
      </c>
      <c r="I441" s="26" t="s">
        <v>82</v>
      </c>
      <c r="J441" s="1" t="s">
        <v>74</v>
      </c>
      <c r="K441" s="1" t="s">
        <v>59</v>
      </c>
      <c r="L441" s="1" t="s">
        <v>1442</v>
      </c>
      <c r="M441" s="1" t="s">
        <v>1443</v>
      </c>
      <c r="N441" s="1" t="s">
        <v>65</v>
      </c>
      <c r="O441" s="1" t="s">
        <v>106</v>
      </c>
      <c r="Q441" s="1" t="s">
        <v>65</v>
      </c>
      <c r="R441" s="1" t="s">
        <v>87</v>
      </c>
      <c r="U441" s="12" t="n">
        <v>0.952083333333333</v>
      </c>
      <c r="V441" s="11" t="n">
        <v>46218</v>
      </c>
      <c r="W441" s="12" t="n">
        <v>0.904166666666667</v>
      </c>
      <c r="X441" s="11" t="n">
        <v>46218</v>
      </c>
      <c r="Y441" s="12" t="n">
        <v>0.907638888888889</v>
      </c>
      <c r="Z441" s="1" t="s">
        <v>108</v>
      </c>
      <c r="AA441" s="1" t="s">
        <v>68</v>
      </c>
      <c r="AB441" s="2" t="e">
        <f aca="false">U441-#REF!</f>
        <v>#REF!</v>
      </c>
      <c r="AC441" s="14" t="n">
        <f aca="false">(V441+W441)-(B441+C441)</f>
        <v>0.975</v>
      </c>
      <c r="AD441" s="4" t="str">
        <f aca="false">INT((V441+W441)-(B441+C441)) &amp; ":" &amp;
TEXT(HOUR((V441+W441)-(B441+C441)), "00") &amp; ":" &amp;
TEXT(MINUTE((V441+W441)-(B441+C441)), "00")</f>
        <v>0:23:24</v>
      </c>
      <c r="AE441" s="1" t="n">
        <f aca="false">IFERROR(
LEFT(AD441,FIND(":",AD441)-1)
+ MID(AD441,FIND(":",AD441)+1,2)/24
+ RIGHT(AD441,2)/1440,
"")</f>
        <v>0.975</v>
      </c>
      <c r="AF441" s="4" t="str">
        <f aca="false">INT((X441+Y441)-(B441+C441)) &amp; ":" &amp;
TEXT(HOUR((X441+Y441)-(B441+C441)), "00") &amp; ":" &amp;
TEXT(MINUTE((X441+Y441)-(B441+C441)), "00")</f>
        <v>0:23:29</v>
      </c>
      <c r="AG441" s="4" t="str">
        <f aca="false" t="array" ref="AG441:AG441">INT(_xlfn.XLOOKUP(J441,{"Low","Medium","High","Urgent"},{48,24,12,8})/24) &amp; ":" &amp;
TEXT(MOD(_xlfn.XLOOKUP(J441,{"Low","Medium","High","Urgent"},{48,24,12,8}),24)/24,"hh:mm")</f>
        <v>2:00:00</v>
      </c>
      <c r="AH441" s="4" t="str">
        <f aca="false">IF(AD441&gt;AG441,"Not Met","Met")</f>
        <v>Met</v>
      </c>
      <c r="AI441" s="4" t="e">
        <f aca="false">IF(AB441&lt;TIME(0,30,0),"Met","Not Met")</f>
        <v>#REF!</v>
      </c>
      <c r="AN441" s="1" t="str">
        <f aca="false">TEXT(B441,"dd")</f>
        <v>14</v>
      </c>
      <c r="AO441" s="1" t="str">
        <f aca="false">TEXT(X441,"dd")</f>
        <v>15</v>
      </c>
      <c r="AP441" s="16" t="str">
        <f aca="false">INT(
  NETWORKDAYS(B441,V441)-1
  + IF(WEEKDAY(V441,2)&lt;6,MOD(V441+W441,1),0)
  - IF(WEEKDAY(B441,2)&lt;6,MOD(B441+C441,1),0)
)
&amp; ":" &amp;
TEXT(HOUR(
  NETWORKDAYS(B441,V441)-1
  + IF(WEEKDAY(V441,2)&lt;6,MOD(V441+W441,1),0)
  - IF(WEEKDAY(B441,2)&lt;6,MOD(B441+C441,1),0)
),"00")
&amp; ":" &amp;
TEXT(MINUTE(
  NETWORKDAYS(B441,V441)-1
  + IF(WEEKDAY(V441,2)&lt;6,MOD(V441+W441,1),0)
  - IF(WEEKDAY(B441,2)&lt;6,MOD(B441+C441,1),0)
),"00")</f>
        <v>0:23:23</v>
      </c>
      <c r="AQ441" s="0" t="n">
        <f aca="false">IFERROR(
LEFT(AP441,FIND(":",AP441)-1)
+ MID(AP441,FIND(":",AP441)+1,2)/24
+ RIGHT(AP441,2)/1440,
"")</f>
        <v>0.974305555555556</v>
      </c>
      <c r="AR441" s="0" t="n">
        <f aca="false">WEEKNUM(B441,1)</f>
        <v>29</v>
      </c>
      <c r="AS441" s="17" t="n">
        <f aca="false">IF(B441&gt;0, (B441+C441)-TIME(13,30,0), "")</f>
        <v>46217.3666666667</v>
      </c>
      <c r="AT441" s="18" t="n">
        <f aca="false">IF(B441&gt;0, (B441+C441)-TIME(13,30,0), "")</f>
        <v>46217.3666666667</v>
      </c>
      <c r="AU441" s="17" t="n">
        <f aca="false">IF(V441&gt;0, (V441+W441)-TIME(13,30,0), "")</f>
        <v>46218.3416666667</v>
      </c>
      <c r="AV441" s="18" t="n">
        <f aca="false">IF(V441&gt;0, (V441+W441)-TIME(13,30,0), "")</f>
        <v>46218.3416666667</v>
      </c>
    </row>
    <row r="442" customFormat="false" ht="15" hidden="false" customHeight="false" outlineLevel="0" collapsed="false">
      <c r="A442" s="1" t="s">
        <v>1444</v>
      </c>
      <c r="B442" s="11" t="n">
        <v>46218</v>
      </c>
      <c r="C442" s="12" t="n">
        <v>0.126388888888889</v>
      </c>
      <c r="D442" s="13" t="str">
        <f aca="false">IF(B442="","",TEXT(B442,"MMM")&amp;"'"&amp;TEXT(B442,"yy"))</f>
        <v>Jul'26</v>
      </c>
      <c r="E442" s="1" t="s">
        <v>55</v>
      </c>
      <c r="F442" s="1" t="s">
        <v>39</v>
      </c>
      <c r="G442" s="1" t="str">
        <f aca="false">IF(F442="Closed","Closed","Pending")</f>
        <v>Closed</v>
      </c>
      <c r="H442" s="27" t="s">
        <v>263</v>
      </c>
      <c r="I442" s="1" t="s">
        <v>639</v>
      </c>
      <c r="J442" s="35" t="s">
        <v>74</v>
      </c>
      <c r="K442" s="1" t="s">
        <v>59</v>
      </c>
      <c r="L442" s="1" t="s">
        <v>886</v>
      </c>
      <c r="M442" s="1" t="s">
        <v>1445</v>
      </c>
      <c r="N442" s="1" t="s">
        <v>65</v>
      </c>
      <c r="O442" s="1" t="s">
        <v>106</v>
      </c>
      <c r="Q442" s="1" t="s">
        <v>65</v>
      </c>
      <c r="R442" s="1" t="s">
        <v>87</v>
      </c>
      <c r="U442" s="12" t="n">
        <v>0.138194444444444</v>
      </c>
      <c r="V442" s="11" t="n">
        <v>46218</v>
      </c>
      <c r="W442" s="12" t="n">
        <v>0.909722222222222</v>
      </c>
      <c r="X442" s="11" t="n">
        <v>46218</v>
      </c>
      <c r="Y442" s="12" t="n">
        <v>0.926388888888889</v>
      </c>
      <c r="Z442" s="1" t="s">
        <v>108</v>
      </c>
      <c r="AA442" s="1" t="s">
        <v>68</v>
      </c>
      <c r="AB442" s="2" t="e">
        <f aca="false">U442-#REF!</f>
        <v>#REF!</v>
      </c>
      <c r="AC442" s="14" t="n">
        <f aca="false">(V442+W442)-(B442+C442)</f>
        <v>0.783333333333333</v>
      </c>
      <c r="AD442" s="4" t="str">
        <f aca="false">INT((V442+W442)-(B442+C442)) &amp; ":" &amp;
TEXT(HOUR((V442+W442)-(B442+C442)), "00") &amp; ":" &amp;
TEXT(MINUTE((V442+W442)-(B442+C442)), "00")</f>
        <v>0:18:48</v>
      </c>
      <c r="AE442" s="1" t="n">
        <f aca="false">IFERROR(
LEFT(AD442,FIND(":",AD442)-1)
+ MID(AD442,FIND(":",AD442)+1,2)/24
+ RIGHT(AD442,2)/1440,
"")</f>
        <v>0.783333333333333</v>
      </c>
      <c r="AF442" s="4" t="str">
        <f aca="false">INT((X442+Y442)-(B442+C442)) &amp; ":" &amp;
TEXT(HOUR((X442+Y442)-(B442+C442)), "00") &amp; ":" &amp;
TEXT(MINUTE((X442+Y442)-(B442+C442)), "00")</f>
        <v>0:19:12</v>
      </c>
      <c r="AG442" s="4" t="str">
        <f aca="false" t="array" ref="AG442:AG442">INT(_xlfn.XLOOKUP(J442,{"Low","Medium","High","Urgent"},{48,24,12,8})/24) &amp; ":" &amp;
TEXT(MOD(_xlfn.XLOOKUP(J442,{"Low","Medium","High","Urgent"},{48,24,12,8}),24)/24,"hh:mm")</f>
        <v>2:00:00</v>
      </c>
      <c r="AH442" s="4" t="str">
        <f aca="false">IF(AD442&gt;AG442,"Not Met","Met")</f>
        <v>Met</v>
      </c>
      <c r="AI442" s="4" t="e">
        <f aca="false">IF(AB442&lt;TIME(0,30,0),"Met","Not Met")</f>
        <v>#REF!</v>
      </c>
      <c r="AN442" s="1" t="str">
        <f aca="false">TEXT(B442,"dd")</f>
        <v>15</v>
      </c>
      <c r="AO442" s="1" t="str">
        <f aca="false">TEXT(X442,"dd")</f>
        <v>15</v>
      </c>
      <c r="AP442" s="16" t="str">
        <f aca="false">INT(
  NETWORKDAYS(B442,V442)-1
  + IF(WEEKDAY(V442,2)&lt;6,MOD(V442+W442,1),0)
  - IF(WEEKDAY(B442,2)&lt;6,MOD(B442+C442,1),0)
)
&amp; ":" &amp;
TEXT(HOUR(
  NETWORKDAYS(B442,V442)-1
  + IF(WEEKDAY(V442,2)&lt;6,MOD(V442+W442,1),0)
  - IF(WEEKDAY(B442,2)&lt;6,MOD(B442+C442,1),0)
),"00")
&amp; ":" &amp;
TEXT(MINUTE(
  NETWORKDAYS(B442,V442)-1
  + IF(WEEKDAY(V442,2)&lt;6,MOD(V442+W442,1),0)
  - IF(WEEKDAY(B442,2)&lt;6,MOD(B442+C442,1),0)
),"00")</f>
        <v>0:18:47</v>
      </c>
      <c r="AQ442" s="0" t="n">
        <f aca="false">IFERROR(
LEFT(AP442,FIND(":",AP442)-1)
+ MID(AP442,FIND(":",AP442)+1,2)/24
+ RIGHT(AP442,2)/1440,
"")</f>
        <v>0.782638888888889</v>
      </c>
      <c r="AR442" s="0" t="n">
        <f aca="false">WEEKNUM(B442,1)</f>
        <v>29</v>
      </c>
      <c r="AS442" s="17" t="n">
        <f aca="false">IF(B442&gt;0, (B442+C442)-TIME(13,30,0), "")</f>
        <v>46217.5638888889</v>
      </c>
      <c r="AT442" s="18" t="n">
        <f aca="false">IF(B442&gt;0, (B442+C442)-TIME(13,30,0), "")</f>
        <v>46217.5638888889</v>
      </c>
      <c r="AU442" s="17" t="n">
        <f aca="false">IF(V442&gt;0, (V442+W442)-TIME(13,30,0), "")</f>
        <v>46218.3472222222</v>
      </c>
      <c r="AV442" s="18" t="n">
        <f aca="false">IF(V442&gt;0, (V442+W442)-TIME(13,30,0), "")</f>
        <v>46218.3472222222</v>
      </c>
    </row>
    <row r="443" customFormat="false" ht="15" hidden="false" customHeight="false" outlineLevel="0" collapsed="false">
      <c r="A443" s="1" t="s">
        <v>1446</v>
      </c>
      <c r="B443" s="11" t="n">
        <v>46218</v>
      </c>
      <c r="C443" s="12" t="n">
        <v>0.956944444444445</v>
      </c>
      <c r="D443" s="13" t="str">
        <f aca="false">IF(B443="","",TEXT(B443,"MMM")&amp;"'"&amp;TEXT(B443,"yy"))</f>
        <v>Jul'26</v>
      </c>
      <c r="E443" s="1" t="s">
        <v>55</v>
      </c>
      <c r="F443" s="1" t="s">
        <v>39</v>
      </c>
      <c r="G443" s="1" t="str">
        <f aca="false">IF(F443="Closed","Closed","Pending")</f>
        <v>Closed</v>
      </c>
      <c r="H443" s="27" t="s">
        <v>72</v>
      </c>
      <c r="I443" s="1" t="s">
        <v>1447</v>
      </c>
      <c r="J443" s="35" t="s">
        <v>74</v>
      </c>
      <c r="K443" s="1" t="s">
        <v>59</v>
      </c>
      <c r="L443" s="1" t="s">
        <v>1448</v>
      </c>
      <c r="M443" s="1" t="s">
        <v>1449</v>
      </c>
      <c r="N443" s="1" t="s">
        <v>65</v>
      </c>
      <c r="O443" s="1" t="s">
        <v>77</v>
      </c>
      <c r="Q443" s="1" t="s">
        <v>65</v>
      </c>
      <c r="R443" s="1" t="s">
        <v>1269</v>
      </c>
      <c r="U443" s="12" t="n">
        <v>0.959722222222222</v>
      </c>
      <c r="V443" s="11" t="n">
        <v>46223</v>
      </c>
      <c r="W443" s="12" t="n">
        <v>0.813194444444444</v>
      </c>
      <c r="X443" s="11" t="n">
        <v>46224</v>
      </c>
      <c r="Y443" s="12" t="n">
        <v>0.0458333333333333</v>
      </c>
      <c r="Z443" s="1" t="s">
        <v>108</v>
      </c>
      <c r="AA443" s="1" t="s">
        <v>68</v>
      </c>
      <c r="AB443" s="2" t="e">
        <f aca="false">U443-#REF!</f>
        <v>#REF!</v>
      </c>
      <c r="AC443" s="14" t="n">
        <f aca="false">(V443+W443)-(B443+C443)</f>
        <v>4.85625</v>
      </c>
      <c r="AD443" s="4" t="str">
        <f aca="false">INT((V443+W443)-(B443+C443)) &amp; ":" &amp;
TEXT(HOUR((V443+W443)-(B443+C443)), "00") &amp; ":" &amp;
TEXT(MINUTE((V443+W443)-(B443+C443)), "00")</f>
        <v>4:20:33</v>
      </c>
      <c r="AE443" s="1" t="n">
        <f aca="false">IFERROR(
LEFT(AD443,FIND(":",AD443)-1)
+ MID(AD443,FIND(":",AD443)+1,2)/24
+ RIGHT(AD443,2)/1440,
"")</f>
        <v>4.85625</v>
      </c>
      <c r="AF443" s="4" t="str">
        <f aca="false">INT((X443+Y443)-(B443+C443)) &amp; ":" &amp;
TEXT(HOUR((X443+Y443)-(B443+C443)), "00") &amp; ":" &amp;
TEXT(MINUTE((X443+Y443)-(B443+C443)), "00")</f>
        <v>5:02:08</v>
      </c>
      <c r="AG443" s="4" t="str">
        <f aca="false" t="array" ref="AG443:AG443">INT(_xlfn.XLOOKUP(J443,{"Low","Medium","High","Urgent"},{48,24,12,8})/24) &amp; ":" &amp;
TEXT(MOD(_xlfn.XLOOKUP(J443,{"Low","Medium","High","Urgent"},{48,24,12,8}),24)/24,"hh:mm")</f>
        <v>2:00:00</v>
      </c>
      <c r="AH443" s="4" t="str">
        <f aca="false">IF(AD443&gt;AG443,"Not Met","Met")</f>
        <v>Not Met</v>
      </c>
      <c r="AI443" s="4" t="e">
        <f aca="false">IF(AB443&lt;TIME(0,30,0),"Met","Not Met")</f>
        <v>#REF!</v>
      </c>
      <c r="AN443" s="1" t="str">
        <f aca="false">TEXT(B443,"dd")</f>
        <v>15</v>
      </c>
      <c r="AO443" s="1" t="str">
        <f aca="false">TEXT(X443,"dd")</f>
        <v>21</v>
      </c>
      <c r="AP443" s="16" t="str">
        <f aca="false">INT(
  NETWORKDAYS(B443,V443)-1
  + IF(WEEKDAY(V443,2)&lt;6,MOD(V443+W443,1),0)
  - IF(WEEKDAY(B443,2)&lt;6,MOD(B443+C443,1),0)
)
&amp; ":" &amp;
TEXT(HOUR(
  NETWORKDAYS(B443,V443)-1
  + IF(WEEKDAY(V443,2)&lt;6,MOD(V443+W443,1),0)
  - IF(WEEKDAY(B443,2)&lt;6,MOD(B443+C443,1),0)
),"00")
&amp; ":" &amp;
TEXT(MINUTE(
  NETWORKDAYS(B443,V443)-1
  + IF(WEEKDAY(V443,2)&lt;6,MOD(V443+W443,1),0)
  - IF(WEEKDAY(B443,2)&lt;6,MOD(B443+C443,1),0)
),"00")</f>
        <v>2:20:33</v>
      </c>
      <c r="AQ443" s="0" t="n">
        <f aca="false">IFERROR(
LEFT(AP443,FIND(":",AP443)-1)
+ MID(AP443,FIND(":",AP443)+1,2)/24
+ RIGHT(AP443,2)/1440,
"")</f>
        <v>2.85625</v>
      </c>
      <c r="AR443" s="0" t="n">
        <f aca="false">WEEKNUM(B443,1)</f>
        <v>29</v>
      </c>
      <c r="AS443" s="17" t="n">
        <f aca="false">IF(B443&gt;0, (B443+C443)-TIME(13,30,0), "")</f>
        <v>46218.3944444444</v>
      </c>
      <c r="AT443" s="18" t="n">
        <f aca="false">IF(B443&gt;0, (B443+C443)-TIME(13,30,0), "")</f>
        <v>46218.3944444444</v>
      </c>
      <c r="AU443" s="17" t="n">
        <f aca="false">IF(V443&gt;0, (V443+W443)-TIME(13,30,0), "")</f>
        <v>46223.2506944445</v>
      </c>
      <c r="AV443" s="18" t="n">
        <f aca="false">IF(V443&gt;0, (V443+W443)-TIME(13,30,0), "")</f>
        <v>46223.2506944445</v>
      </c>
    </row>
    <row r="444" customFormat="false" ht="15" hidden="false" customHeight="false" outlineLevel="0" collapsed="false">
      <c r="A444" s="1" t="s">
        <v>1450</v>
      </c>
      <c r="B444" s="11" t="n">
        <v>46218</v>
      </c>
      <c r="C444" s="12" t="n">
        <v>0.984027777777778</v>
      </c>
      <c r="D444" s="13" t="str">
        <f aca="false">IF(B444="","",TEXT(B444,"MMM")&amp;"'"&amp;TEXT(B444,"yy"))</f>
        <v>Jul'26</v>
      </c>
      <c r="E444" s="1" t="s">
        <v>55</v>
      </c>
      <c r="F444" s="1" t="s">
        <v>39</v>
      </c>
      <c r="G444" s="1" t="str">
        <f aca="false">IF(F444="Closed","Closed","Pending")</f>
        <v>Closed</v>
      </c>
      <c r="H444" s="27" t="s">
        <v>120</v>
      </c>
      <c r="I444" s="1" t="s">
        <v>1451</v>
      </c>
      <c r="J444" s="35" t="s">
        <v>74</v>
      </c>
      <c r="K444" s="1" t="s">
        <v>59</v>
      </c>
      <c r="L444" s="1" t="s">
        <v>1452</v>
      </c>
      <c r="M444" s="1" t="s">
        <v>722</v>
      </c>
      <c r="N444" s="1" t="s">
        <v>65</v>
      </c>
      <c r="O444" s="1" t="s">
        <v>106</v>
      </c>
      <c r="Q444" s="1" t="s">
        <v>65</v>
      </c>
      <c r="R444" s="1" t="s">
        <v>426</v>
      </c>
      <c r="U444" s="25" t="n">
        <v>46219.0118055556</v>
      </c>
      <c r="V444" s="11" t="n">
        <v>46219</v>
      </c>
      <c r="W444" s="12" t="n">
        <v>0.954861111111111</v>
      </c>
      <c r="X444" s="11" t="n">
        <v>46220</v>
      </c>
      <c r="Y444" s="12" t="n">
        <v>0.972222222222222</v>
      </c>
      <c r="Z444" s="1" t="s">
        <v>67</v>
      </c>
      <c r="AA444" s="1" t="s">
        <v>68</v>
      </c>
      <c r="AB444" s="2" t="n">
        <v>0.0277777777777778</v>
      </c>
      <c r="AC444" s="14" t="n">
        <f aca="false">(V444+W444)-(B444+C444)</f>
        <v>0.970833333333333</v>
      </c>
      <c r="AD444" s="4" t="str">
        <f aca="false">INT((V444+W444)-(B444+C444)) &amp; ":" &amp;
TEXT(HOUR((V444+W444)-(B444+C444)), "00") &amp; ":" &amp;
TEXT(MINUTE((V444+W444)-(B444+C444)), "00")</f>
        <v>0:23:18</v>
      </c>
      <c r="AE444" s="1" t="n">
        <f aca="false">IFERROR(
LEFT(AD444,FIND(":",AD444)-1)
+ MID(AD444,FIND(":",AD444)+1,2)/24
+ RIGHT(AD444,2)/1440,
"")</f>
        <v>0.970833333333333</v>
      </c>
      <c r="AF444" s="4" t="str">
        <f aca="false">INT((X444+Y444)-(B444+C444)) &amp; ":" &amp;
TEXT(HOUR((X444+Y444)-(B444+C444)), "00") &amp; ":" &amp;
TEXT(MINUTE((X444+Y444)-(B444+C444)), "00")</f>
        <v>1:23:43</v>
      </c>
      <c r="AG444" s="4" t="str">
        <f aca="false" t="array" ref="AG444:AG444">INT(_xlfn.XLOOKUP(J444,{"Low","Medium","High","Urgent"},{48,24,12,8})/24) &amp; ":" &amp;
TEXT(MOD(_xlfn.XLOOKUP(J444,{"Low","Medium","High","Urgent"},{48,24,12,8}),24)/24,"hh:mm")</f>
        <v>2:00:00</v>
      </c>
      <c r="AH444" s="4" t="str">
        <f aca="false">IF(AD444&gt;AG444,"Not Met","Met")</f>
        <v>Met</v>
      </c>
      <c r="AI444" s="4" t="str">
        <f aca="false">IF(AB444&lt;TIME(0,30,0),"Met","Not Met")</f>
        <v>Not Met</v>
      </c>
      <c r="AN444" s="1" t="str">
        <f aca="false">TEXT(B444,"dd")</f>
        <v>15</v>
      </c>
      <c r="AO444" s="1" t="str">
        <f aca="false">TEXT(X444,"dd")</f>
        <v>17</v>
      </c>
      <c r="AP444" s="16" t="str">
        <f aca="false">INT(
  NETWORKDAYS(B444,V444)-1
  + IF(WEEKDAY(V444,2)&lt;6,MOD(V444+W444,1),0)
  - IF(WEEKDAY(B444,2)&lt;6,MOD(B444+C444,1),0)
)
&amp; ":" &amp;
TEXT(HOUR(
  NETWORKDAYS(B444,V444)-1
  + IF(WEEKDAY(V444,2)&lt;6,MOD(V444+W444,1),0)
  - IF(WEEKDAY(B444,2)&lt;6,MOD(B444+C444,1),0)
),"00")
&amp; ":" &amp;
TEXT(MINUTE(
  NETWORKDAYS(B444,V444)-1
  + IF(WEEKDAY(V444,2)&lt;6,MOD(V444+W444,1),0)
  - IF(WEEKDAY(B444,2)&lt;6,MOD(B444+C444,1),0)
),"00")</f>
        <v>0:23:17</v>
      </c>
      <c r="AQ444" s="0" t="n">
        <f aca="false">IFERROR(
LEFT(AP444,FIND(":",AP444)-1)
+ MID(AP444,FIND(":",AP444)+1,2)/24
+ RIGHT(AP444,2)/1440,
"")</f>
        <v>0.970138888888889</v>
      </c>
      <c r="AR444" s="0" t="n">
        <f aca="false">WEEKNUM(B444,1)</f>
        <v>29</v>
      </c>
      <c r="AS444" s="17" t="n">
        <f aca="false">IF(B444&gt;0, (B444+C444)-TIME(13,30,0), "")</f>
        <v>46218.4215277778</v>
      </c>
      <c r="AT444" s="18" t="n">
        <f aca="false">IF(B444&gt;0, (B444+C444)-TIME(13,30,0), "")</f>
        <v>46218.4215277778</v>
      </c>
      <c r="AU444" s="17" t="n">
        <f aca="false">IF(V444&gt;0, (V444+W444)-TIME(13,30,0), "")</f>
        <v>46219.3923611111</v>
      </c>
      <c r="AV444" s="18" t="n">
        <f aca="false">IF(V444&gt;0, (V444+W444)-TIME(13,30,0), "")</f>
        <v>46219.3923611111</v>
      </c>
    </row>
    <row r="445" customFormat="false" ht="15" hidden="false" customHeight="false" outlineLevel="0" collapsed="false">
      <c r="A445" s="1" t="s">
        <v>1453</v>
      </c>
      <c r="B445" s="11" t="n">
        <v>46219</v>
      </c>
      <c r="C445" s="12" t="n">
        <v>0.95625</v>
      </c>
      <c r="D445" s="13" t="str">
        <f aca="false">IF(B445="","",TEXT(B445,"MMM")&amp;"'"&amp;TEXT(B445,"yy"))</f>
        <v>Jul'26</v>
      </c>
      <c r="E445" s="1" t="s">
        <v>55</v>
      </c>
      <c r="F445" s="1" t="s">
        <v>140</v>
      </c>
      <c r="G445" s="1" t="str">
        <f aca="false">IF(F445="Closed","Closed","Pending")</f>
        <v>Pending</v>
      </c>
      <c r="H445" s="27" t="s">
        <v>72</v>
      </c>
      <c r="I445" s="26" t="s">
        <v>1140</v>
      </c>
      <c r="J445" s="35" t="s">
        <v>74</v>
      </c>
      <c r="K445" s="1" t="s">
        <v>59</v>
      </c>
      <c r="L445" s="1" t="s">
        <v>1454</v>
      </c>
      <c r="M445" s="1" t="s">
        <v>1455</v>
      </c>
      <c r="N445" s="1" t="s">
        <v>62</v>
      </c>
      <c r="R445" s="1" t="s">
        <v>87</v>
      </c>
      <c r="U445" s="12" t="n">
        <v>0.961805555555556</v>
      </c>
      <c r="Z445" s="1" t="s">
        <v>108</v>
      </c>
      <c r="AB445" s="2" t="e">
        <f aca="false">U445-#REF!</f>
        <v>#REF!</v>
      </c>
      <c r="AC445" s="14" t="n">
        <f aca="false">(V445+W445)-(B445+C445)</f>
        <v>-46219.95625</v>
      </c>
      <c r="AD445" s="4" t="str">
        <f aca="false">INT((V445+W445)-(B445+C445)) &amp; ":" &amp;
TEXT(HOUR((V445+W445)-(B445+C445)), "00") &amp; ":" &amp;
TEXT(MINUTE((V445+W445)-(B445+C445)), "00")</f>
        <v>-46220:01:03</v>
      </c>
      <c r="AE445" s="1" t="n">
        <f aca="false">IFERROR(
LEFT(AD445,FIND(":",AD445)-1)
+ MID(AD445,FIND(":",AD445)+1,2)/24
+ RIGHT(AD445,2)/1440,
"")</f>
        <v>-46219.95625</v>
      </c>
      <c r="AF445" s="4" t="str">
        <f aca="false">INT((X445+Y445)-(B445+C445)) &amp; ":" &amp;
TEXT(HOUR((X445+Y445)-(B445+C445)), "00") &amp; ":" &amp;
TEXT(MINUTE((X445+Y445)-(B445+C445)), "00")</f>
        <v>-46220:01:03</v>
      </c>
      <c r="AG445" s="4" t="str">
        <f aca="false" t="array" ref="AG445:AG445">INT(_xlfn.XLOOKUP(J445,{"Low","Medium","High","Urgent"},{48,24,12,8})/24) &amp; ":" &amp;
TEXT(MOD(_xlfn.XLOOKUP(J445,{"Low","Medium","High","Urgent"},{48,24,12,8}),24)/24,"hh:mm")</f>
        <v>2:00:00</v>
      </c>
      <c r="AH445" s="4" t="str">
        <f aca="false">IF(AD445&gt;AG445,"Not Met","Met")</f>
        <v>Met</v>
      </c>
      <c r="AI445" s="4" t="e">
        <f aca="false">IF(AB445&lt;TIME(0,30,0),"Met","Not Met")</f>
        <v>#REF!</v>
      </c>
      <c r="AN445" s="1" t="str">
        <f aca="false">TEXT(B445,"dd")</f>
        <v>16</v>
      </c>
      <c r="AO445" s="1" t="str">
        <f aca="false">TEXT(X445,"dd")</f>
        <v>30</v>
      </c>
      <c r="AP445" s="16" t="str">
        <f aca="false">INT(
  NETWORKDAYS(B445,V445)-1
  + IF(WEEKDAY(V445,2)&lt;6,MOD(V445+W445,1),0)
  - IF(WEEKDAY(B445,2)&lt;6,MOD(B445+C445,1),0)
)
&amp; ":" &amp;
TEXT(HOUR(
  NETWORKDAYS(B445,V445)-1
  + IF(WEEKDAY(V445,2)&lt;6,MOD(V445+W445,1),0)
  - IF(WEEKDAY(B445,2)&lt;6,MOD(B445+C445,1),0)
),"00")
&amp; ":" &amp;
TEXT(MINUTE(
  NETWORKDAYS(B445,V445)-1
  + IF(WEEKDAY(V445,2)&lt;6,MOD(V445+W445,1),0)
  - IF(WEEKDAY(B445,2)&lt;6,MOD(B445+C445,1),0)
),"00")</f>
        <v>-33016:01:03</v>
      </c>
      <c r="AQ445" s="0" t="n">
        <f aca="false">IFERROR(
LEFT(AP445,FIND(":",AP445)-1)
+ MID(AP445,FIND(":",AP445)+1,2)/24
+ RIGHT(AP445,2)/1440,
"")</f>
        <v>-33015.95625</v>
      </c>
      <c r="AR445" s="0" t="n">
        <f aca="false">WEEKNUM(B445,1)</f>
        <v>29</v>
      </c>
      <c r="AS445" s="17" t="n">
        <f aca="false">IF(B445&gt;0, (B445+C445)-TIME(13,30,0), "")</f>
        <v>46219.39375</v>
      </c>
      <c r="AT445" s="18" t="n">
        <f aca="false">IF(B445&gt;0, (B445+C445)-TIME(13,30,0), "")</f>
        <v>46219.39375</v>
      </c>
      <c r="AU445" s="17" t="str">
        <f aca="false">IF(V445&gt;0, (V445+W445)-TIME(13,30,0), "")</f>
        <v/>
      </c>
      <c r="AV445" s="18" t="str">
        <f aca="false">IF(V445&gt;0, (V445+W445)-TIME(13,30,0), "")</f>
        <v/>
      </c>
    </row>
    <row r="446" customFormat="false" ht="15" hidden="false" customHeight="false" outlineLevel="0" collapsed="false">
      <c r="A446" s="1" t="s">
        <v>1456</v>
      </c>
      <c r="B446" s="11" t="n">
        <v>46220</v>
      </c>
      <c r="C446" s="12" t="n">
        <v>0.0243055555555556</v>
      </c>
      <c r="D446" s="13" t="str">
        <f aca="false">IF(B446="","",TEXT(B446,"MMM")&amp;"'"&amp;TEXT(B446,"yy"))</f>
        <v>Jul'26</v>
      </c>
      <c r="E446" s="1" t="s">
        <v>55</v>
      </c>
      <c r="F446" s="1" t="s">
        <v>39</v>
      </c>
      <c r="G446" s="1" t="str">
        <f aca="false">IF(F446="Closed","Closed","Pending")</f>
        <v>Closed</v>
      </c>
      <c r="H446" s="27" t="s">
        <v>120</v>
      </c>
      <c r="I446" s="1" t="s">
        <v>349</v>
      </c>
      <c r="J446" s="35" t="s">
        <v>74</v>
      </c>
      <c r="K446" s="1" t="s">
        <v>59</v>
      </c>
      <c r="L446" s="1" t="s">
        <v>1457</v>
      </c>
      <c r="M446" s="1" t="s">
        <v>722</v>
      </c>
      <c r="N446" s="1" t="s">
        <v>65</v>
      </c>
      <c r="O446" s="1" t="s">
        <v>106</v>
      </c>
      <c r="Q446" s="1" t="s">
        <v>65</v>
      </c>
      <c r="R446" s="1" t="s">
        <v>426</v>
      </c>
      <c r="U446" s="12" t="n">
        <v>0.0326388888888889</v>
      </c>
      <c r="V446" s="11" t="n">
        <v>46220</v>
      </c>
      <c r="W446" s="12" t="n">
        <v>0.964583333333333</v>
      </c>
      <c r="X446" s="11" t="n">
        <v>46220</v>
      </c>
      <c r="Y446" s="12" t="n">
        <v>0.966666666666667</v>
      </c>
      <c r="Z446" s="1" t="s">
        <v>67</v>
      </c>
      <c r="AA446" s="1" t="s">
        <v>68</v>
      </c>
      <c r="AB446" s="2" t="e">
        <f aca="false">U446-#REF!</f>
        <v>#REF!</v>
      </c>
      <c r="AC446" s="14" t="n">
        <f aca="false">(V446+W446)-(B446+C446)</f>
        <v>0.940277777777778</v>
      </c>
      <c r="AD446" s="4" t="str">
        <f aca="false">INT((V446+W446)-(B446+C446)) &amp; ":" &amp;
TEXT(HOUR((V446+W446)-(B446+C446)), "00") &amp; ":" &amp;
TEXT(MINUTE((V446+W446)-(B446+C446)), "00")</f>
        <v>0:22:34</v>
      </c>
      <c r="AE446" s="1" t="n">
        <f aca="false">IFERROR(
LEFT(AD446,FIND(":",AD446)-1)
+ MID(AD446,FIND(":",AD446)+1,2)/24
+ RIGHT(AD446,2)/1440,
"")</f>
        <v>0.940277777777778</v>
      </c>
      <c r="AF446" s="4" t="str">
        <f aca="false">INT((X446+Y446)-(B446+C446)) &amp; ":" &amp;
TEXT(HOUR((X446+Y446)-(B446+C446)), "00") &amp; ":" &amp;
TEXT(MINUTE((X446+Y446)-(B446+C446)), "00")</f>
        <v>0:22:37</v>
      </c>
      <c r="AG446" s="4" t="str">
        <f aca="false" t="array" ref="AG446:AG446">INT(_xlfn.XLOOKUP(J446,{"Low","Medium","High","Urgent"},{48,24,12,8})/24) &amp; ":" &amp;
TEXT(MOD(_xlfn.XLOOKUP(J446,{"Low","Medium","High","Urgent"},{48,24,12,8}),24)/24,"hh:mm")</f>
        <v>2:00:00</v>
      </c>
      <c r="AH446" s="4" t="str">
        <f aca="false">IF(AD446&gt;AG446,"Not Met","Met")</f>
        <v>Met</v>
      </c>
      <c r="AI446" s="4" t="e">
        <f aca="false">IF(AB446&lt;TIME(0,30,0),"Met","Not Met")</f>
        <v>#REF!</v>
      </c>
      <c r="AN446" s="1" t="str">
        <f aca="false">TEXT(B446,"dd")</f>
        <v>17</v>
      </c>
      <c r="AO446" s="1" t="str">
        <f aca="false">TEXT(X446,"dd")</f>
        <v>17</v>
      </c>
      <c r="AP446" s="16" t="str">
        <f aca="false">INT(
  NETWORKDAYS(B446,V446)-1
  + IF(WEEKDAY(V446,2)&lt;6,MOD(V446+W446,1),0)
  - IF(WEEKDAY(B446,2)&lt;6,MOD(B446+C446,1),0)
)
&amp; ":" &amp;
TEXT(HOUR(
  NETWORKDAYS(B446,V446)-1
  + IF(WEEKDAY(V446,2)&lt;6,MOD(V446+W446,1),0)
  - IF(WEEKDAY(B446,2)&lt;6,MOD(B446+C446,1),0)
),"00")
&amp; ":" &amp;
TEXT(MINUTE(
  NETWORKDAYS(B446,V446)-1
  + IF(WEEKDAY(V446,2)&lt;6,MOD(V446+W446,1),0)
  - IF(WEEKDAY(B446,2)&lt;6,MOD(B446+C446,1),0)
),"00")</f>
        <v>0:22:34</v>
      </c>
      <c r="AQ446" s="0" t="n">
        <f aca="false">IFERROR(
LEFT(AP446,FIND(":",AP446)-1)
+ MID(AP446,FIND(":",AP446)+1,2)/24
+ RIGHT(AP446,2)/1440,
"")</f>
        <v>0.940277777777778</v>
      </c>
      <c r="AR446" s="0" t="n">
        <f aca="false">WEEKNUM(B446,1)</f>
        <v>29</v>
      </c>
      <c r="AS446" s="17" t="n">
        <f aca="false">IF(B446&gt;0, (B446+C446)-TIME(13,30,0), "")</f>
        <v>46219.4618055556</v>
      </c>
      <c r="AT446" s="18" t="n">
        <f aca="false">IF(B446&gt;0, (B446+C446)-TIME(13,30,0), "")</f>
        <v>46219.4618055556</v>
      </c>
      <c r="AU446" s="17" t="n">
        <f aca="false">IF(V446&gt;0, (V446+W446)-TIME(13,30,0), "")</f>
        <v>46220.4020833333</v>
      </c>
      <c r="AV446" s="18" t="n">
        <f aca="false">IF(V446&gt;0, (V446+W446)-TIME(13,30,0), "")</f>
        <v>46220.4020833333</v>
      </c>
    </row>
    <row r="447" customFormat="false" ht="15" hidden="false" customHeight="false" outlineLevel="0" collapsed="false">
      <c r="A447" s="1" t="s">
        <v>1458</v>
      </c>
      <c r="B447" s="11" t="n">
        <v>46220</v>
      </c>
      <c r="C447" s="12" t="n">
        <v>0.257638888888889</v>
      </c>
      <c r="D447" s="13" t="str">
        <f aca="false">IF(B447="","",TEXT(B447,"MMM")&amp;"'"&amp;TEXT(B447,"yy"))</f>
        <v>Jul'26</v>
      </c>
      <c r="E447" s="1" t="s">
        <v>55</v>
      </c>
      <c r="F447" s="1" t="s">
        <v>39</v>
      </c>
      <c r="G447" s="1" t="str">
        <f aca="false">IF(F447="Closed","Closed","Pending")</f>
        <v>Closed</v>
      </c>
      <c r="H447" s="27" t="s">
        <v>691</v>
      </c>
      <c r="I447" s="1" t="s">
        <v>219</v>
      </c>
      <c r="J447" s="35" t="s">
        <v>58</v>
      </c>
      <c r="K447" s="1" t="s">
        <v>59</v>
      </c>
      <c r="L447" s="1" t="s">
        <v>1459</v>
      </c>
      <c r="M447" s="1" t="s">
        <v>1460</v>
      </c>
      <c r="N447" s="1" t="s">
        <v>65</v>
      </c>
      <c r="O447" s="1" t="s">
        <v>106</v>
      </c>
      <c r="Q447" s="1" t="s">
        <v>65</v>
      </c>
      <c r="R447" s="1" t="s">
        <v>230</v>
      </c>
      <c r="U447" s="12" t="n">
        <v>0.905555555555556</v>
      </c>
      <c r="V447" s="11" t="n">
        <v>46223</v>
      </c>
      <c r="W447" s="12" t="n">
        <v>0.813888888888889</v>
      </c>
      <c r="X447" s="11" t="n">
        <v>46223</v>
      </c>
      <c r="Y447" s="12" t="n">
        <v>0.875694444444444</v>
      </c>
      <c r="Z447" s="1" t="s">
        <v>67</v>
      </c>
      <c r="AA447" s="1" t="s">
        <v>68</v>
      </c>
      <c r="AB447" s="2" t="e">
        <f aca="false">U447-#REF!</f>
        <v>#REF!</v>
      </c>
      <c r="AC447" s="14" t="n">
        <f aca="false">(V447+W447)-(B447+C447)</f>
        <v>3.55625</v>
      </c>
      <c r="AD447" s="4" t="str">
        <f aca="false">INT((V447+W447)-(B447+C447)) &amp; ":" &amp;
TEXT(HOUR((V447+W447)-(B447+C447)), "00") &amp; ":" &amp;
TEXT(MINUTE((V447+W447)-(B447+C447)), "00")</f>
        <v>3:13:21</v>
      </c>
      <c r="AE447" s="1" t="n">
        <f aca="false">IFERROR(
LEFT(AD447,FIND(":",AD447)-1)
+ MID(AD447,FIND(":",AD447)+1,2)/24
+ RIGHT(AD447,2)/1440,
"")</f>
        <v>3.55625</v>
      </c>
      <c r="AF447" s="4" t="str">
        <f aca="false">INT((X447+Y447)-(B447+C447)) &amp; ":" &amp;
TEXT(HOUR((X447+Y447)-(B447+C447)), "00") &amp; ":" &amp;
TEXT(MINUTE((X447+Y447)-(B447+C447)), "00")</f>
        <v>3:14:50</v>
      </c>
      <c r="AG447" s="4" t="str">
        <f aca="false" t="array" ref="AG447:AG447">INT(_xlfn.XLOOKUP(J447,{"Low","Medium","High","Urgent"},{48,24,12,8})/24) &amp; ":" &amp;
TEXT(MOD(_xlfn.XLOOKUP(J447,{"Low","Medium","High","Urgent"},{48,24,12,8}),24)/24,"hh:mm")</f>
        <v>1:00:00</v>
      </c>
      <c r="AH447" s="4" t="str">
        <f aca="false">IF(AD447&gt;AG447,"Not Met","Met")</f>
        <v>Not Met</v>
      </c>
      <c r="AI447" s="4" t="e">
        <f aca="false">IF(AB447&lt;TIME(0,30,0),"Met","Not Met")</f>
        <v>#REF!</v>
      </c>
      <c r="AN447" s="1" t="str">
        <f aca="false">TEXT(B447,"dd")</f>
        <v>17</v>
      </c>
      <c r="AO447" s="1" t="str">
        <f aca="false">TEXT(X447,"dd")</f>
        <v>20</v>
      </c>
      <c r="AP447" s="16" t="str">
        <f aca="false">INT(
  NETWORKDAYS(B447,V447)-1
  + IF(WEEKDAY(V447,2)&lt;6,MOD(V447+W447,1),0)
  - IF(WEEKDAY(B447,2)&lt;6,MOD(B447+C447,1),0)
)
&amp; ":" &amp;
TEXT(HOUR(
  NETWORKDAYS(B447,V447)-1
  + IF(WEEKDAY(V447,2)&lt;6,MOD(V447+W447,1),0)
  - IF(WEEKDAY(B447,2)&lt;6,MOD(B447+C447,1),0)
),"00")
&amp; ":" &amp;
TEXT(MINUTE(
  NETWORKDAYS(B447,V447)-1
  + IF(WEEKDAY(V447,2)&lt;6,MOD(V447+W447,1),0)
  - IF(WEEKDAY(B447,2)&lt;6,MOD(B447+C447,1),0)
),"00")</f>
        <v>1:13:20</v>
      </c>
      <c r="AQ447" s="0" t="n">
        <f aca="false">IFERROR(
LEFT(AP447,FIND(":",AP447)-1)
+ MID(AP447,FIND(":",AP447)+1,2)/24
+ RIGHT(AP447,2)/1440,
"")</f>
        <v>1.55555555555556</v>
      </c>
      <c r="AR447" s="0" t="n">
        <f aca="false">WEEKNUM(B447,1)</f>
        <v>29</v>
      </c>
      <c r="AS447" s="17" t="n">
        <f aca="false">IF(B447&gt;0, (B447+C447)-TIME(13,30,0), "")</f>
        <v>46219.6951388889</v>
      </c>
      <c r="AT447" s="18" t="n">
        <f aca="false">IF(B447&gt;0, (B447+C447)-TIME(13,30,0), "")</f>
        <v>46219.6951388889</v>
      </c>
      <c r="AU447" s="17" t="n">
        <f aca="false">IF(V447&gt;0, (V447+W447)-TIME(13,30,0), "")</f>
        <v>46223.2513888889</v>
      </c>
      <c r="AV447" s="18" t="n">
        <f aca="false">IF(V447&gt;0, (V447+W447)-TIME(13,30,0), "")</f>
        <v>46223.2513888889</v>
      </c>
    </row>
    <row r="448" customFormat="false" ht="15" hidden="false" customHeight="false" outlineLevel="0" collapsed="false">
      <c r="A448" s="23" t="s">
        <v>1461</v>
      </c>
      <c r="B448" s="24" t="n">
        <v>46221</v>
      </c>
      <c r="C448" s="12" t="n">
        <v>0.0534722222222222</v>
      </c>
      <c r="D448" s="13" t="str">
        <f aca="false">IF(B448="","",TEXT(B448,"MMM")&amp;"'"&amp;TEXT(B448,"yy"))</f>
        <v>Jul'26</v>
      </c>
      <c r="E448" s="1" t="s">
        <v>55</v>
      </c>
      <c r="F448" s="1" t="s">
        <v>140</v>
      </c>
      <c r="G448" s="1" t="str">
        <f aca="false">IF(F448="Closed","Closed","Pending")</f>
        <v>Pending</v>
      </c>
      <c r="H448" s="1" t="s">
        <v>81</v>
      </c>
      <c r="I448" s="1" t="s">
        <v>82</v>
      </c>
      <c r="J448" s="1" t="s">
        <v>74</v>
      </c>
      <c r="K448" s="1" t="s">
        <v>59</v>
      </c>
      <c r="L448" s="1" t="s">
        <v>1462</v>
      </c>
      <c r="M448" s="1" t="s">
        <v>534</v>
      </c>
      <c r="N448" s="1" t="s">
        <v>65</v>
      </c>
      <c r="O448" s="1" t="s">
        <v>106</v>
      </c>
      <c r="Q448" s="1" t="s">
        <v>65</v>
      </c>
      <c r="R448" s="1" t="s">
        <v>87</v>
      </c>
      <c r="U448" s="12" t="n">
        <v>0.09375</v>
      </c>
      <c r="Z448" s="1" t="s">
        <v>67</v>
      </c>
      <c r="AB448" s="2" t="e">
        <f aca="false">U448-#REF!</f>
        <v>#REF!</v>
      </c>
      <c r="AC448" s="14" t="n">
        <f aca="false">(V448+W448)-(B448+C448)</f>
        <v>-46221.0534722222</v>
      </c>
      <c r="AD448" s="4" t="str">
        <f aca="false">INT((V448+W448)-(B448+C448)) &amp; ":" &amp;
TEXT(HOUR((V448+W448)-(B448+C448)), "00") &amp; ":" &amp;
TEXT(MINUTE((V448+W448)-(B448+C448)), "00")</f>
        <v>-46222:22:43</v>
      </c>
      <c r="AE448" s="1" t="n">
        <f aca="false">IFERROR(
LEFT(AD448,FIND(":",AD448)-1)
+ MID(AD448,FIND(":",AD448)+1,2)/24
+ RIGHT(AD448,2)/1440,
"")</f>
        <v>-46221.0534722222</v>
      </c>
      <c r="AF448" s="4" t="str">
        <f aca="false">INT((X448+Y448)-(B448+C448)) &amp; ":" &amp;
TEXT(HOUR((X448+Y448)-(B448+C448)), "00") &amp; ":" &amp;
TEXT(MINUTE((X448+Y448)-(B448+C448)), "00")</f>
        <v>-46222:22:43</v>
      </c>
      <c r="AG448" s="4" t="str">
        <f aca="false" t="array" ref="AG448:AG448">INT(_xlfn.XLOOKUP(J448,{"Low","Medium","High","Urgent"},{48,24,12,8})/24) &amp; ":" &amp;
TEXT(MOD(_xlfn.XLOOKUP(J448,{"Low","Medium","High","Urgent"},{48,24,12,8}),24)/24,"hh:mm")</f>
        <v>2:00:00</v>
      </c>
      <c r="AH448" s="4" t="str">
        <f aca="false">IF(AD448&gt;AG448,"Not Met","Met")</f>
        <v>Met</v>
      </c>
      <c r="AI448" s="4" t="e">
        <f aca="false">IF(AB448&lt;TIME(0,30,0),"Met","Not Met")</f>
        <v>#REF!</v>
      </c>
      <c r="AN448" s="1" t="str">
        <f aca="false">TEXT(B448,"dd")</f>
        <v>18</v>
      </c>
      <c r="AO448" s="1" t="str">
        <f aca="false">TEXT(X448,"dd")</f>
        <v>30</v>
      </c>
      <c r="AP448" s="16" t="str">
        <f aca="false">INT(
  NETWORKDAYS(B448,V448)-1
  + IF(WEEKDAY(V448,2)&lt;6,MOD(V448+W448,1),0)
  - IF(WEEKDAY(B448,2)&lt;6,MOD(B448+C448,1),0)
)
&amp; ":" &amp;
TEXT(HOUR(
  NETWORKDAYS(B448,V448)-1
  + IF(WEEKDAY(V448,2)&lt;6,MOD(V448+W448,1),0)
  - IF(WEEKDAY(B448,2)&lt;6,MOD(B448+C448,1),0)
),"00")
&amp; ":" &amp;
TEXT(MINUTE(
  NETWORKDAYS(B448,V448)-1
  + IF(WEEKDAY(V448,2)&lt;6,MOD(V448+W448,1),0)
  - IF(WEEKDAY(B448,2)&lt;6,MOD(B448+C448,1),0)
),"00")</f>
        <v>-33016:00:00</v>
      </c>
      <c r="AQ448" s="0" t="n">
        <f aca="false">IFERROR(
LEFT(AP448,FIND(":",AP448)-1)
+ MID(AP448,FIND(":",AP448)+1,2)/24
+ RIGHT(AP448,2)/1440,
"")</f>
        <v>-33016</v>
      </c>
      <c r="AR448" s="0" t="n">
        <f aca="false">WEEKNUM(B448,1)</f>
        <v>29</v>
      </c>
      <c r="AS448" s="17" t="n">
        <f aca="false">IF(B448&gt;0, (B448+C448)-TIME(13,30,0), "")</f>
        <v>46220.4909722222</v>
      </c>
      <c r="AT448" s="18" t="n">
        <f aca="false">IF(B448&gt;0, (B448+C448)-TIME(13,30,0), "")</f>
        <v>46220.4909722222</v>
      </c>
      <c r="AU448" s="17" t="str">
        <f aca="false">IF(V448&gt;0, (V448+W448)-TIME(13,30,0), "")</f>
        <v/>
      </c>
      <c r="AV448" s="18" t="str">
        <f aca="false">IF(V448&gt;0, (V448+W448)-TIME(13,30,0), "")</f>
        <v/>
      </c>
    </row>
    <row r="449" customFormat="false" ht="15" hidden="false" customHeight="false" outlineLevel="0" collapsed="false">
      <c r="A449" s="23" t="s">
        <v>1463</v>
      </c>
      <c r="B449" s="24" t="n">
        <v>46221</v>
      </c>
      <c r="C449" s="12" t="n">
        <v>0.156944444444444</v>
      </c>
      <c r="D449" s="13" t="str">
        <f aca="false">IF(B449="","",TEXT(B449,"MMM")&amp;"'"&amp;TEXT(B449,"yy"))</f>
        <v>Jul'26</v>
      </c>
      <c r="E449" s="1" t="s">
        <v>55</v>
      </c>
      <c r="F449" s="1" t="s">
        <v>1130</v>
      </c>
      <c r="G449" s="1" t="str">
        <f aca="false">IF(F449="Closed","Closed","Pending")</f>
        <v>Pending</v>
      </c>
      <c r="H449" s="26" t="s">
        <v>81</v>
      </c>
      <c r="I449" s="26" t="s">
        <v>82</v>
      </c>
      <c r="J449" s="26" t="s">
        <v>74</v>
      </c>
      <c r="K449" s="1" t="s">
        <v>59</v>
      </c>
      <c r="L449" s="1" t="s">
        <v>1464</v>
      </c>
      <c r="M449" s="1" t="s">
        <v>1465</v>
      </c>
      <c r="N449" s="1" t="s">
        <v>62</v>
      </c>
      <c r="R449" s="1" t="s">
        <v>230</v>
      </c>
      <c r="U449" s="25" t="n">
        <v>46223.8166666667</v>
      </c>
      <c r="Z449" s="1" t="s">
        <v>108</v>
      </c>
      <c r="AB449" s="2" t="n">
        <v>0.159722222222222</v>
      </c>
      <c r="AC449" s="14" t="n">
        <f aca="false">(V449+W449)-(B449+C449)</f>
        <v>-46221.1569444445</v>
      </c>
      <c r="AD449" s="4" t="str">
        <f aca="false">INT((V449+W449)-(B449+C449)) &amp; ":" &amp;
TEXT(HOUR((V449+W449)-(B449+C449)), "00") &amp; ":" &amp;
TEXT(MINUTE((V449+W449)-(B449+C449)), "00")</f>
        <v>-46222:20:14</v>
      </c>
      <c r="AE449" s="1" t="n">
        <f aca="false">IFERROR(
LEFT(AD449,FIND(":",AD449)-1)
+ MID(AD449,FIND(":",AD449)+1,2)/24
+ RIGHT(AD449,2)/1440,
"")</f>
        <v>-46221.1569444444</v>
      </c>
      <c r="AF449" s="4" t="str">
        <f aca="false">INT((X449+Y449)-(B449+C449)) &amp; ":" &amp;
TEXT(HOUR((X449+Y449)-(B449+C449)), "00") &amp; ":" &amp;
TEXT(MINUTE((X449+Y449)-(B449+C449)), "00")</f>
        <v>-46222:20:14</v>
      </c>
      <c r="AG449" s="4" t="str">
        <f aca="false" t="array" ref="AG449:AG449">INT(_xlfn.XLOOKUP(J449,{"Low","Medium","High","Urgent"},{48,24,12,8})/24) &amp; ":" &amp;
TEXT(MOD(_xlfn.XLOOKUP(J449,{"Low","Medium","High","Urgent"},{48,24,12,8}),24)/24,"hh:mm")</f>
        <v>2:00:00</v>
      </c>
      <c r="AH449" s="4" t="str">
        <f aca="false">IF(AD449&gt;AG449,"Not Met","Met")</f>
        <v>Met</v>
      </c>
      <c r="AI449" s="4" t="str">
        <f aca="false">IF(AB449&lt;TIME(0,30,0),"Met","Not Met")</f>
        <v>Not Met</v>
      </c>
      <c r="AN449" s="1" t="str">
        <f aca="false">TEXT(B449,"dd")</f>
        <v>18</v>
      </c>
      <c r="AO449" s="1" t="str">
        <f aca="false">TEXT(X449,"dd")</f>
        <v>30</v>
      </c>
      <c r="AP449" s="16" t="str">
        <f aca="false">INT(
  NETWORKDAYS(B449,V449)-1
  + IF(WEEKDAY(V449,2)&lt;6,MOD(V449+W449,1),0)
  - IF(WEEKDAY(B449,2)&lt;6,MOD(B449+C449,1),0)
)
&amp; ":" &amp;
TEXT(HOUR(
  NETWORKDAYS(B449,V449)-1
  + IF(WEEKDAY(V449,2)&lt;6,MOD(V449+W449,1),0)
  - IF(WEEKDAY(B449,2)&lt;6,MOD(B449+C449,1),0)
),"00")
&amp; ":" &amp;
TEXT(MINUTE(
  NETWORKDAYS(B449,V449)-1
  + IF(WEEKDAY(V449,2)&lt;6,MOD(V449+W449,1),0)
  - IF(WEEKDAY(B449,2)&lt;6,MOD(B449+C449,1),0)
),"00")</f>
        <v>-33016:00:00</v>
      </c>
      <c r="AQ449" s="0" t="n">
        <f aca="false">IFERROR(
LEFT(AP449,FIND(":",AP449)-1)
+ MID(AP449,FIND(":",AP449)+1,2)/24
+ RIGHT(AP449,2)/1440,
"")</f>
        <v>-33016</v>
      </c>
      <c r="AR449" s="0" t="n">
        <f aca="false">WEEKNUM(B449,1)</f>
        <v>29</v>
      </c>
      <c r="AS449" s="17" t="n">
        <f aca="false">IF(B449&gt;0, (B449+C449)-TIME(13,30,0), "")</f>
        <v>46220.5944444445</v>
      </c>
      <c r="AT449" s="18" t="n">
        <f aca="false">IF(B449&gt;0, (B449+C449)-TIME(13,30,0), "")</f>
        <v>46220.5944444445</v>
      </c>
      <c r="AU449" s="17" t="str">
        <f aca="false">IF(V449&gt;0, (V449+W449)-TIME(13,30,0), "")</f>
        <v/>
      </c>
      <c r="AV449" s="18" t="str">
        <f aca="false">IF(V449&gt;0, (V449+W449)-TIME(13,30,0), "")</f>
        <v/>
      </c>
    </row>
    <row r="450" customFormat="false" ht="15" hidden="false" customHeight="false" outlineLevel="0" collapsed="false">
      <c r="A450" s="23" t="s">
        <v>1466</v>
      </c>
      <c r="B450" s="24" t="n">
        <v>46221</v>
      </c>
      <c r="C450" s="12" t="n">
        <v>0.199305555555556</v>
      </c>
      <c r="D450" s="13" t="str">
        <f aca="false">IF(B450="","",TEXT(B450,"MMM")&amp;"'"&amp;TEXT(B450,"yy"))</f>
        <v>Jul'26</v>
      </c>
      <c r="E450" s="1" t="s">
        <v>55</v>
      </c>
      <c r="F450" s="1" t="s">
        <v>1130</v>
      </c>
      <c r="G450" s="1" t="str">
        <f aca="false">IF(F450="Closed","Closed","Pending")</f>
        <v>Pending</v>
      </c>
      <c r="H450" s="1" t="s">
        <v>81</v>
      </c>
      <c r="I450" s="1" t="s">
        <v>82</v>
      </c>
      <c r="J450" s="1" t="s">
        <v>74</v>
      </c>
      <c r="K450" s="35" t="s">
        <v>59</v>
      </c>
      <c r="L450" s="1" t="s">
        <v>1467</v>
      </c>
      <c r="M450" s="1" t="s">
        <v>1468</v>
      </c>
      <c r="N450" s="1" t="s">
        <v>65</v>
      </c>
      <c r="O450" s="1" t="s">
        <v>77</v>
      </c>
      <c r="Q450" s="1" t="s">
        <v>65</v>
      </c>
      <c r="R450" s="1" t="s">
        <v>1269</v>
      </c>
      <c r="U450" s="25" t="n">
        <v>46223.8270833333</v>
      </c>
      <c r="Z450" s="1" t="s">
        <v>108</v>
      </c>
      <c r="AB450" s="2" t="n">
        <v>0.127777777777778</v>
      </c>
      <c r="AC450" s="14" t="n">
        <f aca="false">(V450+W450)-(B450+C450)</f>
        <v>-46221.1993055556</v>
      </c>
      <c r="AD450" s="4" t="str">
        <f aca="false">INT((V450+W450)-(B450+C450)) &amp; ":" &amp;
TEXT(HOUR((V450+W450)-(B450+C450)), "00") &amp; ":" &amp;
TEXT(MINUTE((V450+W450)-(B450+C450)), "00")</f>
        <v>-46222:19:13</v>
      </c>
      <c r="AE450" s="1" t="n">
        <f aca="false">IFERROR(
LEFT(AD450,FIND(":",AD450)-1)
+ MID(AD450,FIND(":",AD450)+1,2)/24
+ RIGHT(AD450,2)/1440,
"")</f>
        <v>-46221.1993055556</v>
      </c>
      <c r="AF450" s="4" t="str">
        <f aca="false">INT((X450+Y450)-(B450+C450)) &amp; ":" &amp;
TEXT(HOUR((X450+Y450)-(B450+C450)), "00") &amp; ":" &amp;
TEXT(MINUTE((X450+Y450)-(B450+C450)), "00")</f>
        <v>-46222:19:13</v>
      </c>
      <c r="AG450" s="4" t="str">
        <f aca="false" t="array" ref="AG450:AG450">INT(_xlfn.XLOOKUP(J450,{"Low","Medium","High","Urgent"},{48,24,12,8})/24) &amp; ":" &amp;
TEXT(MOD(_xlfn.XLOOKUP(J450,{"Low","Medium","High","Urgent"},{48,24,12,8}),24)/24,"hh:mm")</f>
        <v>2:00:00</v>
      </c>
      <c r="AH450" s="4" t="str">
        <f aca="false">IF(AD450&gt;AG450,"Not Met","Met")</f>
        <v>Met</v>
      </c>
      <c r="AI450" s="4" t="str">
        <f aca="false">IF(AB450&lt;TIME(0,30,0),"Met","Not Met")</f>
        <v>Not Met</v>
      </c>
      <c r="AN450" s="1" t="str">
        <f aca="false">TEXT(B450,"dd")</f>
        <v>18</v>
      </c>
      <c r="AO450" s="1" t="str">
        <f aca="false">TEXT(X450,"dd")</f>
        <v>30</v>
      </c>
      <c r="AP450" s="16" t="str">
        <f aca="false">INT(
  NETWORKDAYS(B450,V450)-1
  + IF(WEEKDAY(V450,2)&lt;6,MOD(V450+W450,1),0)
  - IF(WEEKDAY(B450,2)&lt;6,MOD(B450+C450,1),0)
)
&amp; ":" &amp;
TEXT(HOUR(
  NETWORKDAYS(B450,V450)-1
  + IF(WEEKDAY(V450,2)&lt;6,MOD(V450+W450,1),0)
  - IF(WEEKDAY(B450,2)&lt;6,MOD(B450+C450,1),0)
),"00")
&amp; ":" &amp;
TEXT(MINUTE(
  NETWORKDAYS(B450,V450)-1
  + IF(WEEKDAY(V450,2)&lt;6,MOD(V450+W450,1),0)
  - IF(WEEKDAY(B450,2)&lt;6,MOD(B450+C450,1),0)
),"00")</f>
        <v>-33016:00:00</v>
      </c>
      <c r="AQ450" s="0" t="n">
        <f aca="false">IFERROR(
LEFT(AP450,FIND(":",AP450)-1)
+ MID(AP450,FIND(":",AP450)+1,2)/24
+ RIGHT(AP450,2)/1440,
"")</f>
        <v>-33016</v>
      </c>
      <c r="AR450" s="0" t="n">
        <f aca="false">WEEKNUM(B450,1)</f>
        <v>29</v>
      </c>
      <c r="AS450" s="17" t="n">
        <f aca="false">IF(B450&gt;0, (B450+C450)-TIME(13,30,0), "")</f>
        <v>46220.6368055556</v>
      </c>
      <c r="AT450" s="18" t="n">
        <f aca="false">IF(B450&gt;0, (B450+C450)-TIME(13,30,0), "")</f>
        <v>46220.6368055556</v>
      </c>
      <c r="AU450" s="17" t="str">
        <f aca="false">IF(V450&gt;0, (V450+W450)-TIME(13,30,0), "")</f>
        <v/>
      </c>
      <c r="AV450" s="18" t="str">
        <f aca="false">IF(V450&gt;0, (V450+W450)-TIME(13,30,0), "")</f>
        <v/>
      </c>
    </row>
    <row r="451" customFormat="false" ht="15" hidden="false" customHeight="false" outlineLevel="0" collapsed="false">
      <c r="A451" s="23" t="s">
        <v>1469</v>
      </c>
      <c r="B451" s="24" t="n">
        <v>46224</v>
      </c>
      <c r="C451" s="12" t="n">
        <v>0.05</v>
      </c>
      <c r="D451" s="13" t="str">
        <f aca="false">IF(B451="","",TEXT(B451,"MMM")&amp;"'"&amp;TEXT(B451,"yy"))</f>
        <v>Jul'26</v>
      </c>
      <c r="E451" s="1" t="s">
        <v>55</v>
      </c>
      <c r="F451" s="1" t="s">
        <v>140</v>
      </c>
      <c r="G451" s="1" t="str">
        <f aca="false">IF(F451="Closed","Closed","Pending")</f>
        <v>Pending</v>
      </c>
      <c r="H451" s="1" t="s">
        <v>263</v>
      </c>
      <c r="I451" s="1" t="s">
        <v>639</v>
      </c>
      <c r="J451" s="1" t="s">
        <v>74</v>
      </c>
      <c r="K451" s="35" t="s">
        <v>59</v>
      </c>
      <c r="L451" s="1" t="s">
        <v>1470</v>
      </c>
      <c r="M451" s="1" t="s">
        <v>1471</v>
      </c>
      <c r="N451" s="1" t="s">
        <v>143</v>
      </c>
      <c r="O451" s="1" t="s">
        <v>143</v>
      </c>
      <c r="Q451" s="1" t="s">
        <v>143</v>
      </c>
      <c r="R451" s="1" t="s">
        <v>66</v>
      </c>
      <c r="U451" s="12" t="n">
        <v>0.0701388888888889</v>
      </c>
      <c r="AB451" s="2" t="e">
        <f aca="false">U451-#REF!</f>
        <v>#REF!</v>
      </c>
      <c r="AC451" s="14" t="n">
        <f aca="false">(V451+W451)-(B451+C451)</f>
        <v>-46224.05</v>
      </c>
      <c r="AD451" s="4" t="str">
        <f aca="false">INT((V451+W451)-(B451+C451)) &amp; ":" &amp;
TEXT(HOUR((V451+W451)-(B451+C451)), "00") &amp; ":" &amp;
TEXT(MINUTE((V451+W451)-(B451+C451)), "00")</f>
        <v>-46225:22:48</v>
      </c>
      <c r="AE451" s="1" t="n">
        <f aca="false">IFERROR(
LEFT(AD451,FIND(":",AD451)-1)
+ MID(AD451,FIND(":",AD451)+1,2)/24
+ RIGHT(AD451,2)/1440,
"")</f>
        <v>-46224.05</v>
      </c>
      <c r="AF451" s="4" t="str">
        <f aca="false">INT((X451+Y451)-(B451+C451)) &amp; ":" &amp;
TEXT(HOUR((X451+Y451)-(B451+C451)), "00") &amp; ":" &amp;
TEXT(MINUTE((X451+Y451)-(B451+C451)), "00")</f>
        <v>-46225:22:48</v>
      </c>
      <c r="AG451" s="4" t="str">
        <f aca="false" t="array" ref="AG451:AG451">INT(_xlfn.XLOOKUP(J451,{"Low","Medium","High","Urgent"},{48,24,12,8})/24) &amp; ":" &amp;
TEXT(MOD(_xlfn.XLOOKUP(J451,{"Low","Medium","High","Urgent"},{48,24,12,8}),24)/24,"hh:mm")</f>
        <v>2:00:00</v>
      </c>
      <c r="AH451" s="4" t="str">
        <f aca="false">IF(AD451&gt;AG451,"Not Met","Met")</f>
        <v>Met</v>
      </c>
      <c r="AI451" s="4" t="e">
        <f aca="false">IF(AB451&lt;TIME(0,30,0),"Met","Not Met")</f>
        <v>#REF!</v>
      </c>
      <c r="AN451" s="1" t="str">
        <f aca="false">TEXT(B451,"dd")</f>
        <v>21</v>
      </c>
      <c r="AO451" s="1" t="str">
        <f aca="false">TEXT(X451,"dd")</f>
        <v>30</v>
      </c>
      <c r="AP451" s="16" t="str">
        <f aca="false">INT(
  NETWORKDAYS(B451,V451)-1
  + IF(WEEKDAY(V451,2)&lt;6,MOD(V451+W451,1),0)
  - IF(WEEKDAY(B451,2)&lt;6,MOD(B451+C451,1),0)
)
&amp; ":" &amp;
TEXT(HOUR(
  NETWORKDAYS(B451,V451)-1
  + IF(WEEKDAY(V451,2)&lt;6,MOD(V451+W451,1),0)
  - IF(WEEKDAY(B451,2)&lt;6,MOD(B451+C451,1),0)
),"00")
&amp; ":" &amp;
TEXT(MINUTE(
  NETWORKDAYS(B451,V451)-1
  + IF(WEEKDAY(V451,2)&lt;6,MOD(V451+W451,1),0)
  - IF(WEEKDAY(B451,2)&lt;6,MOD(B451+C451,1),0)
),"00")</f>
        <v>-33019:22:48</v>
      </c>
      <c r="AQ451" s="0" t="n">
        <f aca="false">IFERROR(
LEFT(AP451,FIND(":",AP451)-1)
+ MID(AP451,FIND(":",AP451)+1,2)/24
+ RIGHT(AP451,2)/1440,
"")</f>
        <v>-33018.05</v>
      </c>
      <c r="AR451" s="0" t="n">
        <f aca="false">WEEKNUM(B451,1)</f>
        <v>30</v>
      </c>
      <c r="AS451" s="17" t="n">
        <f aca="false">IF(B451&gt;0, (B451+C451)-TIME(13,30,0), "")</f>
        <v>46223.4875</v>
      </c>
      <c r="AT451" s="18" t="n">
        <f aca="false">IF(B451&gt;0, (B451+C451)-TIME(13,30,0), "")</f>
        <v>46223.4875</v>
      </c>
      <c r="AU451" s="17" t="str">
        <f aca="false">IF(V451&gt;0, (V451+W451)-TIME(13,30,0), "")</f>
        <v/>
      </c>
      <c r="AV451" s="18" t="str">
        <f aca="false">IF(V451&gt;0, (V451+W451)-TIME(13,30,0), "")</f>
        <v/>
      </c>
    </row>
    <row r="452" customFormat="false" ht="15" hidden="false" customHeight="false" outlineLevel="0" collapsed="false">
      <c r="A452" s="23" t="s">
        <v>1472</v>
      </c>
      <c r="B452" s="24" t="n">
        <v>46224</v>
      </c>
      <c r="C452" s="12" t="n">
        <v>0.174305555555556</v>
      </c>
      <c r="D452" s="13" t="str">
        <f aca="false">IF(B452="","",TEXT(B452,"MMM")&amp;"'"&amp;TEXT(B452,"yy"))</f>
        <v>Jul'26</v>
      </c>
      <c r="E452" s="1" t="s">
        <v>55</v>
      </c>
      <c r="F452" s="1" t="s">
        <v>140</v>
      </c>
      <c r="G452" s="1" t="str">
        <f aca="false">IF(F452="Closed","Closed","Pending")</f>
        <v>Pending</v>
      </c>
      <c r="H452" s="1" t="s">
        <v>81</v>
      </c>
      <c r="I452" s="1" t="s">
        <v>82</v>
      </c>
      <c r="J452" s="1" t="s">
        <v>58</v>
      </c>
      <c r="K452" s="35" t="s">
        <v>59</v>
      </c>
      <c r="L452" s="1" t="s">
        <v>1473</v>
      </c>
      <c r="M452" s="1" t="s">
        <v>1474</v>
      </c>
      <c r="N452" s="1" t="s">
        <v>65</v>
      </c>
      <c r="O452" s="1" t="s">
        <v>77</v>
      </c>
      <c r="Q452" s="1" t="s">
        <v>65</v>
      </c>
      <c r="R452" s="1" t="s">
        <v>66</v>
      </c>
      <c r="U452" s="11"/>
      <c r="AB452" s="2" t="e">
        <f aca="false">U452-#REF!</f>
        <v>#REF!</v>
      </c>
      <c r="AC452" s="14" t="n">
        <f aca="false">(V452+W452)-(B452+C452)</f>
        <v>-46224.1743055556</v>
      </c>
      <c r="AD452" s="4" t="str">
        <f aca="false">INT((V452+W452)-(B452+C452)) &amp; ":" &amp;
TEXT(HOUR((V452+W452)-(B452+C452)), "00") &amp; ":" &amp;
TEXT(MINUTE((V452+W452)-(B452+C452)), "00")</f>
        <v>-46225:19:49</v>
      </c>
      <c r="AE452" s="1" t="n">
        <f aca="false">IFERROR(
LEFT(AD452,FIND(":",AD452)-1)
+ MID(AD452,FIND(":",AD452)+1,2)/24
+ RIGHT(AD452,2)/1440,
"")</f>
        <v>-46224.1743055556</v>
      </c>
      <c r="AF452" s="4" t="str">
        <f aca="false">INT((X452+Y452)-(B452+C452)) &amp; ":" &amp;
TEXT(HOUR((X452+Y452)-(B452+C452)), "00") &amp; ":" &amp;
TEXT(MINUTE((X452+Y452)-(B452+C452)), "00")</f>
        <v>-46225:19:49</v>
      </c>
      <c r="AG452" s="4" t="str">
        <f aca="false" t="array" ref="AG452:AG452">INT(_xlfn.XLOOKUP(J452,{"Low","Medium","High","Urgent"},{48,24,12,8})/24) &amp; ":" &amp;
TEXT(MOD(_xlfn.XLOOKUP(J452,{"Low","Medium","High","Urgent"},{48,24,12,8}),24)/24,"hh:mm")</f>
        <v>1:00:00</v>
      </c>
      <c r="AH452" s="4" t="str">
        <f aca="false">IF(AD452&gt;AG452,"Not Met","Met")</f>
        <v>Met</v>
      </c>
      <c r="AI452" s="4" t="e">
        <f aca="false">IF(AB452&lt;TIME(0,30,0),"Met","Not Met")</f>
        <v>#REF!</v>
      </c>
      <c r="AN452" s="1" t="str">
        <f aca="false">TEXT(B452,"dd")</f>
        <v>21</v>
      </c>
      <c r="AO452" s="1" t="str">
        <f aca="false">TEXT(X452,"dd")</f>
        <v>30</v>
      </c>
      <c r="AP452" s="16" t="str">
        <f aca="false">INT(
  NETWORKDAYS(B452,V452)-1
  + IF(WEEKDAY(V452,2)&lt;6,MOD(V452+W452,1),0)
  - IF(WEEKDAY(B452,2)&lt;6,MOD(B452+C452,1),0)
)
&amp; ":" &amp;
TEXT(HOUR(
  NETWORKDAYS(B452,V452)-1
  + IF(WEEKDAY(V452,2)&lt;6,MOD(V452+W452,1),0)
  - IF(WEEKDAY(B452,2)&lt;6,MOD(B452+C452,1),0)
),"00")
&amp; ":" &amp;
TEXT(MINUTE(
  NETWORKDAYS(B452,V452)-1
  + IF(WEEKDAY(V452,2)&lt;6,MOD(V452+W452,1),0)
  - IF(WEEKDAY(B452,2)&lt;6,MOD(B452+C452,1),0)
),"00")</f>
        <v>-33019:19:49</v>
      </c>
      <c r="AQ452" s="0" t="n">
        <f aca="false">IFERROR(
LEFT(AP452,FIND(":",AP452)-1)
+ MID(AP452,FIND(":",AP452)+1,2)/24
+ RIGHT(AP452,2)/1440,
"")</f>
        <v>-33018.1743055556</v>
      </c>
      <c r="AR452" s="0" t="n">
        <f aca="false">WEEKNUM(B452,1)</f>
        <v>30</v>
      </c>
      <c r="AS452" s="17" t="n">
        <f aca="false">IF(B452&gt;0, (B452+C452)-TIME(13,30,0), "")</f>
        <v>46223.6118055556</v>
      </c>
      <c r="AT452" s="18" t="n">
        <f aca="false">IF(B452&gt;0, (B452+C452)-TIME(13,30,0), "")</f>
        <v>46223.6118055556</v>
      </c>
      <c r="AU452" s="17" t="str">
        <f aca="false">IF(V452&gt;0, (V452+W452)-TIME(13,30,0), "")</f>
        <v/>
      </c>
      <c r="AV452" s="18" t="str">
        <f aca="false">IF(V452&gt;0, (V452+W452)-TIME(13,30,0), "")</f>
        <v/>
      </c>
    </row>
    <row r="453" customFormat="false" ht="15" hidden="false" customHeight="false" outlineLevel="0" collapsed="false">
      <c r="A453" s="23" t="s">
        <v>1475</v>
      </c>
      <c r="B453" s="24" t="n">
        <v>46224</v>
      </c>
      <c r="C453" s="12" t="n">
        <v>0.175694444444444</v>
      </c>
      <c r="D453" s="13" t="str">
        <f aca="false">IF(B453="","",TEXT(B453,"MMM")&amp;"'"&amp;TEXT(B453,"yy"))</f>
        <v>Jul'26</v>
      </c>
      <c r="E453" s="1" t="s">
        <v>55</v>
      </c>
      <c r="F453" s="1" t="s">
        <v>140</v>
      </c>
      <c r="G453" s="1" t="str">
        <f aca="false">IF(F453="Closed","Closed","Pending")</f>
        <v>Pending</v>
      </c>
      <c r="H453" s="1" t="s">
        <v>72</v>
      </c>
      <c r="I453" s="1" t="s">
        <v>73</v>
      </c>
      <c r="J453" s="1" t="s">
        <v>58</v>
      </c>
      <c r="K453" s="35" t="s">
        <v>59</v>
      </c>
      <c r="L453" s="1" t="s">
        <v>1476</v>
      </c>
      <c r="M453" s="1" t="s">
        <v>1477</v>
      </c>
      <c r="N453" s="1" t="s">
        <v>143</v>
      </c>
      <c r="O453" s="1" t="s">
        <v>143</v>
      </c>
      <c r="Q453" s="1" t="s">
        <v>143</v>
      </c>
      <c r="R453" s="1" t="s">
        <v>66</v>
      </c>
      <c r="AB453" s="2" t="e">
        <f aca="false">U453-#REF!</f>
        <v>#REF!</v>
      </c>
      <c r="AC453" s="14" t="n">
        <f aca="false">(V453+W453)-(B453+C453)</f>
        <v>-46224.1756944444</v>
      </c>
      <c r="AD453" s="4" t="str">
        <f aca="false">INT((V453+W453)-(B453+C453)) &amp; ":" &amp;
TEXT(HOUR((V453+W453)-(B453+C453)), "00") &amp; ":" &amp;
TEXT(MINUTE((V453+W453)-(B453+C453)), "00")</f>
        <v>-46225:19:47</v>
      </c>
      <c r="AE453" s="1" t="n">
        <f aca="false">IFERROR(
LEFT(AD453,FIND(":",AD453)-1)
+ MID(AD453,FIND(":",AD453)+1,2)/24
+ RIGHT(AD453,2)/1440,
"")</f>
        <v>-46224.1756944445</v>
      </c>
      <c r="AF453" s="4" t="str">
        <f aca="false">INT((X453+Y453)-(B453+C453)) &amp; ":" &amp;
TEXT(HOUR((X453+Y453)-(B453+C453)), "00") &amp; ":" &amp;
TEXT(MINUTE((X453+Y453)-(B453+C453)), "00")</f>
        <v>-46225:19:47</v>
      </c>
      <c r="AG453" s="4" t="str">
        <f aca="false" t="array" ref="AG453:AG453">INT(_xlfn.XLOOKUP(J453,{"Low","Medium","High","Urgent"},{48,24,12,8})/24) &amp; ":" &amp;
TEXT(MOD(_xlfn.XLOOKUP(J453,{"Low","Medium","High","Urgent"},{48,24,12,8}),24)/24,"hh:mm")</f>
        <v>1:00:00</v>
      </c>
      <c r="AH453" s="4" t="str">
        <f aca="false">IF(AD453&gt;AG453,"Not Met","Met")</f>
        <v>Met</v>
      </c>
      <c r="AI453" s="4" t="e">
        <f aca="false">IF(AB453&lt;TIME(0,30,0),"Met","Not Met")</f>
        <v>#REF!</v>
      </c>
      <c r="AN453" s="1" t="str">
        <f aca="false">TEXT(B453,"dd")</f>
        <v>21</v>
      </c>
      <c r="AO453" s="1" t="str">
        <f aca="false">TEXT(X453,"dd")</f>
        <v>30</v>
      </c>
      <c r="AP453" s="16" t="str">
        <f aca="false">INT(
  NETWORKDAYS(B453,V453)-1
  + IF(WEEKDAY(V453,2)&lt;6,MOD(V453+W453,1),0)
  - IF(WEEKDAY(B453,2)&lt;6,MOD(B453+C453,1),0)
)
&amp; ":" &amp;
TEXT(HOUR(
  NETWORKDAYS(B453,V453)-1
  + IF(WEEKDAY(V453,2)&lt;6,MOD(V453+W453,1),0)
  - IF(WEEKDAY(B453,2)&lt;6,MOD(B453+C453,1),0)
),"00")
&amp; ":" &amp;
TEXT(MINUTE(
  NETWORKDAYS(B453,V453)-1
  + IF(WEEKDAY(V453,2)&lt;6,MOD(V453+W453,1),0)
  - IF(WEEKDAY(B453,2)&lt;6,MOD(B453+C453,1),0)
),"00")</f>
        <v>-33019:19:47</v>
      </c>
      <c r="AQ453" s="0" t="n">
        <f aca="false">IFERROR(
LEFT(AP453,FIND(":",AP453)-1)
+ MID(AP453,FIND(":",AP453)+1,2)/24
+ RIGHT(AP453,2)/1440,
"")</f>
        <v>-33018.1756944445</v>
      </c>
      <c r="AR453" s="0" t="n">
        <f aca="false">WEEKNUM(B453,1)</f>
        <v>30</v>
      </c>
      <c r="AS453" s="17" t="n">
        <f aca="false">IF(B453&gt;0, (B453+C453)-TIME(13,30,0), "")</f>
        <v>46223.6131944444</v>
      </c>
      <c r="AT453" s="18" t="n">
        <f aca="false">IF(B453&gt;0, (B453+C453)-TIME(13,30,0), "")</f>
        <v>46223.6131944444</v>
      </c>
      <c r="AU453" s="17" t="str">
        <f aca="false">IF(V453&gt;0, (V453+W453)-TIME(13,30,0), "")</f>
        <v/>
      </c>
      <c r="AV453" s="18" t="str">
        <f aca="false">IF(V453&gt;0, (V453+W453)-TIME(13,30,0), "")</f>
        <v/>
      </c>
    </row>
    <row r="454" customFormat="false" ht="15" hidden="false" customHeight="false" outlineLevel="0" collapsed="false">
      <c r="H454" s="29"/>
      <c r="I454" s="29"/>
      <c r="J454" s="29"/>
      <c r="AB454" s="2" t="e">
        <f aca="false">U454-#REF!</f>
        <v>#REF!</v>
      </c>
      <c r="AC454" s="14" t="n">
        <f aca="false">(V454+W454)-(B454+C454)</f>
        <v>0</v>
      </c>
      <c r="AD454" s="4" t="str">
        <f aca="false">INT((V454+W454)-(B454+C454)) &amp; ":" &amp;
TEXT(HOUR((V454+W454)-(B454+C454)), "00") &amp; ":" &amp;
TEXT(MINUTE((V454+W454)-(B454+C454)), "00")</f>
        <v>0:00:00</v>
      </c>
      <c r="AE454" s="1" t="n">
        <f aca="false">IFERROR(
LEFT(AD454,FIND(":",AD454)-1)
+ MID(AD454,FIND(":",AD454)+1,2)/24
+ RIGHT(AD454,2)/1440,
"")</f>
        <v>0</v>
      </c>
      <c r="AF454" s="4" t="str">
        <f aca="false">INT((X454+Y454)-(B454+C454)) &amp; ":" &amp;
TEXT(HOUR((X454+Y454)-(B454+C454)), "00") &amp; ":" &amp;
TEXT(MINUTE((X454+Y454)-(B454+C454)), "00")</f>
        <v>0:00:00</v>
      </c>
      <c r="AG454" s="4" t="e">
        <f aca="false" t="array" ref="AG454:AG454">INT(_xlfn.XLOOKUP(J454,{"Low","Medium","High","Urgent"},{48,24,12,8})/24) &amp; ":" &amp;
TEXT(MOD(_xlfn.XLOOKUP(J454,{"Low","Medium","High","Urgent"},{48,24,12,8}),24)/24,"hh:mm")</f>
        <v>#N/A</v>
      </c>
      <c r="AH454" s="4" t="e">
        <f aca="false">IF(AD454&gt;AG454,"Not Met","Met")</f>
        <v>#N/A</v>
      </c>
      <c r="AI454" s="4" t="e">
        <f aca="false">IF(AB454&lt;TIME(0,30,0),"Met","Not Met")</f>
        <v>#REF!</v>
      </c>
      <c r="AN454" s="1" t="str">
        <f aca="false">TEXT(B454,"dd")</f>
        <v>30</v>
      </c>
      <c r="AO454" s="1" t="str">
        <f aca="false">TEXT(X454,"dd")</f>
        <v>30</v>
      </c>
      <c r="AP454" s="16" t="str">
        <f aca="false">INT(
  NETWORKDAYS(B454,V454)-1
  + IF(WEEKDAY(V454,2)&lt;6,MOD(V454+W454,1),0)
  - IF(WEEKDAY(B454,2)&lt;6,MOD(B454+C454,1),0)
)
&amp; ":" &amp;
TEXT(HOUR(
  NETWORKDAYS(B454,V454)-1
  + IF(WEEKDAY(V454,2)&lt;6,MOD(V454+W454,1),0)
  - IF(WEEKDAY(B454,2)&lt;6,MOD(B454+C454,1),0)
),"00")
&amp; ":" &amp;
TEXT(MINUTE(
  NETWORKDAYS(B454,V454)-1
  + IF(WEEKDAY(V454,2)&lt;6,MOD(V454+W454,1),0)
  - IF(WEEKDAY(B454,2)&lt;6,MOD(B454+C454,1),0)
),"00")</f>
        <v>-1:00:00</v>
      </c>
      <c r="AQ454" s="0" t="n">
        <f aca="false">IFERROR(
LEFT(AP454,FIND(":",AP454)-1)
+ MID(AP454,FIND(":",AP454)+1,2)/24
+ RIGHT(AP454,2)/1440,
"")</f>
        <v>-1</v>
      </c>
      <c r="AR454" s="0" t="n">
        <f aca="false">WEEKNUM(B454,1)</f>
        <v>52</v>
      </c>
      <c r="AS454" s="17" t="str">
        <f aca="false">IF(B454&gt;0, (B454+C454)-TIME(13,30,0), "")</f>
        <v/>
      </c>
      <c r="AT454" s="18" t="str">
        <f aca="false">IF(B454&gt;0, (B454+C454)-TIME(13,30,0), "")</f>
        <v/>
      </c>
      <c r="AU454" s="17" t="str">
        <f aca="false">IF(V454&gt;0, (V454+W454)-TIME(13,30,0), "")</f>
        <v/>
      </c>
      <c r="AV454" s="18" t="str">
        <f aca="false">IF(V454&gt;0, (V454+W454)-TIME(13,30,0), "")</f>
        <v/>
      </c>
    </row>
    <row r="455" customFormat="false" ht="15" hidden="false" customHeight="false" outlineLevel="0" collapsed="false">
      <c r="AB455" s="2" t="e">
        <f aca="false">U455-#REF!</f>
        <v>#REF!</v>
      </c>
      <c r="AC455" s="14" t="n">
        <f aca="false">(V455+W455)-(B455+C455)</f>
        <v>0</v>
      </c>
      <c r="AD455" s="4" t="str">
        <f aca="false">INT((V455+W455)-(B455+C455)) &amp; ":" &amp;
TEXT(HOUR((V455+W455)-(B455+C455)), "00") &amp; ":" &amp;
TEXT(MINUTE((V455+W455)-(B455+C455)), "00")</f>
        <v>0:00:00</v>
      </c>
      <c r="AE455" s="1" t="n">
        <f aca="false">IFERROR(
LEFT(AD455,FIND(":",AD455)-1)
+ MID(AD455,FIND(":",AD455)+1,2)/24
+ RIGHT(AD455,2)/1440,
"")</f>
        <v>0</v>
      </c>
      <c r="AF455" s="4" t="str">
        <f aca="false">INT((X455+Y455)-(B455+C455)) &amp; ":" &amp;
TEXT(HOUR((X455+Y455)-(B455+C455)), "00") &amp; ":" &amp;
TEXT(MINUTE((X455+Y455)-(B455+C455)), "00")</f>
        <v>0:00:00</v>
      </c>
      <c r="AG455" s="4" t="e">
        <f aca="false" t="array" ref="AG455:AG455">INT(_xlfn.XLOOKUP(J455,{"Low","Medium","High","Urgent"},{48,24,12,8})/24) &amp; ":" &amp;
TEXT(MOD(_xlfn.XLOOKUP(J455,{"Low","Medium","High","Urgent"},{48,24,12,8}),24)/24,"hh:mm")</f>
        <v>#N/A</v>
      </c>
      <c r="AH455" s="4" t="e">
        <f aca="false">IF(AD455&gt;AG455,"Not Met","Met")</f>
        <v>#N/A</v>
      </c>
      <c r="AI455" s="4" t="e">
        <f aca="false">IF(AB455&lt;TIME(0,30,0),"Met","Not Met")</f>
        <v>#REF!</v>
      </c>
      <c r="AN455" s="1" t="str">
        <f aca="false">TEXT(B455,"dd")</f>
        <v>30</v>
      </c>
      <c r="AO455" s="1" t="str">
        <f aca="false">TEXT(X455,"dd")</f>
        <v>30</v>
      </c>
      <c r="AP455" s="16" t="str">
        <f aca="false">INT(
  NETWORKDAYS(B455,V455)-1
  + IF(WEEKDAY(V455,2)&lt;6,MOD(V455+W455,1),0)
  - IF(WEEKDAY(B455,2)&lt;6,MOD(B455+C455,1),0)
)
&amp; ":" &amp;
TEXT(HOUR(
  NETWORKDAYS(B455,V455)-1
  + IF(WEEKDAY(V455,2)&lt;6,MOD(V455+W455,1),0)
  - IF(WEEKDAY(B455,2)&lt;6,MOD(B455+C455,1),0)
),"00")
&amp; ":" &amp;
TEXT(MINUTE(
  NETWORKDAYS(B455,V455)-1
  + IF(WEEKDAY(V455,2)&lt;6,MOD(V455+W455,1),0)
  - IF(WEEKDAY(B455,2)&lt;6,MOD(B455+C455,1),0)
),"00")</f>
        <v>-1:00:00</v>
      </c>
      <c r="AQ455" s="0" t="n">
        <f aca="false">IFERROR(
LEFT(AP455,FIND(":",AP455)-1)
+ MID(AP455,FIND(":",AP455)+1,2)/24
+ RIGHT(AP455,2)/1440,
"")</f>
        <v>-1</v>
      </c>
      <c r="AR455" s="0" t="n">
        <f aca="false">WEEKNUM(B455,1)</f>
        <v>52</v>
      </c>
      <c r="AS455" s="17" t="str">
        <f aca="false">IF(B455&gt;0, (B455+C455)-TIME(13,30,0), "")</f>
        <v/>
      </c>
      <c r="AT455" s="18" t="str">
        <f aca="false">IF(B455&gt;0, (B455+C455)-TIME(13,30,0), "")</f>
        <v/>
      </c>
      <c r="AU455" s="17" t="str">
        <f aca="false">IF(V455&gt;0, (V455+W455)-TIME(13,30,0), "")</f>
        <v/>
      </c>
      <c r="AV455" s="18" t="str">
        <f aca="false">IF(V455&gt;0, (V455+W455)-TIME(13,30,0), "")</f>
        <v/>
      </c>
    </row>
    <row r="456" customFormat="false" ht="15" hidden="false" customHeight="false" outlineLevel="0" collapsed="false">
      <c r="AB456" s="2" t="e">
        <f aca="false">U456-#REF!</f>
        <v>#REF!</v>
      </c>
      <c r="AC456" s="14" t="n">
        <f aca="false">(V456+W456)-(B456+C456)</f>
        <v>0</v>
      </c>
      <c r="AD456" s="4" t="str">
        <f aca="false">INT((V456+W456)-(B456+C456)) &amp; ":" &amp;
TEXT(HOUR((V456+W456)-(B456+C456)), "00") &amp; ":" &amp;
TEXT(MINUTE((V456+W456)-(B456+C456)), "00")</f>
        <v>0:00:00</v>
      </c>
      <c r="AE456" s="1" t="n">
        <f aca="false">IFERROR(
LEFT(AD456,FIND(":",AD456)-1)
+ MID(AD456,FIND(":",AD456)+1,2)/24
+ RIGHT(AD456,2)/1440,
"")</f>
        <v>0</v>
      </c>
      <c r="AF456" s="4" t="str">
        <f aca="false">INT((X456+Y456)-(B456+C456)) &amp; ":" &amp;
TEXT(HOUR((X456+Y456)-(B456+C456)), "00") &amp; ":" &amp;
TEXT(MINUTE((X456+Y456)-(B456+C456)), "00")</f>
        <v>0:00:00</v>
      </c>
      <c r="AG456" s="4" t="e">
        <f aca="false" t="array" ref="AG456:AG456">INT(_xlfn.XLOOKUP(J456,{"Low","Medium","High","Urgent"},{48,24,12,8})/24) &amp; ":" &amp;
TEXT(MOD(_xlfn.XLOOKUP(J456,{"Low","Medium","High","Urgent"},{48,24,12,8}),24)/24,"hh:mm")</f>
        <v>#N/A</v>
      </c>
      <c r="AH456" s="4" t="e">
        <f aca="false">IF(AD456&gt;AG456,"Not Met","Met")</f>
        <v>#N/A</v>
      </c>
      <c r="AI456" s="4" t="e">
        <f aca="false">IF(AB456&lt;TIME(0,30,0),"Met","Not Met")</f>
        <v>#REF!</v>
      </c>
      <c r="AN456" s="1" t="str">
        <f aca="false">TEXT(B456,"dd")</f>
        <v>30</v>
      </c>
      <c r="AO456" s="1" t="str">
        <f aca="false">TEXT(X456,"dd")</f>
        <v>30</v>
      </c>
      <c r="AP456" s="16" t="str">
        <f aca="false">INT(
  NETWORKDAYS(B456,V456)-1
  + IF(WEEKDAY(V456,2)&lt;6,MOD(V456+W456,1),0)
  - IF(WEEKDAY(B456,2)&lt;6,MOD(B456+C456,1),0)
)
&amp; ":" &amp;
TEXT(HOUR(
  NETWORKDAYS(B456,V456)-1
  + IF(WEEKDAY(V456,2)&lt;6,MOD(V456+W456,1),0)
  - IF(WEEKDAY(B456,2)&lt;6,MOD(B456+C456,1),0)
),"00")
&amp; ":" &amp;
TEXT(MINUTE(
  NETWORKDAYS(B456,V456)-1
  + IF(WEEKDAY(V456,2)&lt;6,MOD(V456+W456,1),0)
  - IF(WEEKDAY(B456,2)&lt;6,MOD(B456+C456,1),0)
),"00")</f>
        <v>-1:00:00</v>
      </c>
      <c r="AQ456" s="0" t="n">
        <f aca="false">IFERROR(
LEFT(AP456,FIND(":",AP456)-1)
+ MID(AP456,FIND(":",AP456)+1,2)/24
+ RIGHT(AP456,2)/1440,
"")</f>
        <v>-1</v>
      </c>
      <c r="AR456" s="0" t="n">
        <f aca="false">WEEKNUM(B456,1)</f>
        <v>52</v>
      </c>
      <c r="AS456" s="17" t="str">
        <f aca="false">IF(B456&gt;0, (B456+C456)-TIME(13,30,0), "")</f>
        <v/>
      </c>
      <c r="AT456" s="18" t="str">
        <f aca="false">IF(B456&gt;0, (B456+C456)-TIME(13,30,0), "")</f>
        <v/>
      </c>
      <c r="AU456" s="17" t="str">
        <f aca="false">IF(V456&gt;0, (V456+W456)-TIME(13,30,0), "")</f>
        <v/>
      </c>
      <c r="AV456" s="18" t="str">
        <f aca="false">IF(V456&gt;0, (V456+W456)-TIME(13,30,0), "")</f>
        <v/>
      </c>
    </row>
    <row r="457" customFormat="false" ht="15" hidden="false" customHeight="false" outlineLevel="0" collapsed="false">
      <c r="AB457" s="2" t="e">
        <f aca="false">U457-#REF!</f>
        <v>#REF!</v>
      </c>
      <c r="AC457" s="14" t="n">
        <f aca="false">(V457+W457)-(B457+C457)</f>
        <v>0</v>
      </c>
      <c r="AD457" s="4" t="str">
        <f aca="false">INT((V457+W457)-(B457+C457)) &amp; ":" &amp;
TEXT(HOUR((V457+W457)-(B457+C457)), "00") &amp; ":" &amp;
TEXT(MINUTE((V457+W457)-(B457+C457)), "00")</f>
        <v>0:00:00</v>
      </c>
      <c r="AE457" s="1" t="n">
        <f aca="false">IFERROR(
LEFT(AD457,FIND(":",AD457)-1)
+ MID(AD457,FIND(":",AD457)+1,2)/24
+ RIGHT(AD457,2)/1440,
"")</f>
        <v>0</v>
      </c>
      <c r="AF457" s="4" t="str">
        <f aca="false">INT((X457+Y457)-(B457+C457)) &amp; ":" &amp;
TEXT(HOUR((X457+Y457)-(B457+C457)), "00") &amp; ":" &amp;
TEXT(MINUTE((X457+Y457)-(B457+C457)), "00")</f>
        <v>0:00:00</v>
      </c>
      <c r="AG457" s="4" t="e">
        <f aca="false" t="array" ref="AG457:AG457">INT(_xlfn.XLOOKUP(J457,{"Low","Medium","High","Urgent"},{48,24,12,8})/24) &amp; ":" &amp;
TEXT(MOD(_xlfn.XLOOKUP(J457,{"Low","Medium","High","Urgent"},{48,24,12,8}),24)/24,"hh:mm")</f>
        <v>#N/A</v>
      </c>
      <c r="AH457" s="4" t="e">
        <f aca="false">IF(AD457&gt;AG457,"Not Met","Met")</f>
        <v>#N/A</v>
      </c>
      <c r="AI457" s="4" t="e">
        <f aca="false">IF(AB457&lt;TIME(0,30,0),"Met","Not Met")</f>
        <v>#REF!</v>
      </c>
      <c r="AN457" s="1" t="str">
        <f aca="false">TEXT(B457,"dd")</f>
        <v>30</v>
      </c>
      <c r="AO457" s="1" t="str">
        <f aca="false">TEXT(X457,"dd")</f>
        <v>30</v>
      </c>
      <c r="AP457" s="16" t="str">
        <f aca="false">INT(
  NETWORKDAYS(B457,V457)-1
  + IF(WEEKDAY(V457,2)&lt;6,MOD(V457+W457,1),0)
  - IF(WEEKDAY(B457,2)&lt;6,MOD(B457+C457,1),0)
)
&amp; ":" &amp;
TEXT(HOUR(
  NETWORKDAYS(B457,V457)-1
  + IF(WEEKDAY(V457,2)&lt;6,MOD(V457+W457,1),0)
  - IF(WEEKDAY(B457,2)&lt;6,MOD(B457+C457,1),0)
),"00")
&amp; ":" &amp;
TEXT(MINUTE(
  NETWORKDAYS(B457,V457)-1
  + IF(WEEKDAY(V457,2)&lt;6,MOD(V457+W457,1),0)
  - IF(WEEKDAY(B457,2)&lt;6,MOD(B457+C457,1),0)
),"00")</f>
        <v>-1:00:00</v>
      </c>
      <c r="AQ457" s="0" t="n">
        <f aca="false">IFERROR(
LEFT(AP457,FIND(":",AP457)-1)
+ MID(AP457,FIND(":",AP457)+1,2)/24
+ RIGHT(AP457,2)/1440,
"")</f>
        <v>-1</v>
      </c>
      <c r="AR457" s="0" t="n">
        <f aca="false">WEEKNUM(B457,1)</f>
        <v>52</v>
      </c>
      <c r="AS457" s="17" t="str">
        <f aca="false">IF(B457&gt;0, (B457+C457)-TIME(13,30,0), "")</f>
        <v/>
      </c>
      <c r="AT457" s="18" t="str">
        <f aca="false">IF(B457&gt;0, (B457+C457)-TIME(13,30,0), "")</f>
        <v/>
      </c>
      <c r="AU457" s="17" t="str">
        <f aca="false">IF(V457&gt;0, (V457+W457)-TIME(13,30,0), "")</f>
        <v/>
      </c>
      <c r="AV457" s="18" t="str">
        <f aca="false">IF(V457&gt;0, (V457+W457)-TIME(13,30,0), "")</f>
        <v/>
      </c>
    </row>
    <row r="458" customFormat="false" ht="15" hidden="false" customHeight="false" outlineLevel="0" collapsed="false">
      <c r="AB458" s="2" t="e">
        <f aca="false">U458-#REF!</f>
        <v>#REF!</v>
      </c>
      <c r="AC458" s="14" t="n">
        <f aca="false">(V458+W458)-(B458+C458)</f>
        <v>0</v>
      </c>
      <c r="AD458" s="4" t="str">
        <f aca="false">INT((V458+W458)-(B458+C458)) &amp; ":" &amp;
TEXT(HOUR((V458+W458)-(B458+C458)), "00") &amp; ":" &amp;
TEXT(MINUTE((V458+W458)-(B458+C458)), "00")</f>
        <v>0:00:00</v>
      </c>
      <c r="AE458" s="1" t="n">
        <f aca="false">IFERROR(
LEFT(AD458,FIND(":",AD458)-1)
+ MID(AD458,FIND(":",AD458)+1,2)/24
+ RIGHT(AD458,2)/1440,
"")</f>
        <v>0</v>
      </c>
      <c r="AF458" s="4" t="str">
        <f aca="false">INT((X458+Y458)-(B458+C458)) &amp; ":" &amp;
TEXT(HOUR((X458+Y458)-(B458+C458)), "00") &amp; ":" &amp;
TEXT(MINUTE((X458+Y458)-(B458+C458)), "00")</f>
        <v>0:00:00</v>
      </c>
      <c r="AG458" s="4" t="e">
        <f aca="false" t="array" ref="AG458:AG458">INT(_xlfn.XLOOKUP(J458,{"Low","Medium","High","Urgent"},{48,24,12,8})/24) &amp; ":" &amp;
TEXT(MOD(_xlfn.XLOOKUP(J458,{"Low","Medium","High","Urgent"},{48,24,12,8}),24)/24,"hh:mm")</f>
        <v>#N/A</v>
      </c>
      <c r="AH458" s="4" t="e">
        <f aca="false">IF(AD458&gt;AG458,"Not Met","Met")</f>
        <v>#N/A</v>
      </c>
      <c r="AI458" s="4" t="e">
        <f aca="false">IF(AB458&lt;TIME(0,30,0),"Met","Not Met")</f>
        <v>#REF!</v>
      </c>
      <c r="AN458" s="1" t="str">
        <f aca="false">TEXT(B458,"dd")</f>
        <v>30</v>
      </c>
      <c r="AO458" s="1" t="str">
        <f aca="false">TEXT(X458,"dd")</f>
        <v>30</v>
      </c>
      <c r="AP458" s="16" t="str">
        <f aca="false">INT(
  NETWORKDAYS(B458,V458)-1
  + IF(WEEKDAY(V458,2)&lt;6,MOD(V458+W458,1),0)
  - IF(WEEKDAY(B458,2)&lt;6,MOD(B458+C458,1),0)
)
&amp; ":" &amp;
TEXT(HOUR(
  NETWORKDAYS(B458,V458)-1
  + IF(WEEKDAY(V458,2)&lt;6,MOD(V458+W458,1),0)
  - IF(WEEKDAY(B458,2)&lt;6,MOD(B458+C458,1),0)
),"00")
&amp; ":" &amp;
TEXT(MINUTE(
  NETWORKDAYS(B458,V458)-1
  + IF(WEEKDAY(V458,2)&lt;6,MOD(V458+W458,1),0)
  - IF(WEEKDAY(B458,2)&lt;6,MOD(B458+C458,1),0)
),"00")</f>
        <v>-1:00:00</v>
      </c>
      <c r="AQ458" s="0" t="n">
        <f aca="false">IFERROR(
LEFT(AP458,FIND(":",AP458)-1)
+ MID(AP458,FIND(":",AP458)+1,2)/24
+ RIGHT(AP458,2)/1440,
"")</f>
        <v>-1</v>
      </c>
      <c r="AR458" s="0" t="n">
        <f aca="false">WEEKNUM(B458,1)</f>
        <v>52</v>
      </c>
      <c r="AS458" s="17" t="str">
        <f aca="false">IF(B458&gt;0, (B458+C458)-TIME(13,30,0), "")</f>
        <v/>
      </c>
      <c r="AT458" s="18" t="str">
        <f aca="false">IF(B458&gt;0, (B458+C458)-TIME(13,30,0), "")</f>
        <v/>
      </c>
      <c r="AU458" s="17" t="str">
        <f aca="false">IF(V458&gt;0, (V458+W458)-TIME(13,30,0), "")</f>
        <v/>
      </c>
      <c r="AV458" s="18" t="str">
        <f aca="false">IF(V458&gt;0, (V458+W458)-TIME(13,30,0), "")</f>
        <v/>
      </c>
    </row>
    <row r="459" customFormat="false" ht="15" hidden="false" customHeight="false" outlineLevel="0" collapsed="false">
      <c r="AB459" s="2" t="e">
        <f aca="false">U459-#REF!</f>
        <v>#REF!</v>
      </c>
      <c r="AC459" s="14" t="n">
        <f aca="false">(V459+W459)-(B459+C459)</f>
        <v>0</v>
      </c>
      <c r="AD459" s="4" t="str">
        <f aca="false">INT((V459+W459)-(B459+C459)) &amp; ":" &amp;
TEXT(HOUR((V459+W459)-(B459+C459)), "00") &amp; ":" &amp;
TEXT(MINUTE((V459+W459)-(B459+C459)), "00")</f>
        <v>0:00:00</v>
      </c>
      <c r="AE459" s="1" t="n">
        <f aca="false">IFERROR(
LEFT(AD459,FIND(":",AD459)-1)
+ MID(AD459,FIND(":",AD459)+1,2)/24
+ RIGHT(AD459,2)/1440,
"")</f>
        <v>0</v>
      </c>
      <c r="AF459" s="4" t="str">
        <f aca="false">INT((X459+Y459)-(B459+C459)) &amp; ":" &amp;
TEXT(HOUR((X459+Y459)-(B459+C459)), "00") &amp; ":" &amp;
TEXT(MINUTE((X459+Y459)-(B459+C459)), "00")</f>
        <v>0:00:00</v>
      </c>
      <c r="AG459" s="4" t="e">
        <f aca="false" t="array" ref="AG459:AG459">INT(_xlfn.XLOOKUP(J459,{"Low","Medium","High","Urgent"},{48,24,12,8})/24) &amp; ":" &amp;
TEXT(MOD(_xlfn.XLOOKUP(J459,{"Low","Medium","High","Urgent"},{48,24,12,8}),24)/24,"hh:mm")</f>
        <v>#N/A</v>
      </c>
      <c r="AH459" s="4" t="e">
        <f aca="false">IF(AD459&gt;AG459,"Not Met","Met")</f>
        <v>#N/A</v>
      </c>
      <c r="AI459" s="4" t="e">
        <f aca="false">IF(AB459&lt;TIME(0,30,0),"Met","Not Met")</f>
        <v>#REF!</v>
      </c>
      <c r="AN459" s="1" t="str">
        <f aca="false">TEXT(B459,"dd")</f>
        <v>30</v>
      </c>
      <c r="AO459" s="1" t="str">
        <f aca="false">TEXT(X459,"dd")</f>
        <v>30</v>
      </c>
      <c r="AP459" s="16" t="str">
        <f aca="false">INT(
  NETWORKDAYS(B459,V459)-1
  + IF(WEEKDAY(V459,2)&lt;6,MOD(V459+W459,1),0)
  - IF(WEEKDAY(B459,2)&lt;6,MOD(B459+C459,1),0)
)
&amp; ":" &amp;
TEXT(HOUR(
  NETWORKDAYS(B459,V459)-1
  + IF(WEEKDAY(V459,2)&lt;6,MOD(V459+W459,1),0)
  - IF(WEEKDAY(B459,2)&lt;6,MOD(B459+C459,1),0)
),"00")
&amp; ":" &amp;
TEXT(MINUTE(
  NETWORKDAYS(B459,V459)-1
  + IF(WEEKDAY(V459,2)&lt;6,MOD(V459+W459,1),0)
  - IF(WEEKDAY(B459,2)&lt;6,MOD(B459+C459,1),0)
),"00")</f>
        <v>-1:00:00</v>
      </c>
      <c r="AQ459" s="0" t="n">
        <f aca="false">IFERROR(
LEFT(AP459,FIND(":",AP459)-1)
+ MID(AP459,FIND(":",AP459)+1,2)/24
+ RIGHT(AP459,2)/1440,
"")</f>
        <v>-1</v>
      </c>
      <c r="AR459" s="0" t="n">
        <f aca="false">WEEKNUM(B459,1)</f>
        <v>52</v>
      </c>
      <c r="AS459" s="17" t="str">
        <f aca="false">IF(B459&gt;0, (B459+C459)-TIME(13,30,0), "")</f>
        <v/>
      </c>
      <c r="AT459" s="18" t="str">
        <f aca="false">IF(B459&gt;0, (B459+C459)-TIME(13,30,0), "")</f>
        <v/>
      </c>
      <c r="AU459" s="17" t="str">
        <f aca="false">IF(V459&gt;0, (V459+W459)-TIME(13,30,0), "")</f>
        <v/>
      </c>
      <c r="AV459" s="18" t="str">
        <f aca="false">IF(V459&gt;0, (V459+W459)-TIME(13,30,0), "")</f>
        <v/>
      </c>
    </row>
    <row r="460" customFormat="false" ht="15" hidden="false" customHeight="false" outlineLevel="0" collapsed="false">
      <c r="AB460" s="2" t="e">
        <f aca="false">U460-#REF!</f>
        <v>#REF!</v>
      </c>
      <c r="AC460" s="14" t="n">
        <f aca="false">(V460+W460)-(B460+C460)</f>
        <v>0</v>
      </c>
      <c r="AD460" s="4" t="str">
        <f aca="false">INT((V460+W460)-(B460+C460)) &amp; ":" &amp;
TEXT(HOUR((V460+W460)-(B460+C460)), "00") &amp; ":" &amp;
TEXT(MINUTE((V460+W460)-(B460+C460)), "00")</f>
        <v>0:00:00</v>
      </c>
      <c r="AE460" s="1" t="n">
        <f aca="false">IFERROR(
LEFT(AD460,FIND(":",AD460)-1)
+ MID(AD460,FIND(":",AD460)+1,2)/24
+ RIGHT(AD460,2)/1440,
"")</f>
        <v>0</v>
      </c>
      <c r="AF460" s="4" t="str">
        <f aca="false">INT((X460+Y460)-(B460+C460)) &amp; ":" &amp;
TEXT(HOUR((X460+Y460)-(B460+C460)), "00") &amp; ":" &amp;
TEXT(MINUTE((X460+Y460)-(B460+C460)), "00")</f>
        <v>0:00:00</v>
      </c>
      <c r="AG460" s="4" t="e">
        <f aca="false" t="array" ref="AG460:AG460">INT(_xlfn.XLOOKUP(J460,{"Low","Medium","High","Urgent"},{48,24,12,8})/24) &amp; ":" &amp;
TEXT(MOD(_xlfn.XLOOKUP(J460,{"Low","Medium","High","Urgent"},{48,24,12,8}),24)/24,"hh:mm")</f>
        <v>#N/A</v>
      </c>
      <c r="AH460" s="4" t="e">
        <f aca="false">IF(AD460&gt;AG460,"Not Met","Met")</f>
        <v>#N/A</v>
      </c>
      <c r="AI460" s="4" t="e">
        <f aca="false">IF(AB460&lt;TIME(0,30,0),"Met","Not Met")</f>
        <v>#REF!</v>
      </c>
      <c r="AN460" s="1" t="str">
        <f aca="false">TEXT(B460,"dd")</f>
        <v>30</v>
      </c>
      <c r="AO460" s="1" t="str">
        <f aca="false">TEXT(X460,"dd")</f>
        <v>30</v>
      </c>
      <c r="AP460" s="16" t="str">
        <f aca="false">INT(
  NETWORKDAYS(B460,V460)-1
  + IF(WEEKDAY(V460,2)&lt;6,MOD(V460+W460,1),0)
  - IF(WEEKDAY(B460,2)&lt;6,MOD(B460+C460,1),0)
)
&amp; ":" &amp;
TEXT(HOUR(
  NETWORKDAYS(B460,V460)-1
  + IF(WEEKDAY(V460,2)&lt;6,MOD(V460+W460,1),0)
  - IF(WEEKDAY(B460,2)&lt;6,MOD(B460+C460,1),0)
),"00")
&amp; ":" &amp;
TEXT(MINUTE(
  NETWORKDAYS(B460,V460)-1
  + IF(WEEKDAY(V460,2)&lt;6,MOD(V460+W460,1),0)
  - IF(WEEKDAY(B460,2)&lt;6,MOD(B460+C460,1),0)
),"00")</f>
        <v>-1:00:00</v>
      </c>
      <c r="AQ460" s="0" t="n">
        <f aca="false">IFERROR(
LEFT(AP460,FIND(":",AP460)-1)
+ MID(AP460,FIND(":",AP460)+1,2)/24
+ RIGHT(AP460,2)/1440,
"")</f>
        <v>-1</v>
      </c>
      <c r="AR460" s="0" t="n">
        <f aca="false">WEEKNUM(B460,1)</f>
        <v>52</v>
      </c>
      <c r="AS460" s="17" t="str">
        <f aca="false">IF(B460&gt;0, (B460+C460)-TIME(13,30,0), "")</f>
        <v/>
      </c>
      <c r="AT460" s="18" t="str">
        <f aca="false">IF(B460&gt;0, (B460+C460)-TIME(13,30,0), "")</f>
        <v/>
      </c>
      <c r="AU460" s="17" t="str">
        <f aca="false">IF(V460&gt;0, (V460+W460)-TIME(13,30,0), "")</f>
        <v/>
      </c>
      <c r="AV460" s="18" t="str">
        <f aca="false">IF(V460&gt;0, (V460+W460)-TIME(13,30,0), "")</f>
        <v/>
      </c>
    </row>
    <row r="461" customFormat="false" ht="15" hidden="false" customHeight="false" outlineLevel="0" collapsed="false">
      <c r="AB461" s="2" t="e">
        <f aca="false">U461-#REF!</f>
        <v>#REF!</v>
      </c>
      <c r="AC461" s="14" t="n">
        <f aca="false">(V461+W461)-(B461+C461)</f>
        <v>0</v>
      </c>
      <c r="AD461" s="4" t="str">
        <f aca="false">INT((V461+W461)-(B461+C461)) &amp; ":" &amp;
TEXT(HOUR((V461+W461)-(B461+C461)), "00") &amp; ":" &amp;
TEXT(MINUTE((V461+W461)-(B461+C461)), "00")</f>
        <v>0:00:00</v>
      </c>
      <c r="AE461" s="1" t="n">
        <f aca="false">IFERROR(
LEFT(AD461,FIND(":",AD461)-1)
+ MID(AD461,FIND(":",AD461)+1,2)/24
+ RIGHT(AD461,2)/1440,
"")</f>
        <v>0</v>
      </c>
      <c r="AF461" s="4" t="str">
        <f aca="false">INT((X461+Y461)-(B461+C461)) &amp; ":" &amp;
TEXT(HOUR((X461+Y461)-(B461+C461)), "00") &amp; ":" &amp;
TEXT(MINUTE((X461+Y461)-(B461+C461)), "00")</f>
        <v>0:00:00</v>
      </c>
      <c r="AG461" s="4" t="e">
        <f aca="false" t="array" ref="AG461:AG461">INT(_xlfn.XLOOKUP(J461,{"Low","Medium","High","Urgent"},{48,24,12,8})/24) &amp; ":" &amp;
TEXT(MOD(_xlfn.XLOOKUP(J461,{"Low","Medium","High","Urgent"},{48,24,12,8}),24)/24,"hh:mm")</f>
        <v>#N/A</v>
      </c>
      <c r="AH461" s="4" t="e">
        <f aca="false">IF(AD461&gt;AG461,"Not Met","Met")</f>
        <v>#N/A</v>
      </c>
      <c r="AI461" s="4" t="e">
        <f aca="false">IF(AB461&lt;TIME(0,30,0),"Met","Not Met")</f>
        <v>#REF!</v>
      </c>
      <c r="AN461" s="1" t="str">
        <f aca="false">TEXT(B461,"dd")</f>
        <v>30</v>
      </c>
      <c r="AO461" s="1" t="str">
        <f aca="false">TEXT(X461,"dd")</f>
        <v>30</v>
      </c>
      <c r="AP461" s="16" t="str">
        <f aca="false">INT(
  NETWORKDAYS(B461,V461)-1
  + IF(WEEKDAY(V461,2)&lt;6,MOD(V461+W461,1),0)
  - IF(WEEKDAY(B461,2)&lt;6,MOD(B461+C461,1),0)
)
&amp; ":" &amp;
TEXT(HOUR(
  NETWORKDAYS(B461,V461)-1
  + IF(WEEKDAY(V461,2)&lt;6,MOD(V461+W461,1),0)
  - IF(WEEKDAY(B461,2)&lt;6,MOD(B461+C461,1),0)
),"00")
&amp; ":" &amp;
TEXT(MINUTE(
  NETWORKDAYS(B461,V461)-1
  + IF(WEEKDAY(V461,2)&lt;6,MOD(V461+W461,1),0)
  - IF(WEEKDAY(B461,2)&lt;6,MOD(B461+C461,1),0)
),"00")</f>
        <v>-1:00:00</v>
      </c>
      <c r="AQ461" s="0" t="n">
        <f aca="false">IFERROR(
LEFT(AP461,FIND(":",AP461)-1)
+ MID(AP461,FIND(":",AP461)+1,2)/24
+ RIGHT(AP461,2)/1440,
"")</f>
        <v>-1</v>
      </c>
      <c r="AR461" s="0" t="n">
        <f aca="false">WEEKNUM(B461,1)</f>
        <v>52</v>
      </c>
      <c r="AS461" s="17" t="str">
        <f aca="false">IF(B461&gt;0, (B461+C461)-TIME(13,30,0), "")</f>
        <v/>
      </c>
      <c r="AT461" s="18" t="str">
        <f aca="false">IF(B461&gt;0, (B461+C461)-TIME(13,30,0), "")</f>
        <v/>
      </c>
      <c r="AU461" s="17" t="str">
        <f aca="false">IF(V461&gt;0, (V461+W461)-TIME(13,30,0), "")</f>
        <v/>
      </c>
      <c r="AV461" s="18" t="str">
        <f aca="false">IF(V461&gt;0, (V461+W461)-TIME(13,30,0), "")</f>
        <v/>
      </c>
    </row>
    <row r="462" customFormat="false" ht="15" hidden="false" customHeight="false" outlineLevel="0" collapsed="false">
      <c r="AB462" s="2" t="e">
        <f aca="false">U462-#REF!</f>
        <v>#REF!</v>
      </c>
      <c r="AC462" s="14" t="n">
        <f aca="false">(V462+W462)-(B462+C462)</f>
        <v>0</v>
      </c>
      <c r="AD462" s="4" t="str">
        <f aca="false">INT((V462+W462)-(B462+C462)) &amp; ":" &amp;
TEXT(HOUR((V462+W462)-(B462+C462)), "00") &amp; ":" &amp;
TEXT(MINUTE((V462+W462)-(B462+C462)), "00")</f>
        <v>0:00:00</v>
      </c>
      <c r="AE462" s="1" t="n">
        <f aca="false">IFERROR(
LEFT(AD462,FIND(":",AD462)-1)
+ MID(AD462,FIND(":",AD462)+1,2)/24
+ RIGHT(AD462,2)/1440,
"")</f>
        <v>0</v>
      </c>
      <c r="AF462" s="4" t="str">
        <f aca="false">INT((X462+Y462)-(B462+C462)) &amp; ":" &amp;
TEXT(HOUR((X462+Y462)-(B462+C462)), "00") &amp; ":" &amp;
TEXT(MINUTE((X462+Y462)-(B462+C462)), "00")</f>
        <v>0:00:00</v>
      </c>
      <c r="AG462" s="4" t="e">
        <f aca="false" t="array" ref="AG462:AG462">INT(_xlfn.XLOOKUP(J462,{"Low","Medium","High","Urgent"},{48,24,12,8})/24) &amp; ":" &amp;
TEXT(MOD(_xlfn.XLOOKUP(J462,{"Low","Medium","High","Urgent"},{48,24,12,8}),24)/24,"hh:mm")</f>
        <v>#N/A</v>
      </c>
      <c r="AH462" s="4" t="e">
        <f aca="false">IF(AD462&gt;AG462,"Not Met","Met")</f>
        <v>#N/A</v>
      </c>
      <c r="AI462" s="4" t="e">
        <f aca="false">IF(AB462&lt;TIME(0,30,0),"Met","Not Met")</f>
        <v>#REF!</v>
      </c>
      <c r="AN462" s="1" t="str">
        <f aca="false">TEXT(B462,"dd")</f>
        <v>30</v>
      </c>
      <c r="AO462" s="1" t="str">
        <f aca="false">TEXT(X462,"dd")</f>
        <v>30</v>
      </c>
      <c r="AP462" s="16" t="str">
        <f aca="false">INT(
  NETWORKDAYS(B462,V462)-1
  + IF(WEEKDAY(V462,2)&lt;6,MOD(V462+W462,1),0)
  - IF(WEEKDAY(B462,2)&lt;6,MOD(B462+C462,1),0)
)
&amp; ":" &amp;
TEXT(HOUR(
  NETWORKDAYS(B462,V462)-1
  + IF(WEEKDAY(V462,2)&lt;6,MOD(V462+W462,1),0)
  - IF(WEEKDAY(B462,2)&lt;6,MOD(B462+C462,1),0)
),"00")
&amp; ":" &amp;
TEXT(MINUTE(
  NETWORKDAYS(B462,V462)-1
  + IF(WEEKDAY(V462,2)&lt;6,MOD(V462+W462,1),0)
  - IF(WEEKDAY(B462,2)&lt;6,MOD(B462+C462,1),0)
),"00")</f>
        <v>-1:00:00</v>
      </c>
      <c r="AQ462" s="0" t="n">
        <f aca="false">IFERROR(
LEFT(AP462,FIND(":",AP462)-1)
+ MID(AP462,FIND(":",AP462)+1,2)/24
+ RIGHT(AP462,2)/1440,
"")</f>
        <v>-1</v>
      </c>
      <c r="AR462" s="0" t="n">
        <f aca="false">WEEKNUM(B462,1)</f>
        <v>52</v>
      </c>
      <c r="AS462" s="17" t="str">
        <f aca="false">IF(B462&gt;0, (B462+C462)-TIME(13,30,0), "")</f>
        <v/>
      </c>
      <c r="AT462" s="18" t="str">
        <f aca="false">IF(B462&gt;0, (B462+C462)-TIME(13,30,0), "")</f>
        <v/>
      </c>
      <c r="AU462" s="17" t="str">
        <f aca="false">IF(V462&gt;0, (V462+W462)-TIME(13,30,0), "")</f>
        <v/>
      </c>
      <c r="AV462" s="18" t="str">
        <f aca="false">IF(V462&gt;0, (V462+W462)-TIME(13,30,0), "")</f>
        <v/>
      </c>
    </row>
    <row r="463" customFormat="false" ht="15" hidden="false" customHeight="false" outlineLevel="0" collapsed="false">
      <c r="AB463" s="2" t="e">
        <f aca="false">U463-#REF!</f>
        <v>#REF!</v>
      </c>
      <c r="AC463" s="14" t="n">
        <f aca="false">(V463+W463)-(B463+C463)</f>
        <v>0</v>
      </c>
      <c r="AD463" s="4" t="str">
        <f aca="false">INT((V463+W463)-(B463+C463)) &amp; ":" &amp;
TEXT(HOUR((V463+W463)-(B463+C463)), "00") &amp; ":" &amp;
TEXT(MINUTE((V463+W463)-(B463+C463)), "00")</f>
        <v>0:00:00</v>
      </c>
      <c r="AE463" s="1" t="n">
        <f aca="false">IFERROR(
LEFT(AD463,FIND(":",AD463)-1)
+ MID(AD463,FIND(":",AD463)+1,2)/24
+ RIGHT(AD463,2)/1440,
"")</f>
        <v>0</v>
      </c>
      <c r="AF463" s="4" t="str">
        <f aca="false">INT((X463+Y463)-(B463+C463)) &amp; ":" &amp;
TEXT(HOUR((X463+Y463)-(B463+C463)), "00") &amp; ":" &amp;
TEXT(MINUTE((X463+Y463)-(B463+C463)), "00")</f>
        <v>0:00:00</v>
      </c>
      <c r="AG463" s="4" t="e">
        <f aca="false" t="array" ref="AG463:AG463">INT(_xlfn.XLOOKUP(J463,{"Low","Medium","High","Urgent"},{48,24,12,8})/24) &amp; ":" &amp;
TEXT(MOD(_xlfn.XLOOKUP(J463,{"Low","Medium","High","Urgent"},{48,24,12,8}),24)/24,"hh:mm")</f>
        <v>#N/A</v>
      </c>
      <c r="AH463" s="4" t="e">
        <f aca="false">IF(AD463&gt;AG463,"Not Met","Met")</f>
        <v>#N/A</v>
      </c>
      <c r="AI463" s="4" t="e">
        <f aca="false">IF(AB463&lt;TIME(0,30,0),"Met","Not Met")</f>
        <v>#REF!</v>
      </c>
      <c r="AN463" s="1" t="str">
        <f aca="false">TEXT(B463,"dd")</f>
        <v>30</v>
      </c>
      <c r="AO463" s="1" t="str">
        <f aca="false">TEXT(X463,"dd")</f>
        <v>30</v>
      </c>
      <c r="AP463" s="16" t="str">
        <f aca="false">INT(
  NETWORKDAYS(B463,V463)-1
  + IF(WEEKDAY(V463,2)&lt;6,MOD(V463+W463,1),0)
  - IF(WEEKDAY(B463,2)&lt;6,MOD(B463+C463,1),0)
)
&amp; ":" &amp;
TEXT(HOUR(
  NETWORKDAYS(B463,V463)-1
  + IF(WEEKDAY(V463,2)&lt;6,MOD(V463+W463,1),0)
  - IF(WEEKDAY(B463,2)&lt;6,MOD(B463+C463,1),0)
),"00")
&amp; ":" &amp;
TEXT(MINUTE(
  NETWORKDAYS(B463,V463)-1
  + IF(WEEKDAY(V463,2)&lt;6,MOD(V463+W463,1),0)
  - IF(WEEKDAY(B463,2)&lt;6,MOD(B463+C463,1),0)
),"00")</f>
        <v>-1:00:00</v>
      </c>
      <c r="AQ463" s="0" t="n">
        <f aca="false">IFERROR(
LEFT(AP463,FIND(":",AP463)-1)
+ MID(AP463,FIND(":",AP463)+1,2)/24
+ RIGHT(AP463,2)/1440,
"")</f>
        <v>-1</v>
      </c>
      <c r="AR463" s="0" t="n">
        <f aca="false">WEEKNUM(B463,1)</f>
        <v>52</v>
      </c>
      <c r="AS463" s="17" t="str">
        <f aca="false">IF(B463&gt;0, (B463+C463)-TIME(13,30,0), "")</f>
        <v/>
      </c>
      <c r="AT463" s="18" t="str">
        <f aca="false">IF(B463&gt;0, (B463+C463)-TIME(13,30,0), "")</f>
        <v/>
      </c>
      <c r="AU463" s="17" t="str">
        <f aca="false">IF(V463&gt;0, (V463+W463)-TIME(13,30,0), "")</f>
        <v/>
      </c>
      <c r="AV463" s="18" t="str">
        <f aca="false">IF(V463&gt;0, (V463+W463)-TIME(13,30,0), "")</f>
        <v/>
      </c>
    </row>
    <row r="464" customFormat="false" ht="15" hidden="false" customHeight="false" outlineLevel="0" collapsed="false">
      <c r="AB464" s="2" t="e">
        <f aca="false">U464-#REF!</f>
        <v>#REF!</v>
      </c>
      <c r="AC464" s="14" t="n">
        <f aca="false">(V464+W464)-(B464+C464)</f>
        <v>0</v>
      </c>
      <c r="AD464" s="4" t="str">
        <f aca="false">INT((V464+W464)-(B464+C464)) &amp; ":" &amp;
TEXT(HOUR((V464+W464)-(B464+C464)), "00") &amp; ":" &amp;
TEXT(MINUTE((V464+W464)-(B464+C464)), "00")</f>
        <v>0:00:00</v>
      </c>
      <c r="AE464" s="1" t="n">
        <f aca="false">IFERROR(
LEFT(AD464,FIND(":",AD464)-1)
+ MID(AD464,FIND(":",AD464)+1,2)/24
+ RIGHT(AD464,2)/1440,
"")</f>
        <v>0</v>
      </c>
      <c r="AF464" s="4" t="str">
        <f aca="false">INT((X464+Y464)-(B464+C464)) &amp; ":" &amp;
TEXT(HOUR((X464+Y464)-(B464+C464)), "00") &amp; ":" &amp;
TEXT(MINUTE((X464+Y464)-(B464+C464)), "00")</f>
        <v>0:00:00</v>
      </c>
      <c r="AG464" s="4" t="e">
        <f aca="false" t="array" ref="AG464:AG464">INT(_xlfn.XLOOKUP(J464,{"Low","Medium","High","Urgent"},{48,24,12,8})/24) &amp; ":" &amp;
TEXT(MOD(_xlfn.XLOOKUP(J464,{"Low","Medium","High","Urgent"},{48,24,12,8}),24)/24,"hh:mm")</f>
        <v>#N/A</v>
      </c>
      <c r="AH464" s="4" t="e">
        <f aca="false">IF(AD464&gt;AG464,"Not Met","Met")</f>
        <v>#N/A</v>
      </c>
      <c r="AI464" s="4" t="e">
        <f aca="false">IF(AB464&lt;TIME(0,30,0),"Met","Not Met")</f>
        <v>#REF!</v>
      </c>
      <c r="AN464" s="1" t="str">
        <f aca="false">TEXT(B464,"dd")</f>
        <v>30</v>
      </c>
      <c r="AO464" s="1" t="str">
        <f aca="false">TEXT(X464,"dd")</f>
        <v>30</v>
      </c>
      <c r="AP464" s="16" t="str">
        <f aca="false">INT(
  NETWORKDAYS(B464,V464)-1
  + IF(WEEKDAY(V464,2)&lt;6,MOD(V464+W464,1),0)
  - IF(WEEKDAY(B464,2)&lt;6,MOD(B464+C464,1),0)
)
&amp; ":" &amp;
TEXT(HOUR(
  NETWORKDAYS(B464,V464)-1
  + IF(WEEKDAY(V464,2)&lt;6,MOD(V464+W464,1),0)
  - IF(WEEKDAY(B464,2)&lt;6,MOD(B464+C464,1),0)
),"00")
&amp; ":" &amp;
TEXT(MINUTE(
  NETWORKDAYS(B464,V464)-1
  + IF(WEEKDAY(V464,2)&lt;6,MOD(V464+W464,1),0)
  - IF(WEEKDAY(B464,2)&lt;6,MOD(B464+C464,1),0)
),"00")</f>
        <v>-1:00:00</v>
      </c>
      <c r="AQ464" s="0" t="n">
        <f aca="false">IFERROR(
LEFT(AP464,FIND(":",AP464)-1)
+ MID(AP464,FIND(":",AP464)+1,2)/24
+ RIGHT(AP464,2)/1440,
"")</f>
        <v>-1</v>
      </c>
      <c r="AR464" s="0" t="n">
        <f aca="false">WEEKNUM(B464,1)</f>
        <v>52</v>
      </c>
      <c r="AS464" s="17" t="str">
        <f aca="false">IF(B464&gt;0, (B464+C464)-TIME(13,30,0), "")</f>
        <v/>
      </c>
      <c r="AT464" s="18" t="str">
        <f aca="false">IF(B464&gt;0, (B464+C464)-TIME(13,30,0), "")</f>
        <v/>
      </c>
      <c r="AU464" s="17" t="str">
        <f aca="false">IF(V464&gt;0, (V464+W464)-TIME(13,30,0), "")</f>
        <v/>
      </c>
      <c r="AV464" s="18" t="str">
        <f aca="false">IF(V464&gt;0, (V464+W464)-TIME(13,30,0), "")</f>
        <v/>
      </c>
    </row>
    <row r="465" customFormat="false" ht="15" hidden="false" customHeight="false" outlineLevel="0" collapsed="false">
      <c r="AB465" s="2" t="e">
        <f aca="false">U465-#REF!</f>
        <v>#REF!</v>
      </c>
      <c r="AC465" s="14" t="n">
        <f aca="false">(V465+W465)-(B465+C465)</f>
        <v>0</v>
      </c>
      <c r="AD465" s="4" t="str">
        <f aca="false">INT((V465+W465)-(B465+C465)) &amp; ":" &amp;
TEXT(HOUR((V465+W465)-(B465+C465)), "00") &amp; ":" &amp;
TEXT(MINUTE((V465+W465)-(B465+C465)), "00")</f>
        <v>0:00:00</v>
      </c>
      <c r="AE465" s="1" t="n">
        <f aca="false">IFERROR(
LEFT(AD465,FIND(":",AD465)-1)
+ MID(AD465,FIND(":",AD465)+1,2)/24
+ RIGHT(AD465,2)/1440,
"")</f>
        <v>0</v>
      </c>
      <c r="AF465" s="4" t="str">
        <f aca="false">INT((X465+Y465)-(B465+C465)) &amp; ":" &amp;
TEXT(HOUR((X465+Y465)-(B465+C465)), "00") &amp; ":" &amp;
TEXT(MINUTE((X465+Y465)-(B465+C465)), "00")</f>
        <v>0:00:00</v>
      </c>
      <c r="AG465" s="4" t="e">
        <f aca="false" t="array" ref="AG465:AG465">INT(_xlfn.XLOOKUP(J465,{"Low","Medium","High","Urgent"},{48,24,12,8})/24) &amp; ":" &amp;
TEXT(MOD(_xlfn.XLOOKUP(J465,{"Low","Medium","High","Urgent"},{48,24,12,8}),24)/24,"hh:mm")</f>
        <v>#N/A</v>
      </c>
      <c r="AH465" s="4" t="e">
        <f aca="false">IF(AD465&gt;AG465,"Not Met","Met")</f>
        <v>#N/A</v>
      </c>
      <c r="AI465" s="4" t="e">
        <f aca="false">IF(AB465&lt;TIME(0,30,0),"Met","Not Met")</f>
        <v>#REF!</v>
      </c>
      <c r="AN465" s="1" t="str">
        <f aca="false">TEXT(B465,"dd")</f>
        <v>30</v>
      </c>
      <c r="AO465" s="1" t="str">
        <f aca="false">TEXT(X465,"dd")</f>
        <v>30</v>
      </c>
      <c r="AP465" s="16" t="str">
        <f aca="false">INT(
  NETWORKDAYS(B465,V465)-1
  + IF(WEEKDAY(V465,2)&lt;6,MOD(V465+W465,1),0)
  - IF(WEEKDAY(B465,2)&lt;6,MOD(B465+C465,1),0)
)
&amp; ":" &amp;
TEXT(HOUR(
  NETWORKDAYS(B465,V465)-1
  + IF(WEEKDAY(V465,2)&lt;6,MOD(V465+W465,1),0)
  - IF(WEEKDAY(B465,2)&lt;6,MOD(B465+C465,1),0)
),"00")
&amp; ":" &amp;
TEXT(MINUTE(
  NETWORKDAYS(B465,V465)-1
  + IF(WEEKDAY(V465,2)&lt;6,MOD(V465+W465,1),0)
  - IF(WEEKDAY(B465,2)&lt;6,MOD(B465+C465,1),0)
),"00")</f>
        <v>-1:00:00</v>
      </c>
      <c r="AQ465" s="0" t="n">
        <f aca="false">IFERROR(
LEFT(AP465,FIND(":",AP465)-1)
+ MID(AP465,FIND(":",AP465)+1,2)/24
+ RIGHT(AP465,2)/1440,
"")</f>
        <v>-1</v>
      </c>
      <c r="AR465" s="0" t="n">
        <f aca="false">WEEKNUM(B465,1)</f>
        <v>52</v>
      </c>
      <c r="AS465" s="17" t="str">
        <f aca="false">IF(B465&gt;0, (B465+C465)-TIME(13,30,0), "")</f>
        <v/>
      </c>
      <c r="AT465" s="18" t="str">
        <f aca="false">IF(B465&gt;0, (B465+C465)-TIME(13,30,0), "")</f>
        <v/>
      </c>
      <c r="AU465" s="17" t="str">
        <f aca="false">IF(V465&gt;0, (V465+W465)-TIME(13,30,0), "")</f>
        <v/>
      </c>
      <c r="AV465" s="18" t="str">
        <f aca="false">IF(V465&gt;0, (V465+W465)-TIME(13,30,0), "")</f>
        <v/>
      </c>
    </row>
    <row r="466" customFormat="false" ht="15" hidden="false" customHeight="false" outlineLevel="0" collapsed="false">
      <c r="AB466" s="2" t="e">
        <f aca="false">U466-#REF!</f>
        <v>#REF!</v>
      </c>
      <c r="AC466" s="14" t="n">
        <f aca="false">(V466+W466)-(B466+C466)</f>
        <v>0</v>
      </c>
      <c r="AD466" s="4" t="str">
        <f aca="false">INT((V466+W466)-(B466+C466)) &amp; ":" &amp;
TEXT(HOUR((V466+W466)-(B466+C466)), "00") &amp; ":" &amp;
TEXT(MINUTE((V466+W466)-(B466+C466)), "00")</f>
        <v>0:00:00</v>
      </c>
      <c r="AE466" s="1" t="n">
        <f aca="false">IFERROR(
LEFT(AD466,FIND(":",AD466)-1)
+ MID(AD466,FIND(":",AD466)+1,2)/24
+ RIGHT(AD466,2)/1440,
"")</f>
        <v>0</v>
      </c>
      <c r="AF466" s="4" t="str">
        <f aca="false">INT((X466+Y466)-(B466+C466)) &amp; ":" &amp;
TEXT(HOUR((X466+Y466)-(B466+C466)), "00") &amp; ":" &amp;
TEXT(MINUTE((X466+Y466)-(B466+C466)), "00")</f>
        <v>0:00:00</v>
      </c>
      <c r="AG466" s="4" t="e">
        <f aca="false" t="array" ref="AG466:AG466">INT(_xlfn.XLOOKUP(J466,{"Low","Medium","High","Urgent"},{48,24,12,8})/24) &amp; ":" &amp;
TEXT(MOD(_xlfn.XLOOKUP(J466,{"Low","Medium","High","Urgent"},{48,24,12,8}),24)/24,"hh:mm")</f>
        <v>#N/A</v>
      </c>
      <c r="AH466" s="4" t="e">
        <f aca="false">IF(AD466&gt;AG466,"Not Met","Met")</f>
        <v>#N/A</v>
      </c>
      <c r="AI466" s="4" t="e">
        <f aca="false">IF(AB466&lt;TIME(0,30,0),"Met","Not Met")</f>
        <v>#REF!</v>
      </c>
      <c r="AN466" s="1" t="str">
        <f aca="false">TEXT(B466,"dd")</f>
        <v>30</v>
      </c>
      <c r="AO466" s="1" t="str">
        <f aca="false">TEXT(X466,"dd")</f>
        <v>30</v>
      </c>
      <c r="AP466" s="16" t="str">
        <f aca="false">INT(
  NETWORKDAYS(B466,V466)-1
  + IF(WEEKDAY(V466,2)&lt;6,MOD(V466+W466,1),0)
  - IF(WEEKDAY(B466,2)&lt;6,MOD(B466+C466,1),0)
)
&amp; ":" &amp;
TEXT(HOUR(
  NETWORKDAYS(B466,V466)-1
  + IF(WEEKDAY(V466,2)&lt;6,MOD(V466+W466,1),0)
  - IF(WEEKDAY(B466,2)&lt;6,MOD(B466+C466,1),0)
),"00")
&amp; ":" &amp;
TEXT(MINUTE(
  NETWORKDAYS(B466,V466)-1
  + IF(WEEKDAY(V466,2)&lt;6,MOD(V466+W466,1),0)
  - IF(WEEKDAY(B466,2)&lt;6,MOD(B466+C466,1),0)
),"00")</f>
        <v>-1:00:00</v>
      </c>
      <c r="AQ466" s="0" t="n">
        <f aca="false">IFERROR(
LEFT(AP466,FIND(":",AP466)-1)
+ MID(AP466,FIND(":",AP466)+1,2)/24
+ RIGHT(AP466,2)/1440,
"")</f>
        <v>-1</v>
      </c>
      <c r="AR466" s="0" t="n">
        <f aca="false">WEEKNUM(B466,1)</f>
        <v>52</v>
      </c>
      <c r="AS466" s="17" t="str">
        <f aca="false">IF(B466&gt;0, (B466+C466)-TIME(13,30,0), "")</f>
        <v/>
      </c>
      <c r="AT466" s="18" t="str">
        <f aca="false">IF(B466&gt;0, (B466+C466)-TIME(13,30,0), "")</f>
        <v/>
      </c>
      <c r="AU466" s="17" t="str">
        <f aca="false">IF(V466&gt;0, (V466+W466)-TIME(13,30,0), "")</f>
        <v/>
      </c>
      <c r="AV466" s="18" t="str">
        <f aca="false">IF(V466&gt;0, (V466+W466)-TIME(13,30,0), "")</f>
        <v/>
      </c>
    </row>
    <row r="467" customFormat="false" ht="15" hidden="false" customHeight="false" outlineLevel="0" collapsed="false">
      <c r="AB467" s="2" t="e">
        <f aca="false">U467-#REF!</f>
        <v>#REF!</v>
      </c>
      <c r="AC467" s="14" t="n">
        <f aca="false">(V467+W467)-(B467+C467)</f>
        <v>0</v>
      </c>
      <c r="AD467" s="4" t="str">
        <f aca="false">INT((V467+W467)-(B467+C467)) &amp; ":" &amp;
TEXT(HOUR((V467+W467)-(B467+C467)), "00") &amp; ":" &amp;
TEXT(MINUTE((V467+W467)-(B467+C467)), "00")</f>
        <v>0:00:00</v>
      </c>
      <c r="AE467" s="1" t="n">
        <f aca="false">IFERROR(
LEFT(AD467,FIND(":",AD467)-1)
+ MID(AD467,FIND(":",AD467)+1,2)/24
+ RIGHT(AD467,2)/1440,
"")</f>
        <v>0</v>
      </c>
      <c r="AF467" s="4" t="str">
        <f aca="false">INT((X467+Y467)-(B467+C467)) &amp; ":" &amp;
TEXT(HOUR((X467+Y467)-(B467+C467)), "00") &amp; ":" &amp;
TEXT(MINUTE((X467+Y467)-(B467+C467)), "00")</f>
        <v>0:00:00</v>
      </c>
      <c r="AG467" s="4" t="e">
        <f aca="false" t="array" ref="AG467:AG467">INT(_xlfn.XLOOKUP(J467,{"Low","Medium","High","Urgent"},{48,24,12,8})/24) &amp; ":" &amp;
TEXT(MOD(_xlfn.XLOOKUP(J467,{"Low","Medium","High","Urgent"},{48,24,12,8}),24)/24,"hh:mm")</f>
        <v>#N/A</v>
      </c>
      <c r="AH467" s="4" t="e">
        <f aca="false">IF(AD467&gt;AG467,"Not Met","Met")</f>
        <v>#N/A</v>
      </c>
      <c r="AI467" s="4" t="e">
        <f aca="false">IF(AB467&lt;TIME(0,30,0),"Met","Not Met")</f>
        <v>#REF!</v>
      </c>
      <c r="AN467" s="1" t="str">
        <f aca="false">TEXT(B467,"dd")</f>
        <v>30</v>
      </c>
      <c r="AO467" s="1" t="str">
        <f aca="false">TEXT(X467,"dd")</f>
        <v>30</v>
      </c>
      <c r="AP467" s="16" t="str">
        <f aca="false">INT(
  NETWORKDAYS(B467,V467)-1
  + IF(WEEKDAY(V467,2)&lt;6,MOD(V467+W467,1),0)
  - IF(WEEKDAY(B467,2)&lt;6,MOD(B467+C467,1),0)
)
&amp; ":" &amp;
TEXT(HOUR(
  NETWORKDAYS(B467,V467)-1
  + IF(WEEKDAY(V467,2)&lt;6,MOD(V467+W467,1),0)
  - IF(WEEKDAY(B467,2)&lt;6,MOD(B467+C467,1),0)
),"00")
&amp; ":" &amp;
TEXT(MINUTE(
  NETWORKDAYS(B467,V467)-1
  + IF(WEEKDAY(V467,2)&lt;6,MOD(V467+W467,1),0)
  - IF(WEEKDAY(B467,2)&lt;6,MOD(B467+C467,1),0)
),"00")</f>
        <v>-1:00:00</v>
      </c>
      <c r="AQ467" s="0" t="n">
        <f aca="false">IFERROR(
LEFT(AP467,FIND(":",AP467)-1)
+ MID(AP467,FIND(":",AP467)+1,2)/24
+ RIGHT(AP467,2)/1440,
"")</f>
        <v>-1</v>
      </c>
      <c r="AR467" s="0" t="n">
        <f aca="false">WEEKNUM(B467,1)</f>
        <v>52</v>
      </c>
      <c r="AS467" s="17" t="str">
        <f aca="false">IF(B467&gt;0, (B467+C467)-TIME(13,30,0), "")</f>
        <v/>
      </c>
      <c r="AT467" s="18" t="str">
        <f aca="false">IF(B467&gt;0, (B467+C467)-TIME(13,30,0), "")</f>
        <v/>
      </c>
      <c r="AU467" s="17" t="str">
        <f aca="false">IF(V467&gt;0, (V467+W467)-TIME(13,30,0), "")</f>
        <v/>
      </c>
      <c r="AV467" s="18" t="str">
        <f aca="false">IF(V467&gt;0, (V467+W467)-TIME(13,30,0), "")</f>
        <v/>
      </c>
    </row>
    <row r="468" customFormat="false" ht="15" hidden="false" customHeight="false" outlineLevel="0" collapsed="false">
      <c r="AB468" s="2" t="e">
        <f aca="false">U468-#REF!</f>
        <v>#REF!</v>
      </c>
      <c r="AC468" s="14" t="n">
        <f aca="false">(V468+W468)-(B468+C468)</f>
        <v>0</v>
      </c>
      <c r="AD468" s="4" t="str">
        <f aca="false">INT((V468+W468)-(B468+C468)) &amp; ":" &amp;
TEXT(HOUR((V468+W468)-(B468+C468)), "00") &amp; ":" &amp;
TEXT(MINUTE((V468+W468)-(B468+C468)), "00")</f>
        <v>0:00:00</v>
      </c>
      <c r="AE468" s="1" t="n">
        <f aca="false">IFERROR(
LEFT(AD468,FIND(":",AD468)-1)
+ MID(AD468,FIND(":",AD468)+1,2)/24
+ RIGHT(AD468,2)/1440,
"")</f>
        <v>0</v>
      </c>
      <c r="AF468" s="4" t="str">
        <f aca="false">INT((X468+Y468)-(B468+C468)) &amp; ":" &amp;
TEXT(HOUR((X468+Y468)-(B468+C468)), "00") &amp; ":" &amp;
TEXT(MINUTE((X468+Y468)-(B468+C468)), "00")</f>
        <v>0:00:00</v>
      </c>
      <c r="AG468" s="4" t="e">
        <f aca="false" t="array" ref="AG468:AG468">INT(_xlfn.XLOOKUP(J468,{"Low","Medium","High","Urgent"},{48,24,12,8})/24) &amp; ":" &amp;
TEXT(MOD(_xlfn.XLOOKUP(J468,{"Low","Medium","High","Urgent"},{48,24,12,8}),24)/24,"hh:mm")</f>
        <v>#N/A</v>
      </c>
      <c r="AH468" s="4" t="e">
        <f aca="false">IF(AD468&gt;AG468,"Not Met","Met")</f>
        <v>#N/A</v>
      </c>
      <c r="AI468" s="4" t="e">
        <f aca="false">IF(AB468&lt;TIME(0,30,0),"Met","Not Met")</f>
        <v>#REF!</v>
      </c>
      <c r="AN468" s="1" t="str">
        <f aca="false">TEXT(B468,"dd")</f>
        <v>30</v>
      </c>
      <c r="AO468" s="1" t="str">
        <f aca="false">TEXT(X468,"dd")</f>
        <v>30</v>
      </c>
      <c r="AP468" s="16" t="str">
        <f aca="false">INT(
  NETWORKDAYS(B468,V468)-1
  + IF(WEEKDAY(V468,2)&lt;6,MOD(V468+W468,1),0)
  - IF(WEEKDAY(B468,2)&lt;6,MOD(B468+C468,1),0)
)
&amp; ":" &amp;
TEXT(HOUR(
  NETWORKDAYS(B468,V468)-1
  + IF(WEEKDAY(V468,2)&lt;6,MOD(V468+W468,1),0)
  - IF(WEEKDAY(B468,2)&lt;6,MOD(B468+C468,1),0)
),"00")
&amp; ":" &amp;
TEXT(MINUTE(
  NETWORKDAYS(B468,V468)-1
  + IF(WEEKDAY(V468,2)&lt;6,MOD(V468+W468,1),0)
  - IF(WEEKDAY(B468,2)&lt;6,MOD(B468+C468,1),0)
),"00")</f>
        <v>-1:00:00</v>
      </c>
      <c r="AQ468" s="0" t="n">
        <f aca="false">IFERROR(
LEFT(AP468,FIND(":",AP468)-1)
+ MID(AP468,FIND(":",AP468)+1,2)/24
+ RIGHT(AP468,2)/1440,
"")</f>
        <v>-1</v>
      </c>
      <c r="AR468" s="0" t="n">
        <f aca="false">WEEKNUM(B468,1)</f>
        <v>52</v>
      </c>
      <c r="AS468" s="17" t="str">
        <f aca="false">IF(B468&gt;0, (B468+C468)-TIME(13,30,0), "")</f>
        <v/>
      </c>
      <c r="AT468" s="18" t="str">
        <f aca="false">IF(B468&gt;0, (B468+C468)-TIME(13,30,0), "")</f>
        <v/>
      </c>
      <c r="AU468" s="17" t="str">
        <f aca="false">IF(V468&gt;0, (V468+W468)-TIME(13,30,0), "")</f>
        <v/>
      </c>
      <c r="AV468" s="18" t="str">
        <f aca="false">IF(V468&gt;0, (V468+W468)-TIME(13,30,0), "")</f>
        <v/>
      </c>
    </row>
    <row r="469" customFormat="false" ht="15" hidden="false" customHeight="false" outlineLevel="0" collapsed="false">
      <c r="AB469" s="2" t="e">
        <f aca="false">U469-#REF!</f>
        <v>#REF!</v>
      </c>
      <c r="AC469" s="14" t="n">
        <f aca="false">(V469+W469)-(B469+C469)</f>
        <v>0</v>
      </c>
      <c r="AD469" s="4" t="str">
        <f aca="false">INT((V469+W469)-(B469+C469)) &amp; ":" &amp;
TEXT(HOUR((V469+W469)-(B469+C469)), "00") &amp; ":" &amp;
TEXT(MINUTE((V469+W469)-(B469+C469)), "00")</f>
        <v>0:00:00</v>
      </c>
      <c r="AE469" s="1" t="n">
        <f aca="false">IFERROR(
LEFT(AD469,FIND(":",AD469)-1)
+ MID(AD469,FIND(":",AD469)+1,2)/24
+ RIGHT(AD469,2)/1440,
"")</f>
        <v>0</v>
      </c>
      <c r="AF469" s="4" t="str">
        <f aca="false">INT((X469+Y469)-(B469+C469)) &amp; ":" &amp;
TEXT(HOUR((X469+Y469)-(B469+C469)), "00") &amp; ":" &amp;
TEXT(MINUTE((X469+Y469)-(B469+C469)), "00")</f>
        <v>0:00:00</v>
      </c>
      <c r="AG469" s="4" t="e">
        <f aca="false" t="array" ref="AG469:AG469">INT(_xlfn.XLOOKUP(J469,{"Low","Medium","High","Urgent"},{48,24,12,8})/24) &amp; ":" &amp;
TEXT(MOD(_xlfn.XLOOKUP(J469,{"Low","Medium","High","Urgent"},{48,24,12,8}),24)/24,"hh:mm")</f>
        <v>#N/A</v>
      </c>
      <c r="AH469" s="4" t="e">
        <f aca="false">IF(AD469&gt;AG469,"Not Met","Met")</f>
        <v>#N/A</v>
      </c>
      <c r="AI469" s="4" t="e">
        <f aca="false">IF(AB469&lt;TIME(0,30,0),"Met","Not Met")</f>
        <v>#REF!</v>
      </c>
      <c r="AN469" s="1" t="str">
        <f aca="false">TEXT(B469,"dd")</f>
        <v>30</v>
      </c>
      <c r="AO469" s="1" t="str">
        <f aca="false">TEXT(X469,"dd")</f>
        <v>30</v>
      </c>
      <c r="AP469" s="16" t="str">
        <f aca="false">INT(
  NETWORKDAYS(B469,V469)-1
  + IF(WEEKDAY(V469,2)&lt;6,MOD(V469+W469,1),0)
  - IF(WEEKDAY(B469,2)&lt;6,MOD(B469+C469,1),0)
)
&amp; ":" &amp;
TEXT(HOUR(
  NETWORKDAYS(B469,V469)-1
  + IF(WEEKDAY(V469,2)&lt;6,MOD(V469+W469,1),0)
  - IF(WEEKDAY(B469,2)&lt;6,MOD(B469+C469,1),0)
),"00")
&amp; ":" &amp;
TEXT(MINUTE(
  NETWORKDAYS(B469,V469)-1
  + IF(WEEKDAY(V469,2)&lt;6,MOD(V469+W469,1),0)
  - IF(WEEKDAY(B469,2)&lt;6,MOD(B469+C469,1),0)
),"00")</f>
        <v>-1:00:00</v>
      </c>
      <c r="AQ469" s="0" t="n">
        <f aca="false">IFERROR(
LEFT(AP469,FIND(":",AP469)-1)
+ MID(AP469,FIND(":",AP469)+1,2)/24
+ RIGHT(AP469,2)/1440,
"")</f>
        <v>-1</v>
      </c>
      <c r="AR469" s="0" t="n">
        <f aca="false">WEEKNUM(B469,1)</f>
        <v>52</v>
      </c>
      <c r="AS469" s="17" t="str">
        <f aca="false">IF(B469&gt;0, (B469+C469)-TIME(13,30,0), "")</f>
        <v/>
      </c>
      <c r="AT469" s="18" t="str">
        <f aca="false">IF(B469&gt;0, (B469+C469)-TIME(13,30,0), "")</f>
        <v/>
      </c>
      <c r="AU469" s="17" t="str">
        <f aca="false">IF(V469&gt;0, (V469+W469)-TIME(13,30,0), "")</f>
        <v/>
      </c>
      <c r="AV469" s="18" t="str">
        <f aca="false">IF(V469&gt;0, (V469+W469)-TIME(13,30,0), "")</f>
        <v/>
      </c>
    </row>
    <row r="470" customFormat="false" ht="15" hidden="false" customHeight="false" outlineLevel="0" collapsed="false">
      <c r="AB470" s="2" t="e">
        <f aca="false">U470-#REF!</f>
        <v>#REF!</v>
      </c>
      <c r="AC470" s="14" t="n">
        <f aca="false">(V470+W470)-(B470+C470)</f>
        <v>0</v>
      </c>
      <c r="AD470" s="4" t="str">
        <f aca="false">INT((V470+W470)-(B470+C470)) &amp; ":" &amp;
TEXT(HOUR((V470+W470)-(B470+C470)), "00") &amp; ":" &amp;
TEXT(MINUTE((V470+W470)-(B470+C470)), "00")</f>
        <v>0:00:00</v>
      </c>
      <c r="AE470" s="1" t="n">
        <f aca="false">IFERROR(
LEFT(AD470,FIND(":",AD470)-1)
+ MID(AD470,FIND(":",AD470)+1,2)/24
+ RIGHT(AD470,2)/1440,
"")</f>
        <v>0</v>
      </c>
      <c r="AF470" s="4" t="str">
        <f aca="false">INT((X470+Y470)-(B470+C470)) &amp; ":" &amp;
TEXT(HOUR((X470+Y470)-(B470+C470)), "00") &amp; ":" &amp;
TEXT(MINUTE((X470+Y470)-(B470+C470)), "00")</f>
        <v>0:00:00</v>
      </c>
      <c r="AG470" s="4" t="e">
        <f aca="false" t="array" ref="AG470:AG470">INT(_xlfn.XLOOKUP(J470,{"Low","Medium","High","Urgent"},{48,24,12,8})/24) &amp; ":" &amp;
TEXT(MOD(_xlfn.XLOOKUP(J470,{"Low","Medium","High","Urgent"},{48,24,12,8}),24)/24,"hh:mm")</f>
        <v>#N/A</v>
      </c>
      <c r="AH470" s="4" t="e">
        <f aca="false">IF(AD470&gt;AG470,"Not Met","Met")</f>
        <v>#N/A</v>
      </c>
      <c r="AI470" s="4" t="e">
        <f aca="false">IF(AB470&lt;TIME(0,30,0),"Met","Not Met")</f>
        <v>#REF!</v>
      </c>
      <c r="AN470" s="1" t="str">
        <f aca="false">TEXT(B470,"dd")</f>
        <v>30</v>
      </c>
      <c r="AO470" s="1" t="str">
        <f aca="false">TEXT(X470,"dd")</f>
        <v>30</v>
      </c>
      <c r="AP470" s="16" t="str">
        <f aca="false">INT(
  NETWORKDAYS(B470,V470)-1
  + IF(WEEKDAY(V470,2)&lt;6,MOD(V470+W470,1),0)
  - IF(WEEKDAY(B470,2)&lt;6,MOD(B470+C470,1),0)
)
&amp; ":" &amp;
TEXT(HOUR(
  NETWORKDAYS(B470,V470)-1
  + IF(WEEKDAY(V470,2)&lt;6,MOD(V470+W470,1),0)
  - IF(WEEKDAY(B470,2)&lt;6,MOD(B470+C470,1),0)
),"00")
&amp; ":" &amp;
TEXT(MINUTE(
  NETWORKDAYS(B470,V470)-1
  + IF(WEEKDAY(V470,2)&lt;6,MOD(V470+W470,1),0)
  - IF(WEEKDAY(B470,2)&lt;6,MOD(B470+C470,1),0)
),"00")</f>
        <v>-1:00:00</v>
      </c>
      <c r="AQ470" s="0" t="n">
        <f aca="false">IFERROR(
LEFT(AP470,FIND(":",AP470)-1)
+ MID(AP470,FIND(":",AP470)+1,2)/24
+ RIGHT(AP470,2)/1440,
"")</f>
        <v>-1</v>
      </c>
      <c r="AR470" s="0" t="n">
        <f aca="false">WEEKNUM(B470,1)</f>
        <v>52</v>
      </c>
      <c r="AS470" s="17" t="str">
        <f aca="false">IF(B470&gt;0, (B470+C470)-TIME(13,30,0), "")</f>
        <v/>
      </c>
      <c r="AT470" s="18" t="str">
        <f aca="false">IF(B470&gt;0, (B470+C470)-TIME(13,30,0), "")</f>
        <v/>
      </c>
      <c r="AU470" s="17" t="str">
        <f aca="false">IF(V470&gt;0, (V470+W470)-TIME(13,30,0), "")</f>
        <v/>
      </c>
      <c r="AV470" s="18" t="str">
        <f aca="false">IF(V470&gt;0, (V470+W470)-TIME(13,30,0), "")</f>
        <v/>
      </c>
    </row>
    <row r="471" customFormat="false" ht="15" hidden="false" customHeight="false" outlineLevel="0" collapsed="false">
      <c r="AB471" s="2" t="e">
        <f aca="false">U471-#REF!</f>
        <v>#REF!</v>
      </c>
      <c r="AC471" s="14" t="n">
        <f aca="false">(V471+W471)-(B471+C471)</f>
        <v>0</v>
      </c>
      <c r="AD471" s="4" t="str">
        <f aca="false">INT((V471+W471)-(B471+C471)) &amp; ":" &amp;
TEXT(HOUR((V471+W471)-(B471+C471)), "00") &amp; ":" &amp;
TEXT(MINUTE((V471+W471)-(B471+C471)), "00")</f>
        <v>0:00:00</v>
      </c>
      <c r="AE471" s="1" t="n">
        <f aca="false">IFERROR(
LEFT(AD471,FIND(":",AD471)-1)
+ MID(AD471,FIND(":",AD471)+1,2)/24
+ RIGHT(AD471,2)/1440,
"")</f>
        <v>0</v>
      </c>
      <c r="AF471" s="4" t="str">
        <f aca="false">INT((X471+Y471)-(B471+C471)) &amp; ":" &amp;
TEXT(HOUR((X471+Y471)-(B471+C471)), "00") &amp; ":" &amp;
TEXT(MINUTE((X471+Y471)-(B471+C471)), "00")</f>
        <v>0:00:00</v>
      </c>
      <c r="AG471" s="4" t="e">
        <f aca="false" t="array" ref="AG471:AG471">INT(_xlfn.XLOOKUP(J471,{"Low","Medium","High","Urgent"},{48,24,12,8})/24) &amp; ":" &amp;
TEXT(MOD(_xlfn.XLOOKUP(J471,{"Low","Medium","High","Urgent"},{48,24,12,8}),24)/24,"hh:mm")</f>
        <v>#N/A</v>
      </c>
      <c r="AH471" s="4" t="e">
        <f aca="false">IF(AD471&gt;AG471,"Not Met","Met")</f>
        <v>#N/A</v>
      </c>
      <c r="AI471" s="4" t="e">
        <f aca="false">IF(AB471&lt;TIME(0,30,0),"Met","Not Met")</f>
        <v>#REF!</v>
      </c>
      <c r="AN471" s="1" t="str">
        <f aca="false">TEXT(B471,"dd")</f>
        <v>30</v>
      </c>
      <c r="AO471" s="1" t="str">
        <f aca="false">TEXT(X471,"dd")</f>
        <v>30</v>
      </c>
      <c r="AP471" s="16" t="str">
        <f aca="false">INT(
  NETWORKDAYS(B471,V471)-1
  + IF(WEEKDAY(V471,2)&lt;6,MOD(V471+W471,1),0)
  - IF(WEEKDAY(B471,2)&lt;6,MOD(B471+C471,1),0)
)
&amp; ":" &amp;
TEXT(HOUR(
  NETWORKDAYS(B471,V471)-1
  + IF(WEEKDAY(V471,2)&lt;6,MOD(V471+W471,1),0)
  - IF(WEEKDAY(B471,2)&lt;6,MOD(B471+C471,1),0)
),"00")
&amp; ":" &amp;
TEXT(MINUTE(
  NETWORKDAYS(B471,V471)-1
  + IF(WEEKDAY(V471,2)&lt;6,MOD(V471+W471,1),0)
  - IF(WEEKDAY(B471,2)&lt;6,MOD(B471+C471,1),0)
),"00")</f>
        <v>-1:00:00</v>
      </c>
      <c r="AQ471" s="0" t="n">
        <f aca="false">IFERROR(
LEFT(AP471,FIND(":",AP471)-1)
+ MID(AP471,FIND(":",AP471)+1,2)/24
+ RIGHT(AP471,2)/1440,
"")</f>
        <v>-1</v>
      </c>
      <c r="AR471" s="0" t="n">
        <f aca="false">WEEKNUM(B471,1)</f>
        <v>52</v>
      </c>
      <c r="AS471" s="17" t="str">
        <f aca="false">IF(B471&gt;0, (B471+C471)-TIME(13,30,0), "")</f>
        <v/>
      </c>
      <c r="AT471" s="18" t="str">
        <f aca="false">IF(B471&gt;0, (B471+C471)-TIME(13,30,0), "")</f>
        <v/>
      </c>
      <c r="AU471" s="17" t="str">
        <f aca="false">IF(V471&gt;0, (V471+W471)-TIME(13,30,0), "")</f>
        <v/>
      </c>
      <c r="AV471" s="18" t="str">
        <f aca="false">IF(V471&gt;0, (V471+W471)-TIME(13,30,0), "")</f>
        <v/>
      </c>
    </row>
    <row r="472" customFormat="false" ht="15" hidden="false" customHeight="false" outlineLevel="0" collapsed="false">
      <c r="AB472" s="2" t="e">
        <f aca="false">U472-#REF!</f>
        <v>#REF!</v>
      </c>
      <c r="AC472" s="14" t="n">
        <f aca="false">(V472+W472)-(B472+C472)</f>
        <v>0</v>
      </c>
      <c r="AD472" s="4" t="str">
        <f aca="false">INT((V472+W472)-(B472+C472)) &amp; ":" &amp;
TEXT(HOUR((V472+W472)-(B472+C472)), "00") &amp; ":" &amp;
TEXT(MINUTE((V472+W472)-(B472+C472)), "00")</f>
        <v>0:00:00</v>
      </c>
      <c r="AE472" s="1" t="n">
        <f aca="false">IFERROR(
LEFT(AD472,FIND(":",AD472)-1)
+ MID(AD472,FIND(":",AD472)+1,2)/24
+ RIGHT(AD472,2)/1440,
"")</f>
        <v>0</v>
      </c>
      <c r="AF472" s="4" t="str">
        <f aca="false">INT((X472+Y472)-(B472+C472)) &amp; ":" &amp;
TEXT(HOUR((X472+Y472)-(B472+C472)), "00") &amp; ":" &amp;
TEXT(MINUTE((X472+Y472)-(B472+C472)), "00")</f>
        <v>0:00:00</v>
      </c>
      <c r="AG472" s="4" t="e">
        <f aca="false" t="array" ref="AG472:AG472">INT(_xlfn.XLOOKUP(J472,{"Low","Medium","High","Urgent"},{48,24,12,8})/24) &amp; ":" &amp;
TEXT(MOD(_xlfn.XLOOKUP(J472,{"Low","Medium","High","Urgent"},{48,24,12,8}),24)/24,"hh:mm")</f>
        <v>#N/A</v>
      </c>
      <c r="AH472" s="4" t="e">
        <f aca="false">IF(AD472&gt;AG472,"Not Met","Met")</f>
        <v>#N/A</v>
      </c>
      <c r="AI472" s="4" t="e">
        <f aca="false">IF(AB472&lt;TIME(0,30,0),"Met","Not Met")</f>
        <v>#REF!</v>
      </c>
      <c r="AN472" s="1" t="str">
        <f aca="false">TEXT(B472,"dd")</f>
        <v>30</v>
      </c>
      <c r="AO472" s="1" t="str">
        <f aca="false">TEXT(X472,"dd")</f>
        <v>30</v>
      </c>
      <c r="AP472" s="16" t="str">
        <f aca="false">INT(
  NETWORKDAYS(B472,V472)-1
  + IF(WEEKDAY(V472,2)&lt;6,MOD(V472+W472,1),0)
  - IF(WEEKDAY(B472,2)&lt;6,MOD(B472+C472,1),0)
)
&amp; ":" &amp;
TEXT(HOUR(
  NETWORKDAYS(B472,V472)-1
  + IF(WEEKDAY(V472,2)&lt;6,MOD(V472+W472,1),0)
  - IF(WEEKDAY(B472,2)&lt;6,MOD(B472+C472,1),0)
),"00")
&amp; ":" &amp;
TEXT(MINUTE(
  NETWORKDAYS(B472,V472)-1
  + IF(WEEKDAY(V472,2)&lt;6,MOD(V472+W472,1),0)
  - IF(WEEKDAY(B472,2)&lt;6,MOD(B472+C472,1),0)
),"00")</f>
        <v>-1:00:00</v>
      </c>
      <c r="AQ472" s="0" t="n">
        <f aca="false">IFERROR(
LEFT(AP472,FIND(":",AP472)-1)
+ MID(AP472,FIND(":",AP472)+1,2)/24
+ RIGHT(AP472,2)/1440,
"")</f>
        <v>-1</v>
      </c>
      <c r="AR472" s="0" t="n">
        <f aca="false">WEEKNUM(B472,1)</f>
        <v>52</v>
      </c>
      <c r="AS472" s="17" t="str">
        <f aca="false">IF(B472&gt;0, (B472+C472)-TIME(13,30,0), "")</f>
        <v/>
      </c>
      <c r="AT472" s="18" t="str">
        <f aca="false">IF(B472&gt;0, (B472+C472)-TIME(13,30,0), "")</f>
        <v/>
      </c>
      <c r="AU472" s="17" t="str">
        <f aca="false">IF(V472&gt;0, (V472+W472)-TIME(13,30,0), "")</f>
        <v/>
      </c>
      <c r="AV472" s="18" t="str">
        <f aca="false">IF(V472&gt;0, (V472+W472)-TIME(13,30,0), "")</f>
        <v/>
      </c>
    </row>
    <row r="473" customFormat="false" ht="15" hidden="false" customHeight="false" outlineLevel="0" collapsed="false">
      <c r="AB473" s="2" t="e">
        <f aca="false">U473-#REF!</f>
        <v>#REF!</v>
      </c>
      <c r="AC473" s="14" t="n">
        <f aca="false">(V473+W473)-(B473+C473)</f>
        <v>0</v>
      </c>
      <c r="AD473" s="4" t="str">
        <f aca="false">INT((V473+W473)-(B473+C473)) &amp; ":" &amp;
TEXT(HOUR((V473+W473)-(B473+C473)), "00") &amp; ":" &amp;
TEXT(MINUTE((V473+W473)-(B473+C473)), "00")</f>
        <v>0:00:00</v>
      </c>
      <c r="AE473" s="1" t="n">
        <f aca="false">IFERROR(
LEFT(AD473,FIND(":",AD473)-1)
+ MID(AD473,FIND(":",AD473)+1,2)/24
+ RIGHT(AD473,2)/1440,
"")</f>
        <v>0</v>
      </c>
      <c r="AF473" s="4" t="str">
        <f aca="false">INT((X473+Y473)-(B473+C473)) &amp; ":" &amp;
TEXT(HOUR((X473+Y473)-(B473+C473)), "00") &amp; ":" &amp;
TEXT(MINUTE((X473+Y473)-(B473+C473)), "00")</f>
        <v>0:00:00</v>
      </c>
      <c r="AG473" s="4" t="e">
        <f aca="false" t="array" ref="AG473:AG473">INT(_xlfn.XLOOKUP(J473,{"Low","Medium","High","Urgent"},{48,24,12,8})/24) &amp; ":" &amp;
TEXT(MOD(_xlfn.XLOOKUP(J473,{"Low","Medium","High","Urgent"},{48,24,12,8}),24)/24,"hh:mm")</f>
        <v>#N/A</v>
      </c>
      <c r="AH473" s="4" t="e">
        <f aca="false">IF(AD473&gt;AG473,"Not Met","Met")</f>
        <v>#N/A</v>
      </c>
      <c r="AI473" s="4" t="e">
        <f aca="false">IF(AB473&lt;TIME(0,30,0),"Met","Not Met")</f>
        <v>#REF!</v>
      </c>
      <c r="AN473" s="1" t="str">
        <f aca="false">TEXT(B473,"dd")</f>
        <v>30</v>
      </c>
      <c r="AO473" s="1" t="str">
        <f aca="false">TEXT(X473,"dd")</f>
        <v>30</v>
      </c>
      <c r="AP473" s="16" t="str">
        <f aca="false">INT(
  NETWORKDAYS(B473,V473)-1
  + IF(WEEKDAY(V473,2)&lt;6,MOD(V473+W473,1),0)
  - IF(WEEKDAY(B473,2)&lt;6,MOD(B473+C473,1),0)
)
&amp; ":" &amp;
TEXT(HOUR(
  NETWORKDAYS(B473,V473)-1
  + IF(WEEKDAY(V473,2)&lt;6,MOD(V473+W473,1),0)
  - IF(WEEKDAY(B473,2)&lt;6,MOD(B473+C473,1),0)
),"00")
&amp; ":" &amp;
TEXT(MINUTE(
  NETWORKDAYS(B473,V473)-1
  + IF(WEEKDAY(V473,2)&lt;6,MOD(V473+W473,1),0)
  - IF(WEEKDAY(B473,2)&lt;6,MOD(B473+C473,1),0)
),"00")</f>
        <v>-1:00:00</v>
      </c>
      <c r="AQ473" s="0" t="n">
        <f aca="false">IFERROR(
LEFT(AP473,FIND(":",AP473)-1)
+ MID(AP473,FIND(":",AP473)+1,2)/24
+ RIGHT(AP473,2)/1440,
"")</f>
        <v>-1</v>
      </c>
      <c r="AR473" s="0" t="n">
        <f aca="false">WEEKNUM(B473,1)</f>
        <v>52</v>
      </c>
      <c r="AS473" s="17" t="str">
        <f aca="false">IF(B473&gt;0, (B473+C473)-TIME(13,30,0), "")</f>
        <v/>
      </c>
      <c r="AT473" s="18" t="str">
        <f aca="false">IF(B473&gt;0, (B473+C473)-TIME(13,30,0), "")</f>
        <v/>
      </c>
      <c r="AU473" s="17" t="str">
        <f aca="false">IF(V473&gt;0, (V473+W473)-TIME(13,30,0), "")</f>
        <v/>
      </c>
      <c r="AV473" s="18" t="str">
        <f aca="false">IF(V473&gt;0, (V473+W473)-TIME(13,30,0), "")</f>
        <v/>
      </c>
    </row>
    <row r="474" customFormat="false" ht="15" hidden="false" customHeight="false" outlineLevel="0" collapsed="false">
      <c r="AB474" s="2" t="e">
        <f aca="false">U474-#REF!</f>
        <v>#REF!</v>
      </c>
      <c r="AC474" s="14" t="n">
        <f aca="false">(V474+W474)-(B474+C474)</f>
        <v>0</v>
      </c>
      <c r="AD474" s="4" t="str">
        <f aca="false">INT((V474+W474)-(B474+C474)) &amp; ":" &amp;
TEXT(HOUR((V474+W474)-(B474+C474)), "00") &amp; ":" &amp;
TEXT(MINUTE((V474+W474)-(B474+C474)), "00")</f>
        <v>0:00:00</v>
      </c>
      <c r="AE474" s="1" t="n">
        <f aca="false">IFERROR(
LEFT(AD474,FIND(":",AD474)-1)
+ MID(AD474,FIND(":",AD474)+1,2)/24
+ RIGHT(AD474,2)/1440,
"")</f>
        <v>0</v>
      </c>
      <c r="AF474" s="4" t="str">
        <f aca="false">INT((X474+Y474)-(B474+C474)) &amp; ":" &amp;
TEXT(HOUR((X474+Y474)-(B474+C474)), "00") &amp; ":" &amp;
TEXT(MINUTE((X474+Y474)-(B474+C474)), "00")</f>
        <v>0:00:00</v>
      </c>
      <c r="AG474" s="4" t="e">
        <f aca="false" t="array" ref="AG474:AG474">INT(_xlfn.XLOOKUP(J474,{"Low","Medium","High","Urgent"},{48,24,12,8})/24) &amp; ":" &amp;
TEXT(MOD(_xlfn.XLOOKUP(J474,{"Low","Medium","High","Urgent"},{48,24,12,8}),24)/24,"hh:mm")</f>
        <v>#N/A</v>
      </c>
      <c r="AH474" s="4" t="e">
        <f aca="false">IF(AD474&gt;AG474,"Not Met","Met")</f>
        <v>#N/A</v>
      </c>
      <c r="AI474" s="4" t="e">
        <f aca="false">IF(AB474&lt;TIME(0,30,0),"Met","Not Met")</f>
        <v>#REF!</v>
      </c>
      <c r="AN474" s="1" t="str">
        <f aca="false">TEXT(B474,"dd")</f>
        <v>30</v>
      </c>
      <c r="AO474" s="1" t="str">
        <f aca="false">TEXT(X474,"dd")</f>
        <v>30</v>
      </c>
      <c r="AP474" s="16" t="str">
        <f aca="false">INT(
  NETWORKDAYS(B474,V474)-1
  + IF(WEEKDAY(V474,2)&lt;6,MOD(V474+W474,1),0)
  - IF(WEEKDAY(B474,2)&lt;6,MOD(B474+C474,1),0)
)
&amp; ":" &amp;
TEXT(HOUR(
  NETWORKDAYS(B474,V474)-1
  + IF(WEEKDAY(V474,2)&lt;6,MOD(V474+W474,1),0)
  - IF(WEEKDAY(B474,2)&lt;6,MOD(B474+C474,1),0)
),"00")
&amp; ":" &amp;
TEXT(MINUTE(
  NETWORKDAYS(B474,V474)-1
  + IF(WEEKDAY(V474,2)&lt;6,MOD(V474+W474,1),0)
  - IF(WEEKDAY(B474,2)&lt;6,MOD(B474+C474,1),0)
),"00")</f>
        <v>-1:00:00</v>
      </c>
      <c r="AQ474" s="0" t="n">
        <f aca="false">IFERROR(
LEFT(AP474,FIND(":",AP474)-1)
+ MID(AP474,FIND(":",AP474)+1,2)/24
+ RIGHT(AP474,2)/1440,
"")</f>
        <v>-1</v>
      </c>
      <c r="AR474" s="0" t="n">
        <f aca="false">WEEKNUM(B474,1)</f>
        <v>52</v>
      </c>
      <c r="AS474" s="17" t="str">
        <f aca="false">IF(B474&gt;0, (B474+C474)-TIME(13,30,0), "")</f>
        <v/>
      </c>
      <c r="AT474" s="18" t="str">
        <f aca="false">IF(B474&gt;0, (B474+C474)-TIME(13,30,0), "")</f>
        <v/>
      </c>
      <c r="AU474" s="17" t="str">
        <f aca="false">IF(V474&gt;0, (V474+W474)-TIME(13,30,0), "")</f>
        <v/>
      </c>
      <c r="AV474" s="18" t="str">
        <f aca="false">IF(V474&gt;0, (V474+W474)-TIME(13,30,0), "")</f>
        <v/>
      </c>
    </row>
    <row r="475" customFormat="false" ht="15" hidden="false" customHeight="false" outlineLevel="0" collapsed="false">
      <c r="AB475" s="2" t="e">
        <f aca="false">U475-#REF!</f>
        <v>#REF!</v>
      </c>
      <c r="AC475" s="14" t="n">
        <f aca="false">(V475+W475)-(B475+C475)</f>
        <v>0</v>
      </c>
      <c r="AD475" s="4" t="str">
        <f aca="false">INT((V475+W475)-(B475+C475)) &amp; ":" &amp;
TEXT(HOUR((V475+W475)-(B475+C475)), "00") &amp; ":" &amp;
TEXT(MINUTE((V475+W475)-(B475+C475)), "00")</f>
        <v>0:00:00</v>
      </c>
      <c r="AE475" s="1" t="n">
        <f aca="false">IFERROR(
LEFT(AD475,FIND(":",AD475)-1)
+ MID(AD475,FIND(":",AD475)+1,2)/24
+ RIGHT(AD475,2)/1440,
"")</f>
        <v>0</v>
      </c>
      <c r="AF475" s="4" t="str">
        <f aca="false">INT((X475+Y475)-(B475+C475)) &amp; ":" &amp;
TEXT(HOUR((X475+Y475)-(B475+C475)), "00") &amp; ":" &amp;
TEXT(MINUTE((X475+Y475)-(B475+C475)), "00")</f>
        <v>0:00:00</v>
      </c>
      <c r="AG475" s="4" t="e">
        <f aca="false" t="array" ref="AG475:AG475">INT(_xlfn.XLOOKUP(J475,{"Low","Medium","High","Urgent"},{48,24,12,8})/24) &amp; ":" &amp;
TEXT(MOD(_xlfn.XLOOKUP(J475,{"Low","Medium","High","Urgent"},{48,24,12,8}),24)/24,"hh:mm")</f>
        <v>#N/A</v>
      </c>
      <c r="AH475" s="4" t="e">
        <f aca="false">IF(AD475&gt;AG475,"Not Met","Met")</f>
        <v>#N/A</v>
      </c>
      <c r="AI475" s="4" t="e">
        <f aca="false">IF(AB475&lt;TIME(0,30,0),"Met","Not Met")</f>
        <v>#REF!</v>
      </c>
      <c r="AN475" s="1" t="str">
        <f aca="false">TEXT(B475,"dd")</f>
        <v>30</v>
      </c>
      <c r="AO475" s="1" t="str">
        <f aca="false">TEXT(X475,"dd")</f>
        <v>30</v>
      </c>
      <c r="AP475" s="16" t="str">
        <f aca="false">INT(
  NETWORKDAYS(B475,V475)-1
  + IF(WEEKDAY(V475,2)&lt;6,MOD(V475+W475,1),0)
  - IF(WEEKDAY(B475,2)&lt;6,MOD(B475+C475,1),0)
)
&amp; ":" &amp;
TEXT(HOUR(
  NETWORKDAYS(B475,V475)-1
  + IF(WEEKDAY(V475,2)&lt;6,MOD(V475+W475,1),0)
  - IF(WEEKDAY(B475,2)&lt;6,MOD(B475+C475,1),0)
),"00")
&amp; ":" &amp;
TEXT(MINUTE(
  NETWORKDAYS(B475,V475)-1
  + IF(WEEKDAY(V475,2)&lt;6,MOD(V475+W475,1),0)
  - IF(WEEKDAY(B475,2)&lt;6,MOD(B475+C475,1),0)
),"00")</f>
        <v>-1:00:00</v>
      </c>
      <c r="AQ475" s="0" t="n">
        <f aca="false">IFERROR(
LEFT(AP475,FIND(":",AP475)-1)
+ MID(AP475,FIND(":",AP475)+1,2)/24
+ RIGHT(AP475,2)/1440,
"")</f>
        <v>-1</v>
      </c>
      <c r="AR475" s="0" t="n">
        <f aca="false">WEEKNUM(B475,1)</f>
        <v>52</v>
      </c>
      <c r="AS475" s="17" t="str">
        <f aca="false">IF(B475&gt;0, (B475+C475)-TIME(13,30,0), "")</f>
        <v/>
      </c>
      <c r="AT475" s="18" t="str">
        <f aca="false">IF(B475&gt;0, (B475+C475)-TIME(13,30,0), "")</f>
        <v/>
      </c>
      <c r="AU475" s="17" t="str">
        <f aca="false">IF(V475&gt;0, (V475+W475)-TIME(13,30,0), "")</f>
        <v/>
      </c>
      <c r="AV475" s="18" t="str">
        <f aca="false">IF(V475&gt;0, (V475+W475)-TIME(13,30,0), "")</f>
        <v/>
      </c>
    </row>
    <row r="476" customFormat="false" ht="15" hidden="false" customHeight="false" outlineLevel="0" collapsed="false">
      <c r="AB476" s="2" t="e">
        <f aca="false">U476-#REF!</f>
        <v>#REF!</v>
      </c>
      <c r="AC476" s="14" t="n">
        <f aca="false">(V476+W476)-(B476+C476)</f>
        <v>0</v>
      </c>
      <c r="AD476" s="4" t="str">
        <f aca="false">INT((V476+W476)-(B476+C476)) &amp; ":" &amp;
TEXT(HOUR((V476+W476)-(B476+C476)), "00") &amp; ":" &amp;
TEXT(MINUTE((V476+W476)-(B476+C476)), "00")</f>
        <v>0:00:00</v>
      </c>
      <c r="AE476" s="1" t="n">
        <f aca="false">IFERROR(
LEFT(AD476,FIND(":",AD476)-1)
+ MID(AD476,FIND(":",AD476)+1,2)/24
+ RIGHT(AD476,2)/1440,
"")</f>
        <v>0</v>
      </c>
      <c r="AF476" s="4" t="str">
        <f aca="false">INT((X476+Y476)-(B476+C476)) &amp; ":" &amp;
TEXT(HOUR((X476+Y476)-(B476+C476)), "00") &amp; ":" &amp;
TEXT(MINUTE((X476+Y476)-(B476+C476)), "00")</f>
        <v>0:00:00</v>
      </c>
      <c r="AG476" s="4" t="e">
        <f aca="false" t="array" ref="AG476:AG476">INT(_xlfn.XLOOKUP(J476,{"Low","Medium","High","Urgent"},{48,24,12,8})/24) &amp; ":" &amp;
TEXT(MOD(_xlfn.XLOOKUP(J476,{"Low","Medium","High","Urgent"},{48,24,12,8}),24)/24,"hh:mm")</f>
        <v>#N/A</v>
      </c>
      <c r="AH476" s="4" t="e">
        <f aca="false">IF(AD476&gt;AG476,"Not Met","Met")</f>
        <v>#N/A</v>
      </c>
      <c r="AI476" s="4" t="e">
        <f aca="false">IF(AB476&lt;TIME(0,30,0),"Met","Not Met")</f>
        <v>#REF!</v>
      </c>
      <c r="AN476" s="1" t="str">
        <f aca="false">TEXT(B476,"dd")</f>
        <v>30</v>
      </c>
      <c r="AO476" s="1" t="str">
        <f aca="false">TEXT(X476,"dd")</f>
        <v>30</v>
      </c>
      <c r="AP476" s="16" t="str">
        <f aca="false">INT(
  NETWORKDAYS(B476,V476)-1
  + IF(WEEKDAY(V476,2)&lt;6,MOD(V476+W476,1),0)
  - IF(WEEKDAY(B476,2)&lt;6,MOD(B476+C476,1),0)
)
&amp; ":" &amp;
TEXT(HOUR(
  NETWORKDAYS(B476,V476)-1
  + IF(WEEKDAY(V476,2)&lt;6,MOD(V476+W476,1),0)
  - IF(WEEKDAY(B476,2)&lt;6,MOD(B476+C476,1),0)
),"00")
&amp; ":" &amp;
TEXT(MINUTE(
  NETWORKDAYS(B476,V476)-1
  + IF(WEEKDAY(V476,2)&lt;6,MOD(V476+W476,1),0)
  - IF(WEEKDAY(B476,2)&lt;6,MOD(B476+C476,1),0)
),"00")</f>
        <v>-1:00:00</v>
      </c>
      <c r="AQ476" s="0" t="n">
        <f aca="false">IFERROR(
LEFT(AP476,FIND(":",AP476)-1)
+ MID(AP476,FIND(":",AP476)+1,2)/24
+ RIGHT(AP476,2)/1440,
"")</f>
        <v>-1</v>
      </c>
      <c r="AR476" s="0" t="n">
        <f aca="false">WEEKNUM(B476,1)</f>
        <v>52</v>
      </c>
      <c r="AS476" s="17" t="str">
        <f aca="false">IF(B476&gt;0, (B476+C476)-TIME(13,30,0), "")</f>
        <v/>
      </c>
      <c r="AT476" s="18" t="str">
        <f aca="false">IF(B476&gt;0, (B476+C476)-TIME(13,30,0), "")</f>
        <v/>
      </c>
      <c r="AU476" s="17" t="str">
        <f aca="false">IF(V476&gt;0, (V476+W476)-TIME(13,30,0), "")</f>
        <v/>
      </c>
      <c r="AV476" s="18" t="str">
        <f aca="false">IF(V476&gt;0, (V476+W476)-TIME(13,30,0), "")</f>
        <v/>
      </c>
    </row>
    <row r="477" customFormat="false" ht="15" hidden="false" customHeight="false" outlineLevel="0" collapsed="false">
      <c r="AB477" s="2" t="e">
        <f aca="false">U477-#REF!</f>
        <v>#REF!</v>
      </c>
      <c r="AC477" s="14" t="n">
        <f aca="false">(V477+W477)-(B477+C477)</f>
        <v>0</v>
      </c>
      <c r="AD477" s="4" t="str">
        <f aca="false">INT((V477+W477)-(B477+C477)) &amp; ":" &amp;
TEXT(HOUR((V477+W477)-(B477+C477)), "00") &amp; ":" &amp;
TEXT(MINUTE((V477+W477)-(B477+C477)), "00")</f>
        <v>0:00:00</v>
      </c>
      <c r="AE477" s="1" t="n">
        <f aca="false">IFERROR(
LEFT(AD477,FIND(":",AD477)-1)
+ MID(AD477,FIND(":",AD477)+1,2)/24
+ RIGHT(AD477,2)/1440,
"")</f>
        <v>0</v>
      </c>
      <c r="AF477" s="4" t="str">
        <f aca="false">INT((X477+Y477)-(B477+C477)) &amp; ":" &amp;
TEXT(HOUR((X477+Y477)-(B477+C477)), "00") &amp; ":" &amp;
TEXT(MINUTE((X477+Y477)-(B477+C477)), "00")</f>
        <v>0:00:00</v>
      </c>
      <c r="AG477" s="4" t="e">
        <f aca="false" t="array" ref="AG477:AG477">INT(_xlfn.XLOOKUP(J477,{"Low","Medium","High","Urgent"},{48,24,12,8})/24) &amp; ":" &amp;
TEXT(MOD(_xlfn.XLOOKUP(J477,{"Low","Medium","High","Urgent"},{48,24,12,8}),24)/24,"hh:mm")</f>
        <v>#N/A</v>
      </c>
      <c r="AH477" s="4" t="e">
        <f aca="false">IF(AD477&gt;AG477,"Not Met","Met")</f>
        <v>#N/A</v>
      </c>
      <c r="AI477" s="4" t="e">
        <f aca="false">IF(AB477&lt;TIME(0,30,0),"Met","Not Met")</f>
        <v>#REF!</v>
      </c>
      <c r="AN477" s="1" t="str">
        <f aca="false">TEXT(B477,"dd")</f>
        <v>30</v>
      </c>
      <c r="AO477" s="1" t="str">
        <f aca="false">TEXT(X477,"dd")</f>
        <v>30</v>
      </c>
      <c r="AP477" s="16" t="str">
        <f aca="false">INT(
  NETWORKDAYS(B477,V477)-1
  + IF(WEEKDAY(V477,2)&lt;6,MOD(V477+W477,1),0)
  - IF(WEEKDAY(B477,2)&lt;6,MOD(B477+C477,1),0)
)
&amp; ":" &amp;
TEXT(HOUR(
  NETWORKDAYS(B477,V477)-1
  + IF(WEEKDAY(V477,2)&lt;6,MOD(V477+W477,1),0)
  - IF(WEEKDAY(B477,2)&lt;6,MOD(B477+C477,1),0)
),"00")
&amp; ":" &amp;
TEXT(MINUTE(
  NETWORKDAYS(B477,V477)-1
  + IF(WEEKDAY(V477,2)&lt;6,MOD(V477+W477,1),0)
  - IF(WEEKDAY(B477,2)&lt;6,MOD(B477+C477,1),0)
),"00")</f>
        <v>-1:00:00</v>
      </c>
      <c r="AQ477" s="0" t="n">
        <f aca="false">IFERROR(
LEFT(AP477,FIND(":",AP477)-1)
+ MID(AP477,FIND(":",AP477)+1,2)/24
+ RIGHT(AP477,2)/1440,
"")</f>
        <v>-1</v>
      </c>
      <c r="AR477" s="0" t="n">
        <f aca="false">WEEKNUM(B477,1)</f>
        <v>52</v>
      </c>
      <c r="AS477" s="17" t="str">
        <f aca="false">IF(B477&gt;0, (B477+C477)-TIME(13,30,0), "")</f>
        <v/>
      </c>
      <c r="AT477" s="18" t="str">
        <f aca="false">IF(B477&gt;0, (B477+C477)-TIME(13,30,0), "")</f>
        <v/>
      </c>
      <c r="AU477" s="17" t="str">
        <f aca="false">IF(V477&gt;0, (V477+W477)-TIME(13,30,0), "")</f>
        <v/>
      </c>
      <c r="AV477" s="18" t="str">
        <f aca="false">IF(V477&gt;0, (V477+W477)-TIME(13,30,0), "")</f>
        <v/>
      </c>
    </row>
    <row r="478" customFormat="false" ht="15" hidden="false" customHeight="false" outlineLevel="0" collapsed="false">
      <c r="AB478" s="2" t="e">
        <f aca="false">U478-#REF!</f>
        <v>#REF!</v>
      </c>
      <c r="AC478" s="14" t="n">
        <f aca="false">(V478+W478)-(B478+C478)</f>
        <v>0</v>
      </c>
      <c r="AD478" s="4" t="str">
        <f aca="false">INT((V478+W478)-(B478+C478)) &amp; ":" &amp;
TEXT(HOUR((V478+W478)-(B478+C478)), "00") &amp; ":" &amp;
TEXT(MINUTE((V478+W478)-(B478+C478)), "00")</f>
        <v>0:00:00</v>
      </c>
      <c r="AE478" s="1" t="n">
        <f aca="false">IFERROR(
LEFT(AD478,FIND(":",AD478)-1)
+ MID(AD478,FIND(":",AD478)+1,2)/24
+ RIGHT(AD478,2)/1440,
"")</f>
        <v>0</v>
      </c>
      <c r="AF478" s="4" t="str">
        <f aca="false">INT((X478+Y478)-(B478+C478)) &amp; ":" &amp;
TEXT(HOUR((X478+Y478)-(B478+C478)), "00") &amp; ":" &amp;
TEXT(MINUTE((X478+Y478)-(B478+C478)), "00")</f>
        <v>0:00:00</v>
      </c>
      <c r="AG478" s="4" t="e">
        <f aca="false" t="array" ref="AG478:AG478">INT(_xlfn.XLOOKUP(J478,{"Low","Medium","High","Urgent"},{48,24,12,8})/24) &amp; ":" &amp;
TEXT(MOD(_xlfn.XLOOKUP(J478,{"Low","Medium","High","Urgent"},{48,24,12,8}),24)/24,"hh:mm")</f>
        <v>#N/A</v>
      </c>
      <c r="AH478" s="4" t="e">
        <f aca="false">IF(AD478&gt;AG478,"Not Met","Met")</f>
        <v>#N/A</v>
      </c>
      <c r="AI478" s="4" t="e">
        <f aca="false">IF(AB478&lt;TIME(0,30,0),"Met","Not Met")</f>
        <v>#REF!</v>
      </c>
      <c r="AN478" s="1" t="str">
        <f aca="false">TEXT(B478,"dd")</f>
        <v>30</v>
      </c>
      <c r="AO478" s="1" t="str">
        <f aca="false">TEXT(X478,"dd")</f>
        <v>30</v>
      </c>
      <c r="AP478" s="16" t="str">
        <f aca="false">INT(
  NETWORKDAYS(B478,V478)-1
  + IF(WEEKDAY(V478,2)&lt;6,MOD(V478+W478,1),0)
  - IF(WEEKDAY(B478,2)&lt;6,MOD(B478+C478,1),0)
)
&amp; ":" &amp;
TEXT(HOUR(
  NETWORKDAYS(B478,V478)-1
  + IF(WEEKDAY(V478,2)&lt;6,MOD(V478+W478,1),0)
  - IF(WEEKDAY(B478,2)&lt;6,MOD(B478+C478,1),0)
),"00")
&amp; ":" &amp;
TEXT(MINUTE(
  NETWORKDAYS(B478,V478)-1
  + IF(WEEKDAY(V478,2)&lt;6,MOD(V478+W478,1),0)
  - IF(WEEKDAY(B478,2)&lt;6,MOD(B478+C478,1),0)
),"00")</f>
        <v>-1:00:00</v>
      </c>
      <c r="AQ478" s="0" t="n">
        <f aca="false">IFERROR(
LEFT(AP478,FIND(":",AP478)-1)
+ MID(AP478,FIND(":",AP478)+1,2)/24
+ RIGHT(AP478,2)/1440,
"")</f>
        <v>-1</v>
      </c>
      <c r="AR478" s="0" t="n">
        <f aca="false">WEEKNUM(B478,1)</f>
        <v>52</v>
      </c>
      <c r="AS478" s="17" t="str">
        <f aca="false">IF(B478&gt;0, (B478+C478)-TIME(13,30,0), "")</f>
        <v/>
      </c>
      <c r="AT478" s="18" t="str">
        <f aca="false">IF(B478&gt;0, (B478+C478)-TIME(13,30,0), "")</f>
        <v/>
      </c>
      <c r="AU478" s="17" t="str">
        <f aca="false">IF(V478&gt;0, (V478+W478)-TIME(13,30,0), "")</f>
        <v/>
      </c>
      <c r="AV478" s="18" t="str">
        <f aca="false">IF(V478&gt;0, (V478+W478)-TIME(13,30,0), "")</f>
        <v/>
      </c>
    </row>
    <row r="479" customFormat="false" ht="15" hidden="false" customHeight="false" outlineLevel="0" collapsed="false">
      <c r="AB479" s="2" t="e">
        <f aca="false">U479-#REF!</f>
        <v>#REF!</v>
      </c>
      <c r="AC479" s="14" t="n">
        <f aca="false">(V479+W479)-(B479+C479)</f>
        <v>0</v>
      </c>
      <c r="AD479" s="4" t="str">
        <f aca="false">INT((V479+W479)-(B479+C479)) &amp; ":" &amp;
TEXT(HOUR((V479+W479)-(B479+C479)), "00") &amp; ":" &amp;
TEXT(MINUTE((V479+W479)-(B479+C479)), "00")</f>
        <v>0:00:00</v>
      </c>
      <c r="AE479" s="1" t="n">
        <f aca="false">IFERROR(
LEFT(AD479,FIND(":",AD479)-1)
+ MID(AD479,FIND(":",AD479)+1,2)/24
+ RIGHT(AD479,2)/1440,
"")</f>
        <v>0</v>
      </c>
      <c r="AF479" s="4" t="str">
        <f aca="false">INT((X479+Y479)-(B479+C479)) &amp; ":" &amp;
TEXT(HOUR((X479+Y479)-(B479+C479)), "00") &amp; ":" &amp;
TEXT(MINUTE((X479+Y479)-(B479+C479)), "00")</f>
        <v>0:00:00</v>
      </c>
      <c r="AG479" s="4" t="e">
        <f aca="false" t="array" ref="AG479:AG479">INT(_xlfn.XLOOKUP(J479,{"Low","Medium","High","Urgent"},{48,24,12,8})/24) &amp; ":" &amp;
TEXT(MOD(_xlfn.XLOOKUP(J479,{"Low","Medium","High","Urgent"},{48,24,12,8}),24)/24,"hh:mm")</f>
        <v>#N/A</v>
      </c>
      <c r="AH479" s="4" t="e">
        <f aca="false">IF(AD479&gt;AG479,"Not Met","Met")</f>
        <v>#N/A</v>
      </c>
      <c r="AI479" s="4" t="e">
        <f aca="false">IF(AB479&lt;TIME(0,30,0),"Met","Not Met")</f>
        <v>#REF!</v>
      </c>
      <c r="AN479" s="1" t="str">
        <f aca="false">TEXT(B479,"dd")</f>
        <v>30</v>
      </c>
      <c r="AO479" s="1" t="str">
        <f aca="false">TEXT(X479,"dd")</f>
        <v>30</v>
      </c>
      <c r="AP479" s="16" t="str">
        <f aca="false">INT(
  NETWORKDAYS(B479,V479)-1
  + IF(WEEKDAY(V479,2)&lt;6,MOD(V479+W479,1),0)
  - IF(WEEKDAY(B479,2)&lt;6,MOD(B479+C479,1),0)
)
&amp; ":" &amp;
TEXT(HOUR(
  NETWORKDAYS(B479,V479)-1
  + IF(WEEKDAY(V479,2)&lt;6,MOD(V479+W479,1),0)
  - IF(WEEKDAY(B479,2)&lt;6,MOD(B479+C479,1),0)
),"00")
&amp; ":" &amp;
TEXT(MINUTE(
  NETWORKDAYS(B479,V479)-1
  + IF(WEEKDAY(V479,2)&lt;6,MOD(V479+W479,1),0)
  - IF(WEEKDAY(B479,2)&lt;6,MOD(B479+C479,1),0)
),"00")</f>
        <v>-1:00:00</v>
      </c>
      <c r="AQ479" s="0" t="n">
        <f aca="false">IFERROR(
LEFT(AP479,FIND(":",AP479)-1)
+ MID(AP479,FIND(":",AP479)+1,2)/24
+ RIGHT(AP479,2)/1440,
"")</f>
        <v>-1</v>
      </c>
      <c r="AR479" s="0" t="n">
        <f aca="false">WEEKNUM(B479,1)</f>
        <v>52</v>
      </c>
      <c r="AS479" s="17" t="str">
        <f aca="false">IF(B479&gt;0, (B479+C479)-TIME(13,30,0), "")</f>
        <v/>
      </c>
      <c r="AT479" s="18" t="str">
        <f aca="false">IF(B479&gt;0, (B479+C479)-TIME(13,30,0), "")</f>
        <v/>
      </c>
      <c r="AU479" s="17" t="str">
        <f aca="false">IF(V479&gt;0, (V479+W479)-TIME(13,30,0), "")</f>
        <v/>
      </c>
      <c r="AV479" s="18" t="str">
        <f aca="false">IF(V479&gt;0, (V479+W479)-TIME(13,30,0), "")</f>
        <v/>
      </c>
    </row>
    <row r="480" customFormat="false" ht="15" hidden="false" customHeight="false" outlineLevel="0" collapsed="false">
      <c r="AB480" s="2" t="e">
        <f aca="false">U480-#REF!</f>
        <v>#REF!</v>
      </c>
      <c r="AC480" s="14" t="n">
        <f aca="false">(V480+W480)-(B480+C480)</f>
        <v>0</v>
      </c>
      <c r="AD480" s="4" t="str">
        <f aca="false">INT((V480+W480)-(B480+C480)) &amp; ":" &amp;
TEXT(HOUR((V480+W480)-(B480+C480)), "00") &amp; ":" &amp;
TEXT(MINUTE((V480+W480)-(B480+C480)), "00")</f>
        <v>0:00:00</v>
      </c>
      <c r="AE480" s="1" t="n">
        <f aca="false">IFERROR(
LEFT(AD480,FIND(":",AD480)-1)
+ MID(AD480,FIND(":",AD480)+1,2)/24
+ RIGHT(AD480,2)/1440,
"")</f>
        <v>0</v>
      </c>
      <c r="AF480" s="4" t="str">
        <f aca="false">INT((X480+Y480)-(B480+C480)) &amp; ":" &amp;
TEXT(HOUR((X480+Y480)-(B480+C480)), "00") &amp; ":" &amp;
TEXT(MINUTE((X480+Y480)-(B480+C480)), "00")</f>
        <v>0:00:00</v>
      </c>
      <c r="AG480" s="4" t="e">
        <f aca="false" t="array" ref="AG480:AG480">INT(_xlfn.XLOOKUP(J480,{"Low","Medium","High","Urgent"},{48,24,12,8})/24) &amp; ":" &amp;
TEXT(MOD(_xlfn.XLOOKUP(J480,{"Low","Medium","High","Urgent"},{48,24,12,8}),24)/24,"hh:mm")</f>
        <v>#N/A</v>
      </c>
      <c r="AH480" s="4" t="e">
        <f aca="false">IF(AD480&gt;AG480,"Not Met","Met")</f>
        <v>#N/A</v>
      </c>
      <c r="AI480" s="4" t="e">
        <f aca="false">IF(AB480&lt;TIME(0,30,0),"Met","Not Met")</f>
        <v>#REF!</v>
      </c>
      <c r="AN480" s="1" t="str">
        <f aca="false">TEXT(B480,"dd")</f>
        <v>30</v>
      </c>
      <c r="AO480" s="1" t="str">
        <f aca="false">TEXT(X480,"dd")</f>
        <v>30</v>
      </c>
      <c r="AP480" s="16" t="str">
        <f aca="false">INT(
  NETWORKDAYS(B480,V480)-1
  + IF(WEEKDAY(V480,2)&lt;6,MOD(V480+W480,1),0)
  - IF(WEEKDAY(B480,2)&lt;6,MOD(B480+C480,1),0)
)
&amp; ":" &amp;
TEXT(HOUR(
  NETWORKDAYS(B480,V480)-1
  + IF(WEEKDAY(V480,2)&lt;6,MOD(V480+W480,1),0)
  - IF(WEEKDAY(B480,2)&lt;6,MOD(B480+C480,1),0)
),"00")
&amp; ":" &amp;
TEXT(MINUTE(
  NETWORKDAYS(B480,V480)-1
  + IF(WEEKDAY(V480,2)&lt;6,MOD(V480+W480,1),0)
  - IF(WEEKDAY(B480,2)&lt;6,MOD(B480+C480,1),0)
),"00")</f>
        <v>-1:00:00</v>
      </c>
      <c r="AQ480" s="0" t="n">
        <f aca="false">IFERROR(
LEFT(AP480,FIND(":",AP480)-1)
+ MID(AP480,FIND(":",AP480)+1,2)/24
+ RIGHT(AP480,2)/1440,
"")</f>
        <v>-1</v>
      </c>
      <c r="AR480" s="0" t="n">
        <f aca="false">WEEKNUM(B480,1)</f>
        <v>52</v>
      </c>
      <c r="AS480" s="17" t="str">
        <f aca="false">IF(B480&gt;0, (B480+C480)-TIME(13,30,0), "")</f>
        <v/>
      </c>
      <c r="AT480" s="18" t="str">
        <f aca="false">IF(B480&gt;0, (B480+C480)-TIME(13,30,0), "")</f>
        <v/>
      </c>
      <c r="AU480" s="17" t="str">
        <f aca="false">IF(V480&gt;0, (V480+W480)-TIME(13,30,0), "")</f>
        <v/>
      </c>
      <c r="AV480" s="18" t="str">
        <f aca="false">IF(V480&gt;0, (V480+W480)-TIME(13,30,0), "")</f>
        <v/>
      </c>
    </row>
    <row r="481" customFormat="false" ht="15" hidden="false" customHeight="false" outlineLevel="0" collapsed="false">
      <c r="AB481" s="2" t="e">
        <f aca="false">U481-#REF!</f>
        <v>#REF!</v>
      </c>
      <c r="AC481" s="14" t="n">
        <f aca="false">(V481+W481)-(B481+C481)</f>
        <v>0</v>
      </c>
      <c r="AD481" s="4" t="str">
        <f aca="false">INT((V481+W481)-(B481+C481)) &amp; ":" &amp;
TEXT(HOUR((V481+W481)-(B481+C481)), "00") &amp; ":" &amp;
TEXT(MINUTE((V481+W481)-(B481+C481)), "00")</f>
        <v>0:00:00</v>
      </c>
      <c r="AE481" s="1" t="n">
        <f aca="false">IFERROR(
LEFT(AD481,FIND(":",AD481)-1)
+ MID(AD481,FIND(":",AD481)+1,2)/24
+ RIGHT(AD481,2)/1440,
"")</f>
        <v>0</v>
      </c>
      <c r="AF481" s="4" t="str">
        <f aca="false">INT((X481+Y481)-(B481+C481)) &amp; ":" &amp;
TEXT(HOUR((X481+Y481)-(B481+C481)), "00") &amp; ":" &amp;
TEXT(MINUTE((X481+Y481)-(B481+C481)), "00")</f>
        <v>0:00:00</v>
      </c>
      <c r="AG481" s="4" t="e">
        <f aca="false" t="array" ref="AG481:AG481">INT(_xlfn.XLOOKUP(J481,{"Low","Medium","High","Urgent"},{48,24,12,8})/24) &amp; ":" &amp;
TEXT(MOD(_xlfn.XLOOKUP(J481,{"Low","Medium","High","Urgent"},{48,24,12,8}),24)/24,"hh:mm")</f>
        <v>#N/A</v>
      </c>
      <c r="AH481" s="4" t="e">
        <f aca="false">IF(AD481&gt;AG481,"Not Met","Met")</f>
        <v>#N/A</v>
      </c>
      <c r="AI481" s="4" t="e">
        <f aca="false">IF(AB481&lt;TIME(0,30,0),"Met","Not Met")</f>
        <v>#REF!</v>
      </c>
      <c r="AN481" s="1" t="str">
        <f aca="false">TEXT(B481,"dd")</f>
        <v>30</v>
      </c>
      <c r="AO481" s="1" t="str">
        <f aca="false">TEXT(X481,"dd")</f>
        <v>30</v>
      </c>
      <c r="AP481" s="16" t="str">
        <f aca="false">INT(
  NETWORKDAYS(B481,V481)-1
  + IF(WEEKDAY(V481,2)&lt;6,MOD(V481+W481,1),0)
  - IF(WEEKDAY(B481,2)&lt;6,MOD(B481+C481,1),0)
)
&amp; ":" &amp;
TEXT(HOUR(
  NETWORKDAYS(B481,V481)-1
  + IF(WEEKDAY(V481,2)&lt;6,MOD(V481+W481,1),0)
  - IF(WEEKDAY(B481,2)&lt;6,MOD(B481+C481,1),0)
),"00")
&amp; ":" &amp;
TEXT(MINUTE(
  NETWORKDAYS(B481,V481)-1
  + IF(WEEKDAY(V481,2)&lt;6,MOD(V481+W481,1),0)
  - IF(WEEKDAY(B481,2)&lt;6,MOD(B481+C481,1),0)
),"00")</f>
        <v>-1:00:00</v>
      </c>
      <c r="AQ481" s="0" t="n">
        <f aca="false">IFERROR(
LEFT(AP481,FIND(":",AP481)-1)
+ MID(AP481,FIND(":",AP481)+1,2)/24
+ RIGHT(AP481,2)/1440,
"")</f>
        <v>-1</v>
      </c>
      <c r="AR481" s="0" t="n">
        <f aca="false">WEEKNUM(B481,1)</f>
        <v>52</v>
      </c>
      <c r="AS481" s="17" t="str">
        <f aca="false">IF(B481&gt;0, (B481+C481)-TIME(13,30,0), "")</f>
        <v/>
      </c>
      <c r="AT481" s="18" t="str">
        <f aca="false">IF(B481&gt;0, (B481+C481)-TIME(13,30,0), "")</f>
        <v/>
      </c>
      <c r="AU481" s="17" t="str">
        <f aca="false">IF(V481&gt;0, (V481+W481)-TIME(13,30,0), "")</f>
        <v/>
      </c>
      <c r="AV481" s="18" t="str">
        <f aca="false">IF(V481&gt;0, (V481+W481)-TIME(13,30,0), "")</f>
        <v/>
      </c>
    </row>
    <row r="482" customFormat="false" ht="15" hidden="false" customHeight="false" outlineLevel="0" collapsed="false">
      <c r="AB482" s="2" t="e">
        <f aca="false">U482-#REF!</f>
        <v>#REF!</v>
      </c>
      <c r="AC482" s="14" t="n">
        <f aca="false">(V482+W482)-(B482+C482)</f>
        <v>0</v>
      </c>
      <c r="AD482" s="4" t="str">
        <f aca="false">INT((V482+W482)-(B482+C482)) &amp; ":" &amp;
TEXT(HOUR((V482+W482)-(B482+C482)), "00") &amp; ":" &amp;
TEXT(MINUTE((V482+W482)-(B482+C482)), "00")</f>
        <v>0:00:00</v>
      </c>
      <c r="AE482" s="1" t="n">
        <f aca="false">IFERROR(
LEFT(AD482,FIND(":",AD482)-1)
+ MID(AD482,FIND(":",AD482)+1,2)/24
+ RIGHT(AD482,2)/1440,
"")</f>
        <v>0</v>
      </c>
      <c r="AF482" s="4" t="str">
        <f aca="false">INT((X482+Y482)-(B482+C482)) &amp; ":" &amp;
TEXT(HOUR((X482+Y482)-(B482+C482)), "00") &amp; ":" &amp;
TEXT(MINUTE((X482+Y482)-(B482+C482)), "00")</f>
        <v>0:00:00</v>
      </c>
      <c r="AG482" s="4" t="e">
        <f aca="false" t="array" ref="AG482:AG482">INT(_xlfn.XLOOKUP(J482,{"Low","Medium","High","Urgent"},{48,24,12,8})/24) &amp; ":" &amp;
TEXT(MOD(_xlfn.XLOOKUP(J482,{"Low","Medium","High","Urgent"},{48,24,12,8}),24)/24,"hh:mm")</f>
        <v>#N/A</v>
      </c>
      <c r="AH482" s="4" t="e">
        <f aca="false">IF(AD482&gt;AG482,"Not Met","Met")</f>
        <v>#N/A</v>
      </c>
      <c r="AI482" s="4" t="e">
        <f aca="false">IF(AB482&lt;TIME(0,30,0),"Met","Not Met")</f>
        <v>#REF!</v>
      </c>
      <c r="AN482" s="1" t="str">
        <f aca="false">TEXT(B482,"dd")</f>
        <v>30</v>
      </c>
      <c r="AO482" s="1" t="str">
        <f aca="false">TEXT(X482,"dd")</f>
        <v>30</v>
      </c>
      <c r="AP482" s="16" t="str">
        <f aca="false">INT(
  NETWORKDAYS(B482,V482)-1
  + IF(WEEKDAY(V482,2)&lt;6,MOD(V482+W482,1),0)
  - IF(WEEKDAY(B482,2)&lt;6,MOD(B482+C482,1),0)
)
&amp; ":" &amp;
TEXT(HOUR(
  NETWORKDAYS(B482,V482)-1
  + IF(WEEKDAY(V482,2)&lt;6,MOD(V482+W482,1),0)
  - IF(WEEKDAY(B482,2)&lt;6,MOD(B482+C482,1),0)
),"00")
&amp; ":" &amp;
TEXT(MINUTE(
  NETWORKDAYS(B482,V482)-1
  + IF(WEEKDAY(V482,2)&lt;6,MOD(V482+W482,1),0)
  - IF(WEEKDAY(B482,2)&lt;6,MOD(B482+C482,1),0)
),"00")</f>
        <v>-1:00:00</v>
      </c>
      <c r="AQ482" s="0" t="n">
        <f aca="false">IFERROR(
LEFT(AP482,FIND(":",AP482)-1)
+ MID(AP482,FIND(":",AP482)+1,2)/24
+ RIGHT(AP482,2)/1440,
"")</f>
        <v>-1</v>
      </c>
      <c r="AR482" s="0" t="n">
        <f aca="false">WEEKNUM(B482,1)</f>
        <v>52</v>
      </c>
      <c r="AS482" s="17" t="str">
        <f aca="false">IF(B482&gt;0, (B482+C482)-TIME(13,30,0), "")</f>
        <v/>
      </c>
      <c r="AT482" s="18" t="str">
        <f aca="false">IF(B482&gt;0, (B482+C482)-TIME(13,30,0), "")</f>
        <v/>
      </c>
      <c r="AU482" s="17" t="str">
        <f aca="false">IF(V482&gt;0, (V482+W482)-TIME(13,30,0), "")</f>
        <v/>
      </c>
      <c r="AV482" s="18" t="str">
        <f aca="false">IF(V482&gt;0, (V482+W482)-TIME(13,30,0), "")</f>
        <v/>
      </c>
    </row>
    <row r="483" customFormat="false" ht="15" hidden="false" customHeight="false" outlineLevel="0" collapsed="false">
      <c r="AB483" s="2" t="e">
        <f aca="false">U483-#REF!</f>
        <v>#REF!</v>
      </c>
      <c r="AC483" s="14" t="n">
        <f aca="false">(V483+W483)-(B483+C483)</f>
        <v>0</v>
      </c>
      <c r="AD483" s="4" t="str">
        <f aca="false">INT((V483+W483)-(B483+C483)) &amp; ":" &amp;
TEXT(HOUR((V483+W483)-(B483+C483)), "00") &amp; ":" &amp;
TEXT(MINUTE((V483+W483)-(B483+C483)), "00")</f>
        <v>0:00:00</v>
      </c>
      <c r="AE483" s="1" t="n">
        <f aca="false">IFERROR(
LEFT(AD483,FIND(":",AD483)-1)
+ MID(AD483,FIND(":",AD483)+1,2)/24
+ RIGHT(AD483,2)/1440,
"")</f>
        <v>0</v>
      </c>
      <c r="AF483" s="4" t="str">
        <f aca="false">INT((X483+Y483)-(B483+C483)) &amp; ":" &amp;
TEXT(HOUR((X483+Y483)-(B483+C483)), "00") &amp; ":" &amp;
TEXT(MINUTE((X483+Y483)-(B483+C483)), "00")</f>
        <v>0:00:00</v>
      </c>
      <c r="AG483" s="4" t="e">
        <f aca="false" t="array" ref="AG483:AG483">INT(_xlfn.XLOOKUP(J483,{"Low","Medium","High","Urgent"},{48,24,12,8})/24) &amp; ":" &amp;
TEXT(MOD(_xlfn.XLOOKUP(J483,{"Low","Medium","High","Urgent"},{48,24,12,8}),24)/24,"hh:mm")</f>
        <v>#N/A</v>
      </c>
      <c r="AH483" s="4" t="e">
        <f aca="false">IF(AD483&gt;AG483,"Not Met","Met")</f>
        <v>#N/A</v>
      </c>
      <c r="AI483" s="4" t="e">
        <f aca="false">IF(AB483&lt;TIME(0,30,0),"Met","Not Met")</f>
        <v>#REF!</v>
      </c>
      <c r="AN483" s="1" t="str">
        <f aca="false">TEXT(B483,"dd")</f>
        <v>30</v>
      </c>
      <c r="AO483" s="1" t="str">
        <f aca="false">TEXT(X483,"dd")</f>
        <v>30</v>
      </c>
      <c r="AP483" s="16" t="str">
        <f aca="false">INT(
  NETWORKDAYS(B483,V483)-1
  + IF(WEEKDAY(V483,2)&lt;6,MOD(V483+W483,1),0)
  - IF(WEEKDAY(B483,2)&lt;6,MOD(B483+C483,1),0)
)
&amp; ":" &amp;
TEXT(HOUR(
  NETWORKDAYS(B483,V483)-1
  + IF(WEEKDAY(V483,2)&lt;6,MOD(V483+W483,1),0)
  - IF(WEEKDAY(B483,2)&lt;6,MOD(B483+C483,1),0)
),"00")
&amp; ":" &amp;
TEXT(MINUTE(
  NETWORKDAYS(B483,V483)-1
  + IF(WEEKDAY(V483,2)&lt;6,MOD(V483+W483,1),0)
  - IF(WEEKDAY(B483,2)&lt;6,MOD(B483+C483,1),0)
),"00")</f>
        <v>-1:00:00</v>
      </c>
      <c r="AQ483" s="0" t="n">
        <f aca="false">IFERROR(
LEFT(AP483,FIND(":",AP483)-1)
+ MID(AP483,FIND(":",AP483)+1,2)/24
+ RIGHT(AP483,2)/1440,
"")</f>
        <v>-1</v>
      </c>
      <c r="AR483" s="0" t="n">
        <f aca="false">WEEKNUM(B483,1)</f>
        <v>52</v>
      </c>
      <c r="AS483" s="17" t="str">
        <f aca="false">IF(B483&gt;0, (B483+C483)-TIME(13,30,0), "")</f>
        <v/>
      </c>
      <c r="AT483" s="18" t="str">
        <f aca="false">IF(B483&gt;0, (B483+C483)-TIME(13,30,0), "")</f>
        <v/>
      </c>
      <c r="AU483" s="17" t="str">
        <f aca="false">IF(V483&gt;0, (V483+W483)-TIME(13,30,0), "")</f>
        <v/>
      </c>
      <c r="AV483" s="18" t="str">
        <f aca="false">IF(V483&gt;0, (V483+W483)-TIME(13,30,0), "")</f>
        <v/>
      </c>
    </row>
    <row r="484" customFormat="false" ht="15" hidden="false" customHeight="false" outlineLevel="0" collapsed="false">
      <c r="AB484" s="2" t="e">
        <f aca="false">U484-#REF!</f>
        <v>#REF!</v>
      </c>
      <c r="AC484" s="14" t="n">
        <f aca="false">(V484+W484)-(B484+C484)</f>
        <v>0</v>
      </c>
      <c r="AD484" s="4" t="str">
        <f aca="false">INT((V484+W484)-(B484+C484)) &amp; ":" &amp;
TEXT(HOUR((V484+W484)-(B484+C484)), "00") &amp; ":" &amp;
TEXT(MINUTE((V484+W484)-(B484+C484)), "00")</f>
        <v>0:00:00</v>
      </c>
      <c r="AE484" s="1" t="n">
        <f aca="false">IFERROR(
LEFT(AD484,FIND(":",AD484)-1)
+ MID(AD484,FIND(":",AD484)+1,2)/24
+ RIGHT(AD484,2)/1440,
"")</f>
        <v>0</v>
      </c>
      <c r="AF484" s="4" t="str">
        <f aca="false">INT((X484+Y484)-(B484+C484)) &amp; ":" &amp;
TEXT(HOUR((X484+Y484)-(B484+C484)), "00") &amp; ":" &amp;
TEXT(MINUTE((X484+Y484)-(B484+C484)), "00")</f>
        <v>0:00:00</v>
      </c>
      <c r="AG484" s="4" t="e">
        <f aca="false" t="array" ref="AG484:AG484">INT(_xlfn.XLOOKUP(J484,{"Low","Medium","High","Urgent"},{48,24,12,8})/24) &amp; ":" &amp;
TEXT(MOD(_xlfn.XLOOKUP(J484,{"Low","Medium","High","Urgent"},{48,24,12,8}),24)/24,"hh:mm")</f>
        <v>#N/A</v>
      </c>
      <c r="AH484" s="4" t="e">
        <f aca="false">IF(AD484&gt;AG484,"Not Met","Met")</f>
        <v>#N/A</v>
      </c>
      <c r="AI484" s="4" t="e">
        <f aca="false">IF(AB484&lt;TIME(0,30,0),"Met","Not Met")</f>
        <v>#REF!</v>
      </c>
      <c r="AN484" s="1" t="str">
        <f aca="false">TEXT(B484,"dd")</f>
        <v>30</v>
      </c>
      <c r="AO484" s="1" t="str">
        <f aca="false">TEXT(X484,"dd")</f>
        <v>30</v>
      </c>
      <c r="AP484" s="16" t="str">
        <f aca="false">INT(
  NETWORKDAYS(B484,V484)-1
  + IF(WEEKDAY(V484,2)&lt;6,MOD(V484+W484,1),0)
  - IF(WEEKDAY(B484,2)&lt;6,MOD(B484+C484,1),0)
)
&amp; ":" &amp;
TEXT(HOUR(
  NETWORKDAYS(B484,V484)-1
  + IF(WEEKDAY(V484,2)&lt;6,MOD(V484+W484,1),0)
  - IF(WEEKDAY(B484,2)&lt;6,MOD(B484+C484,1),0)
),"00")
&amp; ":" &amp;
TEXT(MINUTE(
  NETWORKDAYS(B484,V484)-1
  + IF(WEEKDAY(V484,2)&lt;6,MOD(V484+W484,1),0)
  - IF(WEEKDAY(B484,2)&lt;6,MOD(B484+C484,1),0)
),"00")</f>
        <v>-1:00:00</v>
      </c>
      <c r="AQ484" s="0" t="n">
        <f aca="false">IFERROR(
LEFT(AP484,FIND(":",AP484)-1)
+ MID(AP484,FIND(":",AP484)+1,2)/24
+ RIGHT(AP484,2)/1440,
"")</f>
        <v>-1</v>
      </c>
      <c r="AR484" s="0" t="n">
        <f aca="false">WEEKNUM(B484,1)</f>
        <v>52</v>
      </c>
      <c r="AS484" s="17" t="str">
        <f aca="false">IF(B484&gt;0, (B484+C484)-TIME(13,30,0), "")</f>
        <v/>
      </c>
      <c r="AT484" s="18" t="str">
        <f aca="false">IF(B484&gt;0, (B484+C484)-TIME(13,30,0), "")</f>
        <v/>
      </c>
      <c r="AU484" s="17" t="str">
        <f aca="false">IF(V484&gt;0, (V484+W484)-TIME(13,30,0), "")</f>
        <v/>
      </c>
      <c r="AV484" s="18" t="str">
        <f aca="false">IF(V484&gt;0, (V484+W484)-TIME(13,30,0), "")</f>
        <v/>
      </c>
    </row>
    <row r="485" customFormat="false" ht="15" hidden="false" customHeight="false" outlineLevel="0" collapsed="false">
      <c r="AB485" s="2" t="e">
        <f aca="false">U485-#REF!</f>
        <v>#REF!</v>
      </c>
      <c r="AC485" s="14" t="n">
        <f aca="false">(V485+W485)-(B485+C485)</f>
        <v>0</v>
      </c>
      <c r="AD485" s="4" t="str">
        <f aca="false">INT((V485+W485)-(B485+C485)) &amp; ":" &amp;
TEXT(HOUR((V485+W485)-(B485+C485)), "00") &amp; ":" &amp;
TEXT(MINUTE((V485+W485)-(B485+C485)), "00")</f>
        <v>0:00:00</v>
      </c>
      <c r="AE485" s="1" t="n">
        <f aca="false">IFERROR(
LEFT(AD485,FIND(":",AD485)-1)
+ MID(AD485,FIND(":",AD485)+1,2)/24
+ RIGHT(AD485,2)/1440,
"")</f>
        <v>0</v>
      </c>
      <c r="AF485" s="4" t="str">
        <f aca="false">INT((X485+Y485)-(B485+C485)) &amp; ":" &amp;
TEXT(HOUR((X485+Y485)-(B485+C485)), "00") &amp; ":" &amp;
TEXT(MINUTE((X485+Y485)-(B485+C485)), "00")</f>
        <v>0:00:00</v>
      </c>
      <c r="AG485" s="4" t="e">
        <f aca="false" t="array" ref="AG485:AG485">INT(_xlfn.XLOOKUP(J485,{"Low","Medium","High","Urgent"},{48,24,12,8})/24) &amp; ":" &amp;
TEXT(MOD(_xlfn.XLOOKUP(J485,{"Low","Medium","High","Urgent"},{48,24,12,8}),24)/24,"hh:mm")</f>
        <v>#N/A</v>
      </c>
      <c r="AH485" s="4" t="e">
        <f aca="false">IF(AD485&gt;AG485,"Not Met","Met")</f>
        <v>#N/A</v>
      </c>
      <c r="AI485" s="4" t="e">
        <f aca="false">IF(AB485&lt;TIME(0,30,0),"Met","Not Met")</f>
        <v>#REF!</v>
      </c>
      <c r="AN485" s="1" t="str">
        <f aca="false">TEXT(B485,"dd")</f>
        <v>30</v>
      </c>
      <c r="AO485" s="1" t="str">
        <f aca="false">TEXT(X485,"dd")</f>
        <v>30</v>
      </c>
      <c r="AP485" s="16" t="str">
        <f aca="false">INT(
  NETWORKDAYS(B485,V485)-1
  + IF(WEEKDAY(V485,2)&lt;6,MOD(V485+W485,1),0)
  - IF(WEEKDAY(B485,2)&lt;6,MOD(B485+C485,1),0)
)
&amp; ":" &amp;
TEXT(HOUR(
  NETWORKDAYS(B485,V485)-1
  + IF(WEEKDAY(V485,2)&lt;6,MOD(V485+W485,1),0)
  - IF(WEEKDAY(B485,2)&lt;6,MOD(B485+C485,1),0)
),"00")
&amp; ":" &amp;
TEXT(MINUTE(
  NETWORKDAYS(B485,V485)-1
  + IF(WEEKDAY(V485,2)&lt;6,MOD(V485+W485,1),0)
  - IF(WEEKDAY(B485,2)&lt;6,MOD(B485+C485,1),0)
),"00")</f>
        <v>-1:00:00</v>
      </c>
      <c r="AQ485" s="0" t="n">
        <f aca="false">IFERROR(
LEFT(AP485,FIND(":",AP485)-1)
+ MID(AP485,FIND(":",AP485)+1,2)/24
+ RIGHT(AP485,2)/1440,
"")</f>
        <v>-1</v>
      </c>
      <c r="AR485" s="0" t="n">
        <f aca="false">WEEKNUM(B485,1)</f>
        <v>52</v>
      </c>
      <c r="AS485" s="17" t="str">
        <f aca="false">IF(B485&gt;0, (B485+C485)-TIME(13,30,0), "")</f>
        <v/>
      </c>
      <c r="AT485" s="18" t="str">
        <f aca="false">IF(B485&gt;0, (B485+C485)-TIME(13,30,0), "")</f>
        <v/>
      </c>
      <c r="AU485" s="17" t="str">
        <f aca="false">IF(V485&gt;0, (V485+W485)-TIME(13,30,0), "")</f>
        <v/>
      </c>
      <c r="AV485" s="18" t="str">
        <f aca="false">IF(V485&gt;0, (V485+W485)-TIME(13,30,0), "")</f>
        <v/>
      </c>
    </row>
    <row r="486" customFormat="false" ht="15" hidden="false" customHeight="false" outlineLevel="0" collapsed="false">
      <c r="AB486" s="2" t="e">
        <f aca="false">U486-#REF!</f>
        <v>#REF!</v>
      </c>
      <c r="AC486" s="14" t="n">
        <f aca="false">(V486+W486)-(B486+C486)</f>
        <v>0</v>
      </c>
      <c r="AD486" s="4" t="str">
        <f aca="false">INT((V486+W486)-(B486+C486)) &amp; ":" &amp;
TEXT(HOUR((V486+W486)-(B486+C486)), "00") &amp; ":" &amp;
TEXT(MINUTE((V486+W486)-(B486+C486)), "00")</f>
        <v>0:00:00</v>
      </c>
      <c r="AE486" s="1" t="n">
        <f aca="false">IFERROR(
LEFT(AD486,FIND(":",AD486)-1)
+ MID(AD486,FIND(":",AD486)+1,2)/24
+ RIGHT(AD486,2)/1440,
"")</f>
        <v>0</v>
      </c>
      <c r="AF486" s="4" t="str">
        <f aca="false">INT((X486+Y486)-(B486+C486)) &amp; ":" &amp;
TEXT(HOUR((X486+Y486)-(B486+C486)), "00") &amp; ":" &amp;
TEXT(MINUTE((X486+Y486)-(B486+C486)), "00")</f>
        <v>0:00:00</v>
      </c>
      <c r="AG486" s="4" t="e">
        <f aca="false" t="array" ref="AG486:AG486">INT(_xlfn.XLOOKUP(J486,{"Low","Medium","High","Urgent"},{48,24,12,8})/24) &amp; ":" &amp;
TEXT(MOD(_xlfn.XLOOKUP(J486,{"Low","Medium","High","Urgent"},{48,24,12,8}),24)/24,"hh:mm")</f>
        <v>#N/A</v>
      </c>
      <c r="AH486" s="4" t="e">
        <f aca="false">IF(AD486&gt;AG486,"Not Met","Met")</f>
        <v>#N/A</v>
      </c>
      <c r="AI486" s="4" t="e">
        <f aca="false">IF(AB486&lt;TIME(0,30,0),"Met","Not Met")</f>
        <v>#REF!</v>
      </c>
      <c r="AN486" s="1" t="str">
        <f aca="false">TEXT(B486,"dd")</f>
        <v>30</v>
      </c>
      <c r="AO486" s="1" t="str">
        <f aca="false">TEXT(X486,"dd")</f>
        <v>30</v>
      </c>
      <c r="AP486" s="16" t="str">
        <f aca="false">INT(
  NETWORKDAYS(B486,V486)-1
  + IF(WEEKDAY(V486,2)&lt;6,MOD(V486+W486,1),0)
  - IF(WEEKDAY(B486,2)&lt;6,MOD(B486+C486,1),0)
)
&amp; ":" &amp;
TEXT(HOUR(
  NETWORKDAYS(B486,V486)-1
  + IF(WEEKDAY(V486,2)&lt;6,MOD(V486+W486,1),0)
  - IF(WEEKDAY(B486,2)&lt;6,MOD(B486+C486,1),0)
),"00")
&amp; ":" &amp;
TEXT(MINUTE(
  NETWORKDAYS(B486,V486)-1
  + IF(WEEKDAY(V486,2)&lt;6,MOD(V486+W486,1),0)
  - IF(WEEKDAY(B486,2)&lt;6,MOD(B486+C486,1),0)
),"00")</f>
        <v>-1:00:00</v>
      </c>
      <c r="AQ486" s="0" t="n">
        <f aca="false">IFERROR(
LEFT(AP486,FIND(":",AP486)-1)
+ MID(AP486,FIND(":",AP486)+1,2)/24
+ RIGHT(AP486,2)/1440,
"")</f>
        <v>-1</v>
      </c>
      <c r="AR486" s="0" t="n">
        <f aca="false">WEEKNUM(B486,1)</f>
        <v>52</v>
      </c>
      <c r="AS486" s="17" t="str">
        <f aca="false">IF(B486&gt;0, (B486+C486)-TIME(13,30,0), "")</f>
        <v/>
      </c>
      <c r="AT486" s="18" t="str">
        <f aca="false">IF(B486&gt;0, (B486+C486)-TIME(13,30,0), "")</f>
        <v/>
      </c>
      <c r="AU486" s="17" t="str">
        <f aca="false">IF(V486&gt;0, (V486+W486)-TIME(13,30,0), "")</f>
        <v/>
      </c>
      <c r="AV486" s="18" t="str">
        <f aca="false">IF(V486&gt;0, (V486+W486)-TIME(13,30,0), "")</f>
        <v/>
      </c>
    </row>
    <row r="487" customFormat="false" ht="15" hidden="false" customHeight="false" outlineLevel="0" collapsed="false">
      <c r="AB487" s="2" t="e">
        <f aca="false">U487-#REF!</f>
        <v>#REF!</v>
      </c>
      <c r="AC487" s="14" t="n">
        <f aca="false">(V487+W487)-(B487+C487)</f>
        <v>0</v>
      </c>
      <c r="AD487" s="4" t="str">
        <f aca="false">INT((V487+W487)-(B487+C487)) &amp; ":" &amp;
TEXT(HOUR((V487+W487)-(B487+C487)), "00") &amp; ":" &amp;
TEXT(MINUTE((V487+W487)-(B487+C487)), "00")</f>
        <v>0:00:00</v>
      </c>
      <c r="AE487" s="1" t="n">
        <f aca="false">IFERROR(
LEFT(AD487,FIND(":",AD487)-1)
+ MID(AD487,FIND(":",AD487)+1,2)/24
+ RIGHT(AD487,2)/1440,
"")</f>
        <v>0</v>
      </c>
      <c r="AF487" s="4" t="str">
        <f aca="false">INT((X487+Y487)-(B487+C487)) &amp; ":" &amp;
TEXT(HOUR((X487+Y487)-(B487+C487)), "00") &amp; ":" &amp;
TEXT(MINUTE((X487+Y487)-(B487+C487)), "00")</f>
        <v>0:00:00</v>
      </c>
      <c r="AG487" s="4" t="e">
        <f aca="false" t="array" ref="AG487:AG487">INT(_xlfn.XLOOKUP(J487,{"Low","Medium","High","Urgent"},{48,24,12,8})/24) &amp; ":" &amp;
TEXT(MOD(_xlfn.XLOOKUP(J487,{"Low","Medium","High","Urgent"},{48,24,12,8}),24)/24,"hh:mm")</f>
        <v>#N/A</v>
      </c>
      <c r="AH487" s="4" t="e">
        <f aca="false">IF(AD487&gt;AG487,"Not Met","Met")</f>
        <v>#N/A</v>
      </c>
      <c r="AI487" s="4" t="e">
        <f aca="false">IF(AB487&lt;TIME(0,30,0),"Met","Not Met")</f>
        <v>#REF!</v>
      </c>
      <c r="AN487" s="1" t="str">
        <f aca="false">TEXT(B487,"dd")</f>
        <v>30</v>
      </c>
      <c r="AO487" s="1" t="str">
        <f aca="false">TEXT(X487,"dd")</f>
        <v>30</v>
      </c>
      <c r="AP487" s="16" t="str">
        <f aca="false">INT(
  NETWORKDAYS(B487,V487)-1
  + IF(WEEKDAY(V487,2)&lt;6,MOD(V487+W487,1),0)
  - IF(WEEKDAY(B487,2)&lt;6,MOD(B487+C487,1),0)
)
&amp; ":" &amp;
TEXT(HOUR(
  NETWORKDAYS(B487,V487)-1
  + IF(WEEKDAY(V487,2)&lt;6,MOD(V487+W487,1),0)
  - IF(WEEKDAY(B487,2)&lt;6,MOD(B487+C487,1),0)
),"00")
&amp; ":" &amp;
TEXT(MINUTE(
  NETWORKDAYS(B487,V487)-1
  + IF(WEEKDAY(V487,2)&lt;6,MOD(V487+W487,1),0)
  - IF(WEEKDAY(B487,2)&lt;6,MOD(B487+C487,1),0)
),"00")</f>
        <v>-1:00:00</v>
      </c>
      <c r="AQ487" s="0" t="n">
        <f aca="false">IFERROR(
LEFT(AP487,FIND(":",AP487)-1)
+ MID(AP487,FIND(":",AP487)+1,2)/24
+ RIGHT(AP487,2)/1440,
"")</f>
        <v>-1</v>
      </c>
      <c r="AR487" s="0" t="n">
        <f aca="false">WEEKNUM(B487,1)</f>
        <v>52</v>
      </c>
      <c r="AS487" s="17" t="str">
        <f aca="false">IF(B487&gt;0, (B487+C487)-TIME(13,30,0), "")</f>
        <v/>
      </c>
      <c r="AT487" s="18" t="str">
        <f aca="false">IF(B487&gt;0, (B487+C487)-TIME(13,30,0), "")</f>
        <v/>
      </c>
      <c r="AU487" s="17" t="str">
        <f aca="false">IF(V487&gt;0, (V487+W487)-TIME(13,30,0), "")</f>
        <v/>
      </c>
      <c r="AV487" s="18" t="str">
        <f aca="false">IF(V487&gt;0, (V487+W487)-TIME(13,30,0), "")</f>
        <v/>
      </c>
    </row>
    <row r="488" customFormat="false" ht="15" hidden="false" customHeight="false" outlineLevel="0" collapsed="false">
      <c r="AB488" s="2" t="e">
        <f aca="false">U488-#REF!</f>
        <v>#REF!</v>
      </c>
      <c r="AC488" s="14" t="n">
        <f aca="false">(V488+W488)-(B488+C488)</f>
        <v>0</v>
      </c>
      <c r="AD488" s="4" t="str">
        <f aca="false">INT((V488+W488)-(B488+C488)) &amp; ":" &amp;
TEXT(HOUR((V488+W488)-(B488+C488)), "00") &amp; ":" &amp;
TEXT(MINUTE((V488+W488)-(B488+C488)), "00")</f>
        <v>0:00:00</v>
      </c>
      <c r="AE488" s="1" t="n">
        <f aca="false">IFERROR(
LEFT(AD488,FIND(":",AD488)-1)
+ MID(AD488,FIND(":",AD488)+1,2)/24
+ RIGHT(AD488,2)/1440,
"")</f>
        <v>0</v>
      </c>
      <c r="AF488" s="4" t="str">
        <f aca="false">INT((X488+Y488)-(B488+C488)) &amp; ":" &amp;
TEXT(HOUR((X488+Y488)-(B488+C488)), "00") &amp; ":" &amp;
TEXT(MINUTE((X488+Y488)-(B488+C488)), "00")</f>
        <v>0:00:00</v>
      </c>
      <c r="AG488" s="4" t="e">
        <f aca="false" t="array" ref="AG488:AG488">INT(_xlfn.XLOOKUP(J488,{"Low","Medium","High","Urgent"},{48,24,12,8})/24) &amp; ":" &amp;
TEXT(MOD(_xlfn.XLOOKUP(J488,{"Low","Medium","High","Urgent"},{48,24,12,8}),24)/24,"hh:mm")</f>
        <v>#N/A</v>
      </c>
      <c r="AH488" s="4" t="e">
        <f aca="false">IF(AD488&gt;AG488,"Not Met","Met")</f>
        <v>#N/A</v>
      </c>
      <c r="AI488" s="4" t="e">
        <f aca="false">IF(AB488&lt;TIME(0,30,0),"Met","Not Met")</f>
        <v>#REF!</v>
      </c>
      <c r="AN488" s="1" t="str">
        <f aca="false">TEXT(B488,"dd")</f>
        <v>30</v>
      </c>
      <c r="AO488" s="1" t="str">
        <f aca="false">TEXT(X488,"dd")</f>
        <v>30</v>
      </c>
      <c r="AP488" s="16" t="str">
        <f aca="false">INT(
  NETWORKDAYS(B488,V488)-1
  + IF(WEEKDAY(V488,2)&lt;6,MOD(V488+W488,1),0)
  - IF(WEEKDAY(B488,2)&lt;6,MOD(B488+C488,1),0)
)
&amp; ":" &amp;
TEXT(HOUR(
  NETWORKDAYS(B488,V488)-1
  + IF(WEEKDAY(V488,2)&lt;6,MOD(V488+W488,1),0)
  - IF(WEEKDAY(B488,2)&lt;6,MOD(B488+C488,1),0)
),"00")
&amp; ":" &amp;
TEXT(MINUTE(
  NETWORKDAYS(B488,V488)-1
  + IF(WEEKDAY(V488,2)&lt;6,MOD(V488+W488,1),0)
  - IF(WEEKDAY(B488,2)&lt;6,MOD(B488+C488,1),0)
),"00")</f>
        <v>-1:00:00</v>
      </c>
      <c r="AQ488" s="0" t="n">
        <f aca="false">IFERROR(
LEFT(AP488,FIND(":",AP488)-1)
+ MID(AP488,FIND(":",AP488)+1,2)/24
+ RIGHT(AP488,2)/1440,
"")</f>
        <v>-1</v>
      </c>
      <c r="AR488" s="0" t="n">
        <f aca="false">WEEKNUM(B488,1)</f>
        <v>52</v>
      </c>
      <c r="AS488" s="17" t="str">
        <f aca="false">IF(B488&gt;0, (B488+C488)-TIME(13,30,0), "")</f>
        <v/>
      </c>
      <c r="AT488" s="18" t="str">
        <f aca="false">IF(B488&gt;0, (B488+C488)-TIME(13,30,0), "")</f>
        <v/>
      </c>
      <c r="AU488" s="17" t="str">
        <f aca="false">IF(V488&gt;0, (V488+W488)-TIME(13,30,0), "")</f>
        <v/>
      </c>
      <c r="AV488" s="18" t="str">
        <f aca="false">IF(V488&gt;0, (V488+W488)-TIME(13,30,0), "")</f>
        <v/>
      </c>
    </row>
    <row r="489" customFormat="false" ht="15" hidden="false" customHeight="false" outlineLevel="0" collapsed="false">
      <c r="AB489" s="2" t="e">
        <f aca="false">U489-#REF!</f>
        <v>#REF!</v>
      </c>
      <c r="AC489" s="14" t="n">
        <f aca="false">(V489+W489)-(B489+C489)</f>
        <v>0</v>
      </c>
      <c r="AD489" s="4" t="str">
        <f aca="false">INT((V489+W489)-(B489+C489)) &amp; ":" &amp;
TEXT(HOUR((V489+W489)-(B489+C489)), "00") &amp; ":" &amp;
TEXT(MINUTE((V489+W489)-(B489+C489)), "00")</f>
        <v>0:00:00</v>
      </c>
      <c r="AE489" s="1" t="n">
        <f aca="false">IFERROR(
LEFT(AD489,FIND(":",AD489)-1)
+ MID(AD489,FIND(":",AD489)+1,2)/24
+ RIGHT(AD489,2)/1440,
"")</f>
        <v>0</v>
      </c>
      <c r="AF489" s="4" t="str">
        <f aca="false">INT((X489+Y489)-(B489+C489)) &amp; ":" &amp;
TEXT(HOUR((X489+Y489)-(B489+C489)), "00") &amp; ":" &amp;
TEXT(MINUTE((X489+Y489)-(B489+C489)), "00")</f>
        <v>0:00:00</v>
      </c>
      <c r="AG489" s="4" t="e">
        <f aca="false" t="array" ref="AG489:AG489">INT(_xlfn.XLOOKUP(J489,{"Low","Medium","High","Urgent"},{48,24,12,8})/24) &amp; ":" &amp;
TEXT(MOD(_xlfn.XLOOKUP(J489,{"Low","Medium","High","Urgent"},{48,24,12,8}),24)/24,"hh:mm")</f>
        <v>#N/A</v>
      </c>
      <c r="AH489" s="4" t="e">
        <f aca="false">IF(AD489&gt;AG489,"Not Met","Met")</f>
        <v>#N/A</v>
      </c>
      <c r="AI489" s="4" t="e">
        <f aca="false">IF(AB489&lt;TIME(0,30,0),"Met","Not Met")</f>
        <v>#REF!</v>
      </c>
      <c r="AN489" s="1" t="str">
        <f aca="false">TEXT(B489,"dd")</f>
        <v>30</v>
      </c>
      <c r="AO489" s="1" t="str">
        <f aca="false">TEXT(X489,"dd")</f>
        <v>30</v>
      </c>
      <c r="AP489" s="16" t="str">
        <f aca="false">INT(
  NETWORKDAYS(B489,V489)-1
  + IF(WEEKDAY(V489,2)&lt;6,MOD(V489+W489,1),0)
  - IF(WEEKDAY(B489,2)&lt;6,MOD(B489+C489,1),0)
)
&amp; ":" &amp;
TEXT(HOUR(
  NETWORKDAYS(B489,V489)-1
  + IF(WEEKDAY(V489,2)&lt;6,MOD(V489+W489,1),0)
  - IF(WEEKDAY(B489,2)&lt;6,MOD(B489+C489,1),0)
),"00")
&amp; ":" &amp;
TEXT(MINUTE(
  NETWORKDAYS(B489,V489)-1
  + IF(WEEKDAY(V489,2)&lt;6,MOD(V489+W489,1),0)
  - IF(WEEKDAY(B489,2)&lt;6,MOD(B489+C489,1),0)
),"00")</f>
        <v>-1:00:00</v>
      </c>
      <c r="AQ489" s="0" t="n">
        <f aca="false">IFERROR(
LEFT(AP489,FIND(":",AP489)-1)
+ MID(AP489,FIND(":",AP489)+1,2)/24
+ RIGHT(AP489,2)/1440,
"")</f>
        <v>-1</v>
      </c>
      <c r="AR489" s="0" t="n">
        <f aca="false">WEEKNUM(B489,1)</f>
        <v>52</v>
      </c>
      <c r="AS489" s="17" t="str">
        <f aca="false">IF(B489&gt;0, (B489+C489)-TIME(13,30,0), "")</f>
        <v/>
      </c>
      <c r="AT489" s="18" t="str">
        <f aca="false">IF(B489&gt;0, (B489+C489)-TIME(13,30,0), "")</f>
        <v/>
      </c>
      <c r="AU489" s="17" t="str">
        <f aca="false">IF(V489&gt;0, (V489+W489)-TIME(13,30,0), "")</f>
        <v/>
      </c>
      <c r="AV489" s="18" t="str">
        <f aca="false">IF(V489&gt;0, (V489+W489)-TIME(13,30,0), "")</f>
        <v/>
      </c>
    </row>
    <row r="490" customFormat="false" ht="15" hidden="false" customHeight="false" outlineLevel="0" collapsed="false">
      <c r="AB490" s="2" t="e">
        <f aca="false">U490-#REF!</f>
        <v>#REF!</v>
      </c>
      <c r="AC490" s="14" t="n">
        <f aca="false">(V490+W490)-(B490+C490)</f>
        <v>0</v>
      </c>
      <c r="AD490" s="4" t="str">
        <f aca="false">INT((V490+W490)-(B490+C490)) &amp; ":" &amp;
TEXT(HOUR((V490+W490)-(B490+C490)), "00") &amp; ":" &amp;
TEXT(MINUTE((V490+W490)-(B490+C490)), "00")</f>
        <v>0:00:00</v>
      </c>
      <c r="AE490" s="1" t="n">
        <f aca="false">IFERROR(
LEFT(AD490,FIND(":",AD490)-1)
+ MID(AD490,FIND(":",AD490)+1,2)/24
+ RIGHT(AD490,2)/1440,
"")</f>
        <v>0</v>
      </c>
      <c r="AF490" s="4" t="str">
        <f aca="false">INT((X490+Y490)-(B490+C490)) &amp; ":" &amp;
TEXT(HOUR((X490+Y490)-(B490+C490)), "00") &amp; ":" &amp;
TEXT(MINUTE((X490+Y490)-(B490+C490)), "00")</f>
        <v>0:00:00</v>
      </c>
      <c r="AG490" s="4" t="e">
        <f aca="false" t="array" ref="AG490:AG490">INT(_xlfn.XLOOKUP(J490,{"Low","Medium","High","Urgent"},{48,24,12,8})/24) &amp; ":" &amp;
TEXT(MOD(_xlfn.XLOOKUP(J490,{"Low","Medium","High","Urgent"},{48,24,12,8}),24)/24,"hh:mm")</f>
        <v>#N/A</v>
      </c>
      <c r="AH490" s="4" t="e">
        <f aca="false">IF(AD490&gt;AG490,"Not Met","Met")</f>
        <v>#N/A</v>
      </c>
      <c r="AI490" s="4" t="e">
        <f aca="false">IF(AB490&lt;TIME(0,30,0),"Met","Not Met")</f>
        <v>#REF!</v>
      </c>
      <c r="AN490" s="1" t="str">
        <f aca="false">TEXT(B490,"dd")</f>
        <v>30</v>
      </c>
      <c r="AO490" s="1" t="str">
        <f aca="false">TEXT(X490,"dd")</f>
        <v>30</v>
      </c>
      <c r="AP490" s="16" t="str">
        <f aca="false">INT(
  NETWORKDAYS(B490,V490)-1
  + IF(WEEKDAY(V490,2)&lt;6,MOD(V490+W490,1),0)
  - IF(WEEKDAY(B490,2)&lt;6,MOD(B490+C490,1),0)
)
&amp; ":" &amp;
TEXT(HOUR(
  NETWORKDAYS(B490,V490)-1
  + IF(WEEKDAY(V490,2)&lt;6,MOD(V490+W490,1),0)
  - IF(WEEKDAY(B490,2)&lt;6,MOD(B490+C490,1),0)
),"00")
&amp; ":" &amp;
TEXT(MINUTE(
  NETWORKDAYS(B490,V490)-1
  + IF(WEEKDAY(V490,2)&lt;6,MOD(V490+W490,1),0)
  - IF(WEEKDAY(B490,2)&lt;6,MOD(B490+C490,1),0)
),"00")</f>
        <v>-1:00:00</v>
      </c>
      <c r="AQ490" s="0" t="n">
        <f aca="false">IFERROR(
LEFT(AP490,FIND(":",AP490)-1)
+ MID(AP490,FIND(":",AP490)+1,2)/24
+ RIGHT(AP490,2)/1440,
"")</f>
        <v>-1</v>
      </c>
      <c r="AR490" s="0" t="n">
        <f aca="false">WEEKNUM(B490,1)</f>
        <v>52</v>
      </c>
      <c r="AS490" s="17" t="str">
        <f aca="false">IF(B490&gt;0, (B490+C490)-TIME(13,30,0), "")</f>
        <v/>
      </c>
      <c r="AT490" s="18" t="str">
        <f aca="false">IF(B490&gt;0, (B490+C490)-TIME(13,30,0), "")</f>
        <v/>
      </c>
      <c r="AU490" s="17" t="str">
        <f aca="false">IF(V490&gt;0, (V490+W490)-TIME(13,30,0), "")</f>
        <v/>
      </c>
      <c r="AV490" s="18" t="str">
        <f aca="false">IF(V490&gt;0, (V490+W490)-TIME(13,30,0), "")</f>
        <v/>
      </c>
    </row>
    <row r="491" customFormat="false" ht="15" hidden="false" customHeight="false" outlineLevel="0" collapsed="false">
      <c r="AB491" s="2" t="e">
        <f aca="false">U491-#REF!</f>
        <v>#REF!</v>
      </c>
      <c r="AC491" s="14" t="n">
        <f aca="false">(V491+W491)-(B491+C491)</f>
        <v>0</v>
      </c>
      <c r="AD491" s="4" t="str">
        <f aca="false">INT((V491+W491)-(B491+C491)) &amp; ":" &amp;
TEXT(HOUR((V491+W491)-(B491+C491)), "00") &amp; ":" &amp;
TEXT(MINUTE((V491+W491)-(B491+C491)), "00")</f>
        <v>0:00:00</v>
      </c>
      <c r="AE491" s="1" t="n">
        <f aca="false">IFERROR(
LEFT(AD491,FIND(":",AD491)-1)
+ MID(AD491,FIND(":",AD491)+1,2)/24
+ RIGHT(AD491,2)/1440,
"")</f>
        <v>0</v>
      </c>
      <c r="AF491" s="4" t="str">
        <f aca="false">INT((X491+Y491)-(B491+C491)) &amp; ":" &amp;
TEXT(HOUR((X491+Y491)-(B491+C491)), "00") &amp; ":" &amp;
TEXT(MINUTE((X491+Y491)-(B491+C491)), "00")</f>
        <v>0:00:00</v>
      </c>
      <c r="AG491" s="4" t="e">
        <f aca="false" t="array" ref="AG491:AG491">INT(_xlfn.XLOOKUP(J491,{"Low","Medium","High","Urgent"},{48,24,12,8})/24) &amp; ":" &amp;
TEXT(MOD(_xlfn.XLOOKUP(J491,{"Low","Medium","High","Urgent"},{48,24,12,8}),24)/24,"hh:mm")</f>
        <v>#N/A</v>
      </c>
      <c r="AH491" s="4" t="e">
        <f aca="false">IF(AD491&gt;AG491,"Not Met","Met")</f>
        <v>#N/A</v>
      </c>
      <c r="AI491" s="4" t="e">
        <f aca="false">IF(AB491&lt;TIME(0,30,0),"Met","Not Met")</f>
        <v>#REF!</v>
      </c>
      <c r="AN491" s="1" t="str">
        <f aca="false">TEXT(B491,"dd")</f>
        <v>30</v>
      </c>
      <c r="AO491" s="1" t="str">
        <f aca="false">TEXT(X491,"dd")</f>
        <v>30</v>
      </c>
      <c r="AP491" s="16" t="str">
        <f aca="false">INT(
  NETWORKDAYS(B491,V491)-1
  + IF(WEEKDAY(V491,2)&lt;6,MOD(V491+W491,1),0)
  - IF(WEEKDAY(B491,2)&lt;6,MOD(B491+C491,1),0)
)
&amp; ":" &amp;
TEXT(HOUR(
  NETWORKDAYS(B491,V491)-1
  + IF(WEEKDAY(V491,2)&lt;6,MOD(V491+W491,1),0)
  - IF(WEEKDAY(B491,2)&lt;6,MOD(B491+C491,1),0)
),"00")
&amp; ":" &amp;
TEXT(MINUTE(
  NETWORKDAYS(B491,V491)-1
  + IF(WEEKDAY(V491,2)&lt;6,MOD(V491+W491,1),0)
  - IF(WEEKDAY(B491,2)&lt;6,MOD(B491+C491,1),0)
),"00")</f>
        <v>-1:00:00</v>
      </c>
      <c r="AQ491" s="0" t="n">
        <f aca="false">IFERROR(
LEFT(AP491,FIND(":",AP491)-1)
+ MID(AP491,FIND(":",AP491)+1,2)/24
+ RIGHT(AP491,2)/1440,
"")</f>
        <v>-1</v>
      </c>
      <c r="AR491" s="0" t="n">
        <f aca="false">WEEKNUM(B491,1)</f>
        <v>52</v>
      </c>
      <c r="AS491" s="17" t="str">
        <f aca="false">IF(B491&gt;0, (B491+C491)-TIME(13,30,0), "")</f>
        <v/>
      </c>
      <c r="AT491" s="18" t="str">
        <f aca="false">IF(B491&gt;0, (B491+C491)-TIME(13,30,0), "")</f>
        <v/>
      </c>
      <c r="AU491" s="17" t="str">
        <f aca="false">IF(V491&gt;0, (V491+W491)-TIME(13,30,0), "")</f>
        <v/>
      </c>
      <c r="AV491" s="18" t="str">
        <f aca="false">IF(V491&gt;0, (V491+W491)-TIME(13,30,0), "")</f>
        <v/>
      </c>
    </row>
    <row r="492" customFormat="false" ht="15" hidden="false" customHeight="false" outlineLevel="0" collapsed="false">
      <c r="AB492" s="2" t="e">
        <f aca="false">U492-#REF!</f>
        <v>#REF!</v>
      </c>
      <c r="AC492" s="14" t="n">
        <f aca="false">(V492+W492)-(B492+C492)</f>
        <v>0</v>
      </c>
      <c r="AD492" s="4" t="str">
        <f aca="false">INT((V492+W492)-(B492+C492)) &amp; ":" &amp;
TEXT(HOUR((V492+W492)-(B492+C492)), "00") &amp; ":" &amp;
TEXT(MINUTE((V492+W492)-(B492+C492)), "00")</f>
        <v>0:00:00</v>
      </c>
      <c r="AE492" s="1" t="n">
        <f aca="false">IFERROR(
LEFT(AD492,FIND(":",AD492)-1)
+ MID(AD492,FIND(":",AD492)+1,2)/24
+ RIGHT(AD492,2)/1440,
"")</f>
        <v>0</v>
      </c>
      <c r="AF492" s="4" t="str">
        <f aca="false">INT((X492+Y492)-(B492+C492)) &amp; ":" &amp;
TEXT(HOUR((X492+Y492)-(B492+C492)), "00") &amp; ":" &amp;
TEXT(MINUTE((X492+Y492)-(B492+C492)), "00")</f>
        <v>0:00:00</v>
      </c>
      <c r="AG492" s="4" t="e">
        <f aca="false" t="array" ref="AG492:AG492">INT(_xlfn.XLOOKUP(J492,{"Low","Medium","High","Urgent"},{48,24,12,8})/24) &amp; ":" &amp;
TEXT(MOD(_xlfn.XLOOKUP(J492,{"Low","Medium","High","Urgent"},{48,24,12,8}),24)/24,"hh:mm")</f>
        <v>#N/A</v>
      </c>
      <c r="AH492" s="4" t="e">
        <f aca="false">IF(AD492&gt;AG492,"Not Met","Met")</f>
        <v>#N/A</v>
      </c>
      <c r="AI492" s="4" t="e">
        <f aca="false">IF(AB492&lt;TIME(0,30,0),"Met","Not Met")</f>
        <v>#REF!</v>
      </c>
      <c r="AN492" s="1" t="str">
        <f aca="false">TEXT(B492,"dd")</f>
        <v>30</v>
      </c>
      <c r="AO492" s="1" t="str">
        <f aca="false">TEXT(X492,"dd")</f>
        <v>30</v>
      </c>
      <c r="AP492" s="16" t="str">
        <f aca="false">INT(
  NETWORKDAYS(B492,V492)-1
  + IF(WEEKDAY(V492,2)&lt;6,MOD(V492+W492,1),0)
  - IF(WEEKDAY(B492,2)&lt;6,MOD(B492+C492,1),0)
)
&amp; ":" &amp;
TEXT(HOUR(
  NETWORKDAYS(B492,V492)-1
  + IF(WEEKDAY(V492,2)&lt;6,MOD(V492+W492,1),0)
  - IF(WEEKDAY(B492,2)&lt;6,MOD(B492+C492,1),0)
),"00")
&amp; ":" &amp;
TEXT(MINUTE(
  NETWORKDAYS(B492,V492)-1
  + IF(WEEKDAY(V492,2)&lt;6,MOD(V492+W492,1),0)
  - IF(WEEKDAY(B492,2)&lt;6,MOD(B492+C492,1),0)
),"00")</f>
        <v>-1:00:00</v>
      </c>
      <c r="AQ492" s="0" t="n">
        <f aca="false">IFERROR(
LEFT(AP492,FIND(":",AP492)-1)
+ MID(AP492,FIND(":",AP492)+1,2)/24
+ RIGHT(AP492,2)/1440,
"")</f>
        <v>-1</v>
      </c>
      <c r="AR492" s="0" t="n">
        <f aca="false">WEEKNUM(B492,1)</f>
        <v>52</v>
      </c>
      <c r="AS492" s="17" t="str">
        <f aca="false">IF(B492&gt;0, (B492+C492)-TIME(13,30,0), "")</f>
        <v/>
      </c>
      <c r="AT492" s="18" t="str">
        <f aca="false">IF(B492&gt;0, (B492+C492)-TIME(13,30,0), "")</f>
        <v/>
      </c>
      <c r="AU492" s="17" t="str">
        <f aca="false">IF(V492&gt;0, (V492+W492)-TIME(13,30,0), "")</f>
        <v/>
      </c>
      <c r="AV492" s="18" t="str">
        <f aca="false">IF(V492&gt;0, (V492+W492)-TIME(13,30,0), "")</f>
        <v/>
      </c>
    </row>
    <row r="493" customFormat="false" ht="15" hidden="false" customHeight="false" outlineLevel="0" collapsed="false">
      <c r="AB493" s="2" t="e">
        <f aca="false">U493-#REF!</f>
        <v>#REF!</v>
      </c>
      <c r="AC493" s="14" t="n">
        <f aca="false">(V493+W493)-(B493+C493)</f>
        <v>0</v>
      </c>
      <c r="AD493" s="4" t="str">
        <f aca="false">INT((V493+W493)-(B493+C493)) &amp; ":" &amp;
TEXT(HOUR((V493+W493)-(B493+C493)), "00") &amp; ":" &amp;
TEXT(MINUTE((V493+W493)-(B493+C493)), "00")</f>
        <v>0:00:00</v>
      </c>
      <c r="AE493" s="1" t="n">
        <f aca="false">IFERROR(
LEFT(AD493,FIND(":",AD493)-1)
+ MID(AD493,FIND(":",AD493)+1,2)/24
+ RIGHT(AD493,2)/1440,
"")</f>
        <v>0</v>
      </c>
      <c r="AF493" s="4" t="str">
        <f aca="false">INT((X493+Y493)-(B493+C493)) &amp; ":" &amp;
TEXT(HOUR((X493+Y493)-(B493+C493)), "00") &amp; ":" &amp;
TEXT(MINUTE((X493+Y493)-(B493+C493)), "00")</f>
        <v>0:00:00</v>
      </c>
      <c r="AG493" s="4" t="e">
        <f aca="false" t="array" ref="AG493:AG493">INT(_xlfn.XLOOKUP(J493,{"Low","Medium","High","Urgent"},{48,24,12,8})/24) &amp; ":" &amp;
TEXT(MOD(_xlfn.XLOOKUP(J493,{"Low","Medium","High","Urgent"},{48,24,12,8}),24)/24,"hh:mm")</f>
        <v>#N/A</v>
      </c>
      <c r="AH493" s="4" t="e">
        <f aca="false">IF(AD493&gt;AG493,"Not Met","Met")</f>
        <v>#N/A</v>
      </c>
      <c r="AI493" s="4" t="e">
        <f aca="false">IF(AB493&lt;TIME(0,30,0),"Met","Not Met")</f>
        <v>#REF!</v>
      </c>
      <c r="AN493" s="1" t="str">
        <f aca="false">TEXT(B493,"dd")</f>
        <v>30</v>
      </c>
      <c r="AO493" s="1" t="str">
        <f aca="false">TEXT(X493,"dd")</f>
        <v>30</v>
      </c>
      <c r="AP493" s="16" t="str">
        <f aca="false">INT(
  NETWORKDAYS(B493,V493)-1
  + IF(WEEKDAY(V493,2)&lt;6,MOD(V493+W493,1),0)
  - IF(WEEKDAY(B493,2)&lt;6,MOD(B493+C493,1),0)
)
&amp; ":" &amp;
TEXT(HOUR(
  NETWORKDAYS(B493,V493)-1
  + IF(WEEKDAY(V493,2)&lt;6,MOD(V493+W493,1),0)
  - IF(WEEKDAY(B493,2)&lt;6,MOD(B493+C493,1),0)
),"00")
&amp; ":" &amp;
TEXT(MINUTE(
  NETWORKDAYS(B493,V493)-1
  + IF(WEEKDAY(V493,2)&lt;6,MOD(V493+W493,1),0)
  - IF(WEEKDAY(B493,2)&lt;6,MOD(B493+C493,1),0)
),"00")</f>
        <v>-1:00:00</v>
      </c>
      <c r="AQ493" s="0" t="n">
        <f aca="false">IFERROR(
LEFT(AP493,FIND(":",AP493)-1)
+ MID(AP493,FIND(":",AP493)+1,2)/24
+ RIGHT(AP493,2)/1440,
"")</f>
        <v>-1</v>
      </c>
      <c r="AR493" s="0" t="n">
        <f aca="false">WEEKNUM(B493,1)</f>
        <v>52</v>
      </c>
      <c r="AS493" s="17" t="str">
        <f aca="false">IF(B493&gt;0, (B493+C493)-TIME(13,30,0), "")</f>
        <v/>
      </c>
      <c r="AT493" s="18" t="str">
        <f aca="false">IF(B493&gt;0, (B493+C493)-TIME(13,30,0), "")</f>
        <v/>
      </c>
      <c r="AU493" s="17" t="str">
        <f aca="false">IF(V493&gt;0, (V493+W493)-TIME(13,30,0), "")</f>
        <v/>
      </c>
      <c r="AV493" s="18" t="str">
        <f aca="false">IF(V493&gt;0, (V493+W493)-TIME(13,30,0), "")</f>
        <v/>
      </c>
    </row>
    <row r="494" customFormat="false" ht="15" hidden="false" customHeight="false" outlineLevel="0" collapsed="false">
      <c r="AB494" s="2" t="e">
        <f aca="false">U494-#REF!</f>
        <v>#REF!</v>
      </c>
      <c r="AC494" s="14" t="n">
        <f aca="false">(V494+W494)-(B494+C494)</f>
        <v>0</v>
      </c>
      <c r="AD494" s="4" t="str">
        <f aca="false">INT((V494+W494)-(B494+C494)) &amp; ":" &amp;
TEXT(HOUR((V494+W494)-(B494+C494)), "00") &amp; ":" &amp;
TEXT(MINUTE((V494+W494)-(B494+C494)), "00")</f>
        <v>0:00:00</v>
      </c>
      <c r="AE494" s="1" t="n">
        <f aca="false">IFERROR(
LEFT(AD494,FIND(":",AD494)-1)
+ MID(AD494,FIND(":",AD494)+1,2)/24
+ RIGHT(AD494,2)/1440,
"")</f>
        <v>0</v>
      </c>
      <c r="AF494" s="4" t="str">
        <f aca="false">INT((X494+Y494)-(B494+C494)) &amp; ":" &amp;
TEXT(HOUR((X494+Y494)-(B494+C494)), "00") &amp; ":" &amp;
TEXT(MINUTE((X494+Y494)-(B494+C494)), "00")</f>
        <v>0:00:00</v>
      </c>
      <c r="AG494" s="4" t="e">
        <f aca="false" t="array" ref="AG494:AG494">INT(_xlfn.XLOOKUP(J494,{"Low","Medium","High","Urgent"},{48,24,12,8})/24) &amp; ":" &amp;
TEXT(MOD(_xlfn.XLOOKUP(J494,{"Low","Medium","High","Urgent"},{48,24,12,8}),24)/24,"hh:mm")</f>
        <v>#N/A</v>
      </c>
      <c r="AH494" s="4" t="e">
        <f aca="false">IF(AD494&gt;AG494,"Not Met","Met")</f>
        <v>#N/A</v>
      </c>
      <c r="AI494" s="4" t="e">
        <f aca="false">IF(AB494&lt;TIME(0,30,0),"Met","Not Met")</f>
        <v>#REF!</v>
      </c>
      <c r="AN494" s="1" t="str">
        <f aca="false">TEXT(B494,"dd")</f>
        <v>30</v>
      </c>
      <c r="AO494" s="1" t="str">
        <f aca="false">TEXT(X494,"dd")</f>
        <v>30</v>
      </c>
      <c r="AP494" s="16" t="str">
        <f aca="false">INT(
  NETWORKDAYS(B494,V494)-1
  + IF(WEEKDAY(V494,2)&lt;6,MOD(V494+W494,1),0)
  - IF(WEEKDAY(B494,2)&lt;6,MOD(B494+C494,1),0)
)
&amp; ":" &amp;
TEXT(HOUR(
  NETWORKDAYS(B494,V494)-1
  + IF(WEEKDAY(V494,2)&lt;6,MOD(V494+W494,1),0)
  - IF(WEEKDAY(B494,2)&lt;6,MOD(B494+C494,1),0)
),"00")
&amp; ":" &amp;
TEXT(MINUTE(
  NETWORKDAYS(B494,V494)-1
  + IF(WEEKDAY(V494,2)&lt;6,MOD(V494+W494,1),0)
  - IF(WEEKDAY(B494,2)&lt;6,MOD(B494+C494,1),0)
),"00")</f>
        <v>-1:00:00</v>
      </c>
      <c r="AQ494" s="0" t="n">
        <f aca="false">IFERROR(
LEFT(AP494,FIND(":",AP494)-1)
+ MID(AP494,FIND(":",AP494)+1,2)/24
+ RIGHT(AP494,2)/1440,
"")</f>
        <v>-1</v>
      </c>
      <c r="AR494" s="0" t="n">
        <f aca="false">WEEKNUM(B494,1)</f>
        <v>52</v>
      </c>
      <c r="AS494" s="17" t="str">
        <f aca="false">IF(B494&gt;0, (B494+C494)-TIME(13,30,0), "")</f>
        <v/>
      </c>
      <c r="AT494" s="18" t="str">
        <f aca="false">IF(B494&gt;0, (B494+C494)-TIME(13,30,0), "")</f>
        <v/>
      </c>
      <c r="AU494" s="17" t="str">
        <f aca="false">IF(V494&gt;0, (V494+W494)-TIME(13,30,0), "")</f>
        <v/>
      </c>
      <c r="AV494" s="18" t="str">
        <f aca="false">IF(V494&gt;0, (V494+W494)-TIME(13,30,0), "")</f>
        <v/>
      </c>
    </row>
    <row r="495" customFormat="false" ht="15" hidden="false" customHeight="false" outlineLevel="0" collapsed="false">
      <c r="AB495" s="2" t="e">
        <f aca="false">U495-#REF!</f>
        <v>#REF!</v>
      </c>
      <c r="AC495" s="14" t="n">
        <f aca="false">(V495+W495)-(B495+C495)</f>
        <v>0</v>
      </c>
      <c r="AD495" s="4" t="str">
        <f aca="false">INT((V495+W495)-(B495+C495)) &amp; ":" &amp;
TEXT(HOUR((V495+W495)-(B495+C495)), "00") &amp; ":" &amp;
TEXT(MINUTE((V495+W495)-(B495+C495)), "00")</f>
        <v>0:00:00</v>
      </c>
      <c r="AE495" s="1" t="n">
        <f aca="false">IFERROR(
LEFT(AD495,FIND(":",AD495)-1)
+ MID(AD495,FIND(":",AD495)+1,2)/24
+ RIGHT(AD495,2)/1440,
"")</f>
        <v>0</v>
      </c>
      <c r="AF495" s="4" t="str">
        <f aca="false">INT((X495+Y495)-(B495+C495)) &amp; ":" &amp;
TEXT(HOUR((X495+Y495)-(B495+C495)), "00") &amp; ":" &amp;
TEXT(MINUTE((X495+Y495)-(B495+C495)), "00")</f>
        <v>0:00:00</v>
      </c>
      <c r="AG495" s="4" t="e">
        <f aca="false" t="array" ref="AG495:AG495">INT(_xlfn.XLOOKUP(J495,{"Low","Medium","High","Urgent"},{48,24,12,8})/24) &amp; ":" &amp;
TEXT(MOD(_xlfn.XLOOKUP(J495,{"Low","Medium","High","Urgent"},{48,24,12,8}),24)/24,"hh:mm")</f>
        <v>#N/A</v>
      </c>
      <c r="AH495" s="4" t="e">
        <f aca="false">IF(AD495&gt;AG495,"Not Met","Met")</f>
        <v>#N/A</v>
      </c>
      <c r="AI495" s="4" t="e">
        <f aca="false">IF(AB495&lt;TIME(0,30,0),"Met","Not Met")</f>
        <v>#REF!</v>
      </c>
      <c r="AN495" s="1" t="str">
        <f aca="false">TEXT(B495,"dd")</f>
        <v>30</v>
      </c>
      <c r="AO495" s="1" t="str">
        <f aca="false">TEXT(X495,"dd")</f>
        <v>30</v>
      </c>
      <c r="AP495" s="16" t="str">
        <f aca="false">INT(
  NETWORKDAYS(B495,V495)-1
  + IF(WEEKDAY(V495,2)&lt;6,MOD(V495+W495,1),0)
  - IF(WEEKDAY(B495,2)&lt;6,MOD(B495+C495,1),0)
)
&amp; ":" &amp;
TEXT(HOUR(
  NETWORKDAYS(B495,V495)-1
  + IF(WEEKDAY(V495,2)&lt;6,MOD(V495+W495,1),0)
  - IF(WEEKDAY(B495,2)&lt;6,MOD(B495+C495,1),0)
),"00")
&amp; ":" &amp;
TEXT(MINUTE(
  NETWORKDAYS(B495,V495)-1
  + IF(WEEKDAY(V495,2)&lt;6,MOD(V495+W495,1),0)
  - IF(WEEKDAY(B495,2)&lt;6,MOD(B495+C495,1),0)
),"00")</f>
        <v>-1:00:00</v>
      </c>
      <c r="AQ495" s="0" t="n">
        <f aca="false">IFERROR(
LEFT(AP495,FIND(":",AP495)-1)
+ MID(AP495,FIND(":",AP495)+1,2)/24
+ RIGHT(AP495,2)/1440,
"")</f>
        <v>-1</v>
      </c>
      <c r="AR495" s="0" t="n">
        <f aca="false">WEEKNUM(B495,1)</f>
        <v>52</v>
      </c>
      <c r="AS495" s="17" t="str">
        <f aca="false">IF(B495&gt;0, (B495+C495)-TIME(13,30,0), "")</f>
        <v/>
      </c>
      <c r="AT495" s="18" t="str">
        <f aca="false">IF(B495&gt;0, (B495+C495)-TIME(13,30,0), "")</f>
        <v/>
      </c>
      <c r="AU495" s="17" t="str">
        <f aca="false">IF(V495&gt;0, (V495+W495)-TIME(13,30,0), "")</f>
        <v/>
      </c>
      <c r="AV495" s="18" t="str">
        <f aca="false">IF(V495&gt;0, (V495+W495)-TIME(13,30,0), "")</f>
        <v/>
      </c>
    </row>
    <row r="496" customFormat="false" ht="15" hidden="false" customHeight="false" outlineLevel="0" collapsed="false">
      <c r="AB496" s="2" t="e">
        <f aca="false">U496-#REF!</f>
        <v>#REF!</v>
      </c>
      <c r="AC496" s="14" t="n">
        <f aca="false">(V496+W496)-(B496+C496)</f>
        <v>0</v>
      </c>
      <c r="AD496" s="4" t="str">
        <f aca="false">INT((V496+W496)-(B496+C496)) &amp; ":" &amp;
TEXT(HOUR((V496+W496)-(B496+C496)), "00") &amp; ":" &amp;
TEXT(MINUTE((V496+W496)-(B496+C496)), "00")</f>
        <v>0:00:00</v>
      </c>
      <c r="AE496" s="1" t="n">
        <f aca="false">IFERROR(
LEFT(AD496,FIND(":",AD496)-1)
+ MID(AD496,FIND(":",AD496)+1,2)/24
+ RIGHT(AD496,2)/1440,
"")</f>
        <v>0</v>
      </c>
      <c r="AF496" s="4" t="str">
        <f aca="false">INT((X496+Y496)-(B496+C496)) &amp; ":" &amp;
TEXT(HOUR((X496+Y496)-(B496+C496)), "00") &amp; ":" &amp;
TEXT(MINUTE((X496+Y496)-(B496+C496)), "00")</f>
        <v>0:00:00</v>
      </c>
      <c r="AG496" s="4" t="e">
        <f aca="false" t="array" ref="AG496:AG496">INT(_xlfn.XLOOKUP(J496,{"Low","Medium","High","Urgent"},{48,24,12,8})/24) &amp; ":" &amp;
TEXT(MOD(_xlfn.XLOOKUP(J496,{"Low","Medium","High","Urgent"},{48,24,12,8}),24)/24,"hh:mm")</f>
        <v>#N/A</v>
      </c>
      <c r="AH496" s="4" t="e">
        <f aca="false">IF(AD496&gt;AG496,"Not Met","Met")</f>
        <v>#N/A</v>
      </c>
      <c r="AI496" s="4" t="e">
        <f aca="false">IF(AB496&lt;TIME(0,30,0),"Met","Not Met")</f>
        <v>#REF!</v>
      </c>
      <c r="AN496" s="1" t="str">
        <f aca="false">TEXT(B496,"dd")</f>
        <v>30</v>
      </c>
      <c r="AO496" s="1" t="str">
        <f aca="false">TEXT(X496,"dd")</f>
        <v>30</v>
      </c>
      <c r="AP496" s="16" t="str">
        <f aca="false">INT(
  NETWORKDAYS(B496,V496)-1
  + IF(WEEKDAY(V496,2)&lt;6,MOD(V496+W496,1),0)
  - IF(WEEKDAY(B496,2)&lt;6,MOD(B496+C496,1),0)
)
&amp; ":" &amp;
TEXT(HOUR(
  NETWORKDAYS(B496,V496)-1
  + IF(WEEKDAY(V496,2)&lt;6,MOD(V496+W496,1),0)
  - IF(WEEKDAY(B496,2)&lt;6,MOD(B496+C496,1),0)
),"00")
&amp; ":" &amp;
TEXT(MINUTE(
  NETWORKDAYS(B496,V496)-1
  + IF(WEEKDAY(V496,2)&lt;6,MOD(V496+W496,1),0)
  - IF(WEEKDAY(B496,2)&lt;6,MOD(B496+C496,1),0)
),"00")</f>
        <v>-1:00:00</v>
      </c>
      <c r="AQ496" s="0" t="n">
        <f aca="false">IFERROR(
LEFT(AP496,FIND(":",AP496)-1)
+ MID(AP496,FIND(":",AP496)+1,2)/24
+ RIGHT(AP496,2)/1440,
"")</f>
        <v>-1</v>
      </c>
      <c r="AR496" s="0" t="n">
        <f aca="false">WEEKNUM(B496,1)</f>
        <v>52</v>
      </c>
      <c r="AS496" s="17" t="str">
        <f aca="false">IF(B496&gt;0, (B496+C496)-TIME(13,30,0), "")</f>
        <v/>
      </c>
      <c r="AT496" s="18" t="str">
        <f aca="false">IF(B496&gt;0, (B496+C496)-TIME(13,30,0), "")</f>
        <v/>
      </c>
      <c r="AU496" s="17" t="str">
        <f aca="false">IF(V496&gt;0, (V496+W496)-TIME(13,30,0), "")</f>
        <v/>
      </c>
      <c r="AV496" s="18" t="str">
        <f aca="false">IF(V496&gt;0, (V496+W496)-TIME(13,30,0), "")</f>
        <v/>
      </c>
    </row>
    <row r="497" customFormat="false" ht="15" hidden="false" customHeight="false" outlineLevel="0" collapsed="false">
      <c r="AB497" s="2" t="e">
        <f aca="false">U497-#REF!</f>
        <v>#REF!</v>
      </c>
      <c r="AC497" s="14" t="n">
        <f aca="false">(V497+W497)-(B497+C497)</f>
        <v>0</v>
      </c>
      <c r="AD497" s="4" t="str">
        <f aca="false">INT((V497+W497)-(B497+C497)) &amp; ":" &amp;
TEXT(HOUR((V497+W497)-(B497+C497)), "00") &amp; ":" &amp;
TEXT(MINUTE((V497+W497)-(B497+C497)), "00")</f>
        <v>0:00:00</v>
      </c>
      <c r="AE497" s="1" t="n">
        <f aca="false">IFERROR(
LEFT(AD497,FIND(":",AD497)-1)
+ MID(AD497,FIND(":",AD497)+1,2)/24
+ RIGHT(AD497,2)/1440,
"")</f>
        <v>0</v>
      </c>
      <c r="AF497" s="4" t="str">
        <f aca="false">INT((X497+Y497)-(B497+C497)) &amp; ":" &amp;
TEXT(HOUR((X497+Y497)-(B497+C497)), "00") &amp; ":" &amp;
TEXT(MINUTE((X497+Y497)-(B497+C497)), "00")</f>
        <v>0:00:00</v>
      </c>
      <c r="AG497" s="4" t="e">
        <f aca="false" t="array" ref="AG497:AG497">INT(_xlfn.XLOOKUP(J497,{"Low","Medium","High","Urgent"},{48,24,12,8})/24) &amp; ":" &amp;
TEXT(MOD(_xlfn.XLOOKUP(J497,{"Low","Medium","High","Urgent"},{48,24,12,8}),24)/24,"hh:mm")</f>
        <v>#N/A</v>
      </c>
      <c r="AH497" s="4" t="e">
        <f aca="false">IF(AD497&gt;AG497,"Not Met","Met")</f>
        <v>#N/A</v>
      </c>
      <c r="AI497" s="4" t="e">
        <f aca="false">IF(AB497&lt;TIME(0,30,0),"Met","Not Met")</f>
        <v>#REF!</v>
      </c>
      <c r="AN497" s="1" t="str">
        <f aca="false">TEXT(B497,"dd")</f>
        <v>30</v>
      </c>
      <c r="AO497" s="1" t="str">
        <f aca="false">TEXT(X497,"dd")</f>
        <v>30</v>
      </c>
      <c r="AP497" s="16" t="str">
        <f aca="false">INT(
  NETWORKDAYS(B497,V497)-1
  + IF(WEEKDAY(V497,2)&lt;6,MOD(V497+W497,1),0)
  - IF(WEEKDAY(B497,2)&lt;6,MOD(B497+C497,1),0)
)
&amp; ":" &amp;
TEXT(HOUR(
  NETWORKDAYS(B497,V497)-1
  + IF(WEEKDAY(V497,2)&lt;6,MOD(V497+W497,1),0)
  - IF(WEEKDAY(B497,2)&lt;6,MOD(B497+C497,1),0)
),"00")
&amp; ":" &amp;
TEXT(MINUTE(
  NETWORKDAYS(B497,V497)-1
  + IF(WEEKDAY(V497,2)&lt;6,MOD(V497+W497,1),0)
  - IF(WEEKDAY(B497,2)&lt;6,MOD(B497+C497,1),0)
),"00")</f>
        <v>-1:00:00</v>
      </c>
      <c r="AQ497" s="0" t="n">
        <f aca="false">IFERROR(
LEFT(AP497,FIND(":",AP497)-1)
+ MID(AP497,FIND(":",AP497)+1,2)/24
+ RIGHT(AP497,2)/1440,
"")</f>
        <v>-1</v>
      </c>
      <c r="AR497" s="0" t="n">
        <f aca="false">WEEKNUM(B497,1)</f>
        <v>52</v>
      </c>
      <c r="AS497" s="17" t="str">
        <f aca="false">IF(B497&gt;0, (B497+C497)-TIME(13,30,0), "")</f>
        <v/>
      </c>
      <c r="AT497" s="18" t="str">
        <f aca="false">IF(B497&gt;0, (B497+C497)-TIME(13,30,0), "")</f>
        <v/>
      </c>
      <c r="AU497" s="17" t="str">
        <f aca="false">IF(V497&gt;0, (V497+W497)-TIME(13,30,0), "")</f>
        <v/>
      </c>
      <c r="AV497" s="18" t="str">
        <f aca="false">IF(V497&gt;0, (V497+W497)-TIME(13,30,0), "")</f>
        <v/>
      </c>
    </row>
    <row r="498" customFormat="false" ht="15" hidden="false" customHeight="false" outlineLevel="0" collapsed="false">
      <c r="AB498" s="2" t="e">
        <f aca="false">U498-#REF!</f>
        <v>#REF!</v>
      </c>
      <c r="AC498" s="14" t="n">
        <f aca="false">(V498+W498)-(B498+C498)</f>
        <v>0</v>
      </c>
      <c r="AD498" s="4" t="str">
        <f aca="false">INT((V498+W498)-(B498+C498)) &amp; ":" &amp;
TEXT(HOUR((V498+W498)-(B498+C498)), "00") &amp; ":" &amp;
TEXT(MINUTE((V498+W498)-(B498+C498)), "00")</f>
        <v>0:00:00</v>
      </c>
      <c r="AE498" s="1" t="n">
        <f aca="false">IFERROR(
LEFT(AD498,FIND(":",AD498)-1)
+ MID(AD498,FIND(":",AD498)+1,2)/24
+ RIGHT(AD498,2)/1440,
"")</f>
        <v>0</v>
      </c>
      <c r="AF498" s="4" t="str">
        <f aca="false">INT((X498+Y498)-(B498+C498)) &amp; ":" &amp;
TEXT(HOUR((X498+Y498)-(B498+C498)), "00") &amp; ":" &amp;
TEXT(MINUTE((X498+Y498)-(B498+C498)), "00")</f>
        <v>0:00:00</v>
      </c>
      <c r="AG498" s="4" t="e">
        <f aca="false" t="array" ref="AG498:AG498">INT(_xlfn.XLOOKUP(J498,{"Low","Medium","High","Urgent"},{48,24,12,8})/24) &amp; ":" &amp;
TEXT(MOD(_xlfn.XLOOKUP(J498,{"Low","Medium","High","Urgent"},{48,24,12,8}),24)/24,"hh:mm")</f>
        <v>#N/A</v>
      </c>
      <c r="AH498" s="4" t="e">
        <f aca="false">IF(AD498&gt;AG498,"Not Met","Met")</f>
        <v>#N/A</v>
      </c>
      <c r="AI498" s="4" t="e">
        <f aca="false">IF(AB498&lt;TIME(0,30,0),"Met","Not Met")</f>
        <v>#REF!</v>
      </c>
      <c r="AN498" s="1" t="str">
        <f aca="false">TEXT(B498,"dd")</f>
        <v>30</v>
      </c>
      <c r="AO498" s="1" t="str">
        <f aca="false">TEXT(X498,"dd")</f>
        <v>30</v>
      </c>
      <c r="AP498" s="16" t="str">
        <f aca="false">INT(
  NETWORKDAYS(B498,V498)-1
  + IF(WEEKDAY(V498,2)&lt;6,MOD(V498+W498,1),0)
  - IF(WEEKDAY(B498,2)&lt;6,MOD(B498+C498,1),0)
)
&amp; ":" &amp;
TEXT(HOUR(
  NETWORKDAYS(B498,V498)-1
  + IF(WEEKDAY(V498,2)&lt;6,MOD(V498+W498,1),0)
  - IF(WEEKDAY(B498,2)&lt;6,MOD(B498+C498,1),0)
),"00")
&amp; ":" &amp;
TEXT(MINUTE(
  NETWORKDAYS(B498,V498)-1
  + IF(WEEKDAY(V498,2)&lt;6,MOD(V498+W498,1),0)
  - IF(WEEKDAY(B498,2)&lt;6,MOD(B498+C498,1),0)
),"00")</f>
        <v>-1:00:00</v>
      </c>
      <c r="AQ498" s="0" t="n">
        <f aca="false">IFERROR(
LEFT(AP498,FIND(":",AP498)-1)
+ MID(AP498,FIND(":",AP498)+1,2)/24
+ RIGHT(AP498,2)/1440,
"")</f>
        <v>-1</v>
      </c>
      <c r="AR498" s="0" t="n">
        <f aca="false">WEEKNUM(B498,1)</f>
        <v>52</v>
      </c>
      <c r="AS498" s="17" t="str">
        <f aca="false">IF(B498&gt;0, (B498+C498)-TIME(13,30,0), "")</f>
        <v/>
      </c>
      <c r="AT498" s="18" t="str">
        <f aca="false">IF(B498&gt;0, (B498+C498)-TIME(13,30,0), "")</f>
        <v/>
      </c>
      <c r="AU498" s="17" t="str">
        <f aca="false">IF(V498&gt;0, (V498+W498)-TIME(13,30,0), "")</f>
        <v/>
      </c>
      <c r="AV498" s="18" t="str">
        <f aca="false">IF(V498&gt;0, (V498+W498)-TIME(13,30,0), "")</f>
        <v/>
      </c>
    </row>
    <row r="499" customFormat="false" ht="15" hidden="false" customHeight="false" outlineLevel="0" collapsed="false">
      <c r="AB499" s="2" t="e">
        <f aca="false">U499-#REF!</f>
        <v>#REF!</v>
      </c>
      <c r="AC499" s="14" t="n">
        <f aca="false">(V499+W499)-(B499+C499)</f>
        <v>0</v>
      </c>
      <c r="AD499" s="4" t="str">
        <f aca="false">INT((V499+W499)-(B499+C499)) &amp; ":" &amp;
TEXT(HOUR((V499+W499)-(B499+C499)), "00") &amp; ":" &amp;
TEXT(MINUTE((V499+W499)-(B499+C499)), "00")</f>
        <v>0:00:00</v>
      </c>
      <c r="AE499" s="1" t="n">
        <f aca="false">IFERROR(
LEFT(AD499,FIND(":",AD499)-1)
+ MID(AD499,FIND(":",AD499)+1,2)/24
+ RIGHT(AD499,2)/1440,
"")</f>
        <v>0</v>
      </c>
      <c r="AF499" s="4" t="str">
        <f aca="false">INT((X499+Y499)-(B499+C499)) &amp; ":" &amp;
TEXT(HOUR((X499+Y499)-(B499+C499)), "00") &amp; ":" &amp;
TEXT(MINUTE((X499+Y499)-(B499+C499)), "00")</f>
        <v>0:00:00</v>
      </c>
      <c r="AG499" s="4" t="e">
        <f aca="false" t="array" ref="AG499:AG499">INT(_xlfn.XLOOKUP(J499,{"Low","Medium","High","Urgent"},{48,24,12,8})/24) &amp; ":" &amp;
TEXT(MOD(_xlfn.XLOOKUP(J499,{"Low","Medium","High","Urgent"},{48,24,12,8}),24)/24,"hh:mm")</f>
        <v>#N/A</v>
      </c>
      <c r="AH499" s="4" t="e">
        <f aca="false">IF(AD499&gt;AG499,"Not Met","Met")</f>
        <v>#N/A</v>
      </c>
      <c r="AI499" s="4" t="e">
        <f aca="false">IF(AB499&lt;TIME(0,30,0),"Met","Not Met")</f>
        <v>#REF!</v>
      </c>
      <c r="AN499" s="1" t="str">
        <f aca="false">TEXT(B499,"dd")</f>
        <v>30</v>
      </c>
      <c r="AO499" s="1" t="str">
        <f aca="false">TEXT(X499,"dd")</f>
        <v>30</v>
      </c>
      <c r="AP499" s="16" t="str">
        <f aca="false">INT(
  NETWORKDAYS(B499,V499)-1
  + IF(WEEKDAY(V499,2)&lt;6,MOD(V499+W499,1),0)
  - IF(WEEKDAY(B499,2)&lt;6,MOD(B499+C499,1),0)
)
&amp; ":" &amp;
TEXT(HOUR(
  NETWORKDAYS(B499,V499)-1
  + IF(WEEKDAY(V499,2)&lt;6,MOD(V499+W499,1),0)
  - IF(WEEKDAY(B499,2)&lt;6,MOD(B499+C499,1),0)
),"00")
&amp; ":" &amp;
TEXT(MINUTE(
  NETWORKDAYS(B499,V499)-1
  + IF(WEEKDAY(V499,2)&lt;6,MOD(V499+W499,1),0)
  - IF(WEEKDAY(B499,2)&lt;6,MOD(B499+C499,1),0)
),"00")</f>
        <v>-1:00:00</v>
      </c>
      <c r="AQ499" s="0" t="n">
        <f aca="false">IFERROR(
LEFT(AP499,FIND(":",AP499)-1)
+ MID(AP499,FIND(":",AP499)+1,2)/24
+ RIGHT(AP499,2)/1440,
"")</f>
        <v>-1</v>
      </c>
      <c r="AR499" s="0" t="n">
        <f aca="false">WEEKNUM(B499,1)</f>
        <v>52</v>
      </c>
      <c r="AS499" s="17" t="str">
        <f aca="false">IF(B499&gt;0, (B499+C499)-TIME(13,30,0), "")</f>
        <v/>
      </c>
      <c r="AT499" s="18" t="str">
        <f aca="false">IF(B499&gt;0, (B499+C499)-TIME(13,30,0), "")</f>
        <v/>
      </c>
      <c r="AU499" s="17" t="str">
        <f aca="false">IF(V499&gt;0, (V499+W499)-TIME(13,30,0), "")</f>
        <v/>
      </c>
      <c r="AV499" s="18" t="str">
        <f aca="false">IF(V499&gt;0, (V499+W499)-TIME(13,30,0), "")</f>
        <v/>
      </c>
    </row>
    <row r="500" customFormat="false" ht="15" hidden="false" customHeight="false" outlineLevel="0" collapsed="false">
      <c r="AB500" s="2" t="e">
        <f aca="false">U500-#REF!</f>
        <v>#REF!</v>
      </c>
      <c r="AC500" s="14" t="n">
        <f aca="false">(V500+W500)-(B500+C500)</f>
        <v>0</v>
      </c>
      <c r="AD500" s="4" t="str">
        <f aca="false">INT((V500+W500)-(B500+C500)) &amp; ":" &amp;
TEXT(HOUR((V500+W500)-(B500+C500)), "00") &amp; ":" &amp;
TEXT(MINUTE((V500+W500)-(B500+C500)), "00")</f>
        <v>0:00:00</v>
      </c>
      <c r="AE500" s="1" t="n">
        <f aca="false">IFERROR(
LEFT(AD500,FIND(":",AD500)-1)
+ MID(AD500,FIND(":",AD500)+1,2)/24
+ RIGHT(AD500,2)/1440,
"")</f>
        <v>0</v>
      </c>
      <c r="AF500" s="4" t="str">
        <f aca="false">INT((X500+Y500)-(B500+C500)) &amp; ":" &amp;
TEXT(HOUR((X500+Y500)-(B500+C500)), "00") &amp; ":" &amp;
TEXT(MINUTE((X500+Y500)-(B500+C500)), "00")</f>
        <v>0:00:00</v>
      </c>
      <c r="AG500" s="4" t="e">
        <f aca="false" t="array" ref="AG500:AG500">INT(_xlfn.XLOOKUP(J500,{"Low","Medium","High","Urgent"},{48,24,12,8})/24) &amp; ":" &amp;
TEXT(MOD(_xlfn.XLOOKUP(J500,{"Low","Medium","High","Urgent"},{48,24,12,8}),24)/24,"hh:mm")</f>
        <v>#N/A</v>
      </c>
      <c r="AH500" s="4" t="e">
        <f aca="false">IF(AD500&gt;AG500,"Not Met","Met")</f>
        <v>#N/A</v>
      </c>
      <c r="AI500" s="4" t="e">
        <f aca="false">IF(AB500&lt;TIME(0,30,0),"Met","Not Met")</f>
        <v>#REF!</v>
      </c>
      <c r="AN500" s="1" t="str">
        <f aca="false">TEXT(B500,"dd")</f>
        <v>30</v>
      </c>
      <c r="AO500" s="1" t="str">
        <f aca="false">TEXT(X500,"dd")</f>
        <v>30</v>
      </c>
      <c r="AP500" s="16" t="str">
        <f aca="false">INT(
  NETWORKDAYS(B500,V500)-1
  + IF(WEEKDAY(V500,2)&lt;6,MOD(V500+W500,1),0)
  - IF(WEEKDAY(B500,2)&lt;6,MOD(B500+C500,1),0)
)
&amp; ":" &amp;
TEXT(HOUR(
  NETWORKDAYS(B500,V500)-1
  + IF(WEEKDAY(V500,2)&lt;6,MOD(V500+W500,1),0)
  - IF(WEEKDAY(B500,2)&lt;6,MOD(B500+C500,1),0)
),"00")
&amp; ":" &amp;
TEXT(MINUTE(
  NETWORKDAYS(B500,V500)-1
  + IF(WEEKDAY(V500,2)&lt;6,MOD(V500+W500,1),0)
  - IF(WEEKDAY(B500,2)&lt;6,MOD(B500+C500,1),0)
),"00")</f>
        <v>-1:00:00</v>
      </c>
      <c r="AQ500" s="0" t="n">
        <f aca="false">IFERROR(
LEFT(AP500,FIND(":",AP500)-1)
+ MID(AP500,FIND(":",AP500)+1,2)/24
+ RIGHT(AP500,2)/1440,
"")</f>
        <v>-1</v>
      </c>
      <c r="AR500" s="0" t="n">
        <f aca="false">WEEKNUM(B500,1)</f>
        <v>52</v>
      </c>
      <c r="AS500" s="17" t="str">
        <f aca="false">IF(B500&gt;0, (B500+C500)-TIME(13,30,0), "")</f>
        <v/>
      </c>
      <c r="AT500" s="18" t="str">
        <f aca="false">IF(B500&gt;0, (B500+C500)-TIME(13,30,0), "")</f>
        <v/>
      </c>
      <c r="AU500" s="17" t="str">
        <f aca="false">IF(V500&gt;0, (V500+W500)-TIME(13,30,0), "")</f>
        <v/>
      </c>
      <c r="AV500" s="18" t="str">
        <f aca="false">IF(V500&gt;0, (V500+W500)-TIME(13,30,0), "")</f>
        <v/>
      </c>
    </row>
    <row r="501" customFormat="false" ht="15" hidden="false" customHeight="false" outlineLevel="0" collapsed="false">
      <c r="AB501" s="2" t="e">
        <f aca="false">U501-#REF!</f>
        <v>#REF!</v>
      </c>
      <c r="AC501" s="14" t="n">
        <f aca="false">(V501+W501)-(B501+C501)</f>
        <v>0</v>
      </c>
      <c r="AD501" s="4" t="str">
        <f aca="false">INT((V501+W501)-(B501+C501)) &amp; ":" &amp;
TEXT(HOUR((V501+W501)-(B501+C501)), "00") &amp; ":" &amp;
TEXT(MINUTE((V501+W501)-(B501+C501)), "00")</f>
        <v>0:00:00</v>
      </c>
      <c r="AE501" s="1" t="n">
        <f aca="false">IFERROR(
LEFT(AD501,FIND(":",AD501)-1)
+ MID(AD501,FIND(":",AD501)+1,2)/24
+ RIGHT(AD501,2)/1440,
"")</f>
        <v>0</v>
      </c>
      <c r="AF501" s="4" t="str">
        <f aca="false">INT((X501+Y501)-(B501+C501)) &amp; ":" &amp;
TEXT(HOUR((X501+Y501)-(B501+C501)), "00") &amp; ":" &amp;
TEXT(MINUTE((X501+Y501)-(B501+C501)), "00")</f>
        <v>0:00:00</v>
      </c>
      <c r="AG501" s="4" t="e">
        <f aca="false" t="array" ref="AG501:AG501">INT(_xlfn.XLOOKUP(J501,{"Low","Medium","High","Urgent"},{48,24,12,8})/24) &amp; ":" &amp;
TEXT(MOD(_xlfn.XLOOKUP(J501,{"Low","Medium","High","Urgent"},{48,24,12,8}),24)/24,"hh:mm")</f>
        <v>#N/A</v>
      </c>
      <c r="AH501" s="4" t="e">
        <f aca="false">IF(AD501&gt;AG501,"Not Met","Met")</f>
        <v>#N/A</v>
      </c>
      <c r="AI501" s="4" t="e">
        <f aca="false">IF(AB501&lt;TIME(0,30,0),"Met","Not Met")</f>
        <v>#REF!</v>
      </c>
      <c r="AN501" s="1" t="str">
        <f aca="false">TEXT(B501,"dd")</f>
        <v>30</v>
      </c>
      <c r="AO501" s="1" t="str">
        <f aca="false">TEXT(X501,"dd")</f>
        <v>30</v>
      </c>
      <c r="AP501" s="16" t="str">
        <f aca="false">INT(
  NETWORKDAYS(B501,V501)-1
  + IF(WEEKDAY(V501,2)&lt;6,MOD(V501+W501,1),0)
  - IF(WEEKDAY(B501,2)&lt;6,MOD(B501+C501,1),0)
)
&amp; ":" &amp;
TEXT(HOUR(
  NETWORKDAYS(B501,V501)-1
  + IF(WEEKDAY(V501,2)&lt;6,MOD(V501+W501,1),0)
  - IF(WEEKDAY(B501,2)&lt;6,MOD(B501+C501,1),0)
),"00")
&amp; ":" &amp;
TEXT(MINUTE(
  NETWORKDAYS(B501,V501)-1
  + IF(WEEKDAY(V501,2)&lt;6,MOD(V501+W501,1),0)
  - IF(WEEKDAY(B501,2)&lt;6,MOD(B501+C501,1),0)
),"00")</f>
        <v>-1:00:00</v>
      </c>
      <c r="AQ501" s="0" t="n">
        <f aca="false">IFERROR(
LEFT(AP501,FIND(":",AP501)-1)
+ MID(AP501,FIND(":",AP501)+1,2)/24
+ RIGHT(AP501,2)/1440,
"")</f>
        <v>-1</v>
      </c>
      <c r="AR501" s="0" t="n">
        <f aca="false">WEEKNUM(B501,1)</f>
        <v>52</v>
      </c>
      <c r="AS501" s="17" t="str">
        <f aca="false">IF(B501&gt;0, (B501+C501)-TIME(13,30,0), "")</f>
        <v/>
      </c>
      <c r="AT501" s="18" t="str">
        <f aca="false">IF(B501&gt;0, (B501+C501)-TIME(13,30,0), "")</f>
        <v/>
      </c>
      <c r="AU501" s="17" t="str">
        <f aca="false">IF(V501&gt;0, (V501+W501)-TIME(13,30,0), "")</f>
        <v/>
      </c>
      <c r="AV501" s="18" t="str">
        <f aca="false">IF(V501&gt;0, (V501+W501)-TIME(13,30,0), "")</f>
        <v/>
      </c>
    </row>
    <row r="502" customFormat="false" ht="15" hidden="false" customHeight="false" outlineLevel="0" collapsed="false">
      <c r="AB502" s="2" t="e">
        <f aca="false">U502-#REF!</f>
        <v>#REF!</v>
      </c>
      <c r="AC502" s="14" t="n">
        <f aca="false">(V502+W502)-(B502+C502)</f>
        <v>0</v>
      </c>
      <c r="AD502" s="4" t="str">
        <f aca="false">INT((V502+W502)-(B502+C502)) &amp; ":" &amp;
TEXT(HOUR((V502+W502)-(B502+C502)), "00") &amp; ":" &amp;
TEXT(MINUTE((V502+W502)-(B502+C502)), "00")</f>
        <v>0:00:00</v>
      </c>
      <c r="AE502" s="1" t="n">
        <f aca="false">IFERROR(
LEFT(AD502,FIND(":",AD502)-1)
+ MID(AD502,FIND(":",AD502)+1,2)/24
+ RIGHT(AD502,2)/1440,
"")</f>
        <v>0</v>
      </c>
      <c r="AF502" s="4" t="str">
        <f aca="false">INT((X502+Y502)-(B502+C502)) &amp; ":" &amp;
TEXT(HOUR((X502+Y502)-(B502+C502)), "00") &amp; ":" &amp;
TEXT(MINUTE((X502+Y502)-(B502+C502)), "00")</f>
        <v>0:00:00</v>
      </c>
      <c r="AG502" s="4" t="e">
        <f aca="false" t="array" ref="AG502:AG502">INT(_xlfn.XLOOKUP(J502,{"Low","Medium","High","Urgent"},{48,24,12,8})/24) &amp; ":" &amp;
TEXT(MOD(_xlfn.XLOOKUP(J502,{"Low","Medium","High","Urgent"},{48,24,12,8}),24)/24,"hh:mm")</f>
        <v>#N/A</v>
      </c>
      <c r="AH502" s="4" t="e">
        <f aca="false">IF(AD502&gt;AG502,"Not Met","Met")</f>
        <v>#N/A</v>
      </c>
      <c r="AI502" s="4" t="e">
        <f aca="false">IF(AB502&lt;TIME(0,30,0),"Met","Not Met")</f>
        <v>#REF!</v>
      </c>
      <c r="AN502" s="1" t="str">
        <f aca="false">TEXT(B502,"dd")</f>
        <v>30</v>
      </c>
      <c r="AO502" s="1" t="str">
        <f aca="false">TEXT(X502,"dd")</f>
        <v>30</v>
      </c>
      <c r="AP502" s="16" t="str">
        <f aca="false">INT(
  NETWORKDAYS(B502,V502)-1
  + IF(WEEKDAY(V502,2)&lt;6,MOD(V502+W502,1),0)
  - IF(WEEKDAY(B502,2)&lt;6,MOD(B502+C502,1),0)
)
&amp; ":" &amp;
TEXT(HOUR(
  NETWORKDAYS(B502,V502)-1
  + IF(WEEKDAY(V502,2)&lt;6,MOD(V502+W502,1),0)
  - IF(WEEKDAY(B502,2)&lt;6,MOD(B502+C502,1),0)
),"00")
&amp; ":" &amp;
TEXT(MINUTE(
  NETWORKDAYS(B502,V502)-1
  + IF(WEEKDAY(V502,2)&lt;6,MOD(V502+W502,1),0)
  - IF(WEEKDAY(B502,2)&lt;6,MOD(B502+C502,1),0)
),"00")</f>
        <v>-1:00:00</v>
      </c>
      <c r="AQ502" s="0" t="n">
        <f aca="false">IFERROR(
LEFT(AP502,FIND(":",AP502)-1)
+ MID(AP502,FIND(":",AP502)+1,2)/24
+ RIGHT(AP502,2)/1440,
"")</f>
        <v>-1</v>
      </c>
      <c r="AR502" s="0" t="n">
        <f aca="false">WEEKNUM(B502,1)</f>
        <v>52</v>
      </c>
      <c r="AS502" s="17" t="str">
        <f aca="false">IF(B502&gt;0, (B502+C502)-TIME(13,30,0), "")</f>
        <v/>
      </c>
      <c r="AT502" s="18" t="str">
        <f aca="false">IF(B502&gt;0, (B502+C502)-TIME(13,30,0), "")</f>
        <v/>
      </c>
      <c r="AU502" s="17" t="str">
        <f aca="false">IF(V502&gt;0, (V502+W502)-TIME(13,30,0), "")</f>
        <v/>
      </c>
      <c r="AV502" s="18" t="str">
        <f aca="false">IF(V502&gt;0, (V502+W502)-TIME(13,30,0), "")</f>
        <v/>
      </c>
    </row>
    <row r="503" customFormat="false" ht="15" hidden="false" customHeight="false" outlineLevel="0" collapsed="false">
      <c r="AB503" s="2" t="e">
        <f aca="false">U503-#REF!</f>
        <v>#REF!</v>
      </c>
      <c r="AC503" s="14" t="n">
        <f aca="false">(V503+W503)-(B503+C503)</f>
        <v>0</v>
      </c>
      <c r="AD503" s="4" t="str">
        <f aca="false">INT((V503+W503)-(B503+C503)) &amp; ":" &amp;
TEXT(HOUR((V503+W503)-(B503+C503)), "00") &amp; ":" &amp;
TEXT(MINUTE((V503+W503)-(B503+C503)), "00")</f>
        <v>0:00:00</v>
      </c>
      <c r="AE503" s="1" t="n">
        <f aca="false">IFERROR(
LEFT(AD503,FIND(":",AD503)-1)
+ MID(AD503,FIND(":",AD503)+1,2)/24
+ RIGHT(AD503,2)/1440,
"")</f>
        <v>0</v>
      </c>
      <c r="AF503" s="4" t="str">
        <f aca="false">INT((X503+Y503)-(B503+C503)) &amp; ":" &amp;
TEXT(HOUR((X503+Y503)-(B503+C503)), "00") &amp; ":" &amp;
TEXT(MINUTE((X503+Y503)-(B503+C503)), "00")</f>
        <v>0:00:00</v>
      </c>
      <c r="AG503" s="4" t="e">
        <f aca="false" t="array" ref="AG503:AG503">INT(_xlfn.XLOOKUP(J503,{"Low","Medium","High","Urgent"},{48,24,12,8})/24) &amp; ":" &amp;
TEXT(MOD(_xlfn.XLOOKUP(J503,{"Low","Medium","High","Urgent"},{48,24,12,8}),24)/24,"hh:mm")</f>
        <v>#N/A</v>
      </c>
      <c r="AH503" s="4" t="e">
        <f aca="false">IF(AD503&gt;AG503,"Not Met","Met")</f>
        <v>#N/A</v>
      </c>
      <c r="AI503" s="4" t="e">
        <f aca="false">IF(AB503&lt;TIME(0,30,0),"Met","Not Met")</f>
        <v>#REF!</v>
      </c>
      <c r="AN503" s="1" t="str">
        <f aca="false">TEXT(B503,"dd")</f>
        <v>30</v>
      </c>
      <c r="AO503" s="1" t="str">
        <f aca="false">TEXT(X503,"dd")</f>
        <v>30</v>
      </c>
      <c r="AP503" s="16" t="str">
        <f aca="false">INT(
  NETWORKDAYS(B503,V503)-1
  + IF(WEEKDAY(V503,2)&lt;6,MOD(V503+W503,1),0)
  - IF(WEEKDAY(B503,2)&lt;6,MOD(B503+C503,1),0)
)
&amp; ":" &amp;
TEXT(HOUR(
  NETWORKDAYS(B503,V503)-1
  + IF(WEEKDAY(V503,2)&lt;6,MOD(V503+W503,1),0)
  - IF(WEEKDAY(B503,2)&lt;6,MOD(B503+C503,1),0)
),"00")
&amp; ":" &amp;
TEXT(MINUTE(
  NETWORKDAYS(B503,V503)-1
  + IF(WEEKDAY(V503,2)&lt;6,MOD(V503+W503,1),0)
  - IF(WEEKDAY(B503,2)&lt;6,MOD(B503+C503,1),0)
),"00")</f>
        <v>-1:00:00</v>
      </c>
      <c r="AQ503" s="0" t="n">
        <f aca="false">IFERROR(
LEFT(AP503,FIND(":",AP503)-1)
+ MID(AP503,FIND(":",AP503)+1,2)/24
+ RIGHT(AP503,2)/1440,
"")</f>
        <v>-1</v>
      </c>
      <c r="AR503" s="0" t="n">
        <f aca="false">WEEKNUM(B503,1)</f>
        <v>52</v>
      </c>
      <c r="AS503" s="17" t="str">
        <f aca="false">IF(B503&gt;0, (B503+C503)-TIME(13,30,0), "")</f>
        <v/>
      </c>
      <c r="AT503" s="18" t="str">
        <f aca="false">IF(B503&gt;0, (B503+C503)-TIME(13,30,0), "")</f>
        <v/>
      </c>
      <c r="AU503" s="17" t="str">
        <f aca="false">IF(V503&gt;0, (V503+W503)-TIME(13,30,0), "")</f>
        <v/>
      </c>
      <c r="AV503" s="18" t="str">
        <f aca="false">IF(V503&gt;0, (V503+W503)-TIME(13,30,0), "")</f>
        <v/>
      </c>
    </row>
    <row r="504" customFormat="false" ht="15" hidden="false" customHeight="false" outlineLevel="0" collapsed="false">
      <c r="AB504" s="2" t="e">
        <f aca="false">U504-#REF!</f>
        <v>#REF!</v>
      </c>
      <c r="AC504" s="14" t="n">
        <f aca="false">(V504+W504)-(B504+C504)</f>
        <v>0</v>
      </c>
      <c r="AD504" s="4" t="str">
        <f aca="false">INT((V504+W504)-(B504+C504)) &amp; ":" &amp;
TEXT(HOUR((V504+W504)-(B504+C504)), "00") &amp; ":" &amp;
TEXT(MINUTE((V504+W504)-(B504+C504)), "00")</f>
        <v>0:00:00</v>
      </c>
      <c r="AE504" s="1" t="n">
        <f aca="false">IFERROR(
LEFT(AD504,FIND(":",AD504)-1)
+ MID(AD504,FIND(":",AD504)+1,2)/24
+ RIGHT(AD504,2)/1440,
"")</f>
        <v>0</v>
      </c>
      <c r="AF504" s="4" t="str">
        <f aca="false">INT((X504+Y504)-(B504+C504)) &amp; ":" &amp;
TEXT(HOUR((X504+Y504)-(B504+C504)), "00") &amp; ":" &amp;
TEXT(MINUTE((X504+Y504)-(B504+C504)), "00")</f>
        <v>0:00:00</v>
      </c>
      <c r="AG504" s="4" t="e">
        <f aca="false" t="array" ref="AG504:AG504">INT(_xlfn.XLOOKUP(J504,{"Low","Medium","High","Urgent"},{48,24,12,8})/24) &amp; ":" &amp;
TEXT(MOD(_xlfn.XLOOKUP(J504,{"Low","Medium","High","Urgent"},{48,24,12,8}),24)/24,"hh:mm")</f>
        <v>#N/A</v>
      </c>
      <c r="AH504" s="4" t="e">
        <f aca="false">IF(AD504&gt;AG504,"Not Met","Met")</f>
        <v>#N/A</v>
      </c>
      <c r="AI504" s="4" t="e">
        <f aca="false">IF(AB504&lt;TIME(0,30,0),"Met","Not Met")</f>
        <v>#REF!</v>
      </c>
      <c r="AN504" s="1" t="str">
        <f aca="false">TEXT(B504,"dd")</f>
        <v>30</v>
      </c>
      <c r="AO504" s="1" t="str">
        <f aca="false">TEXT(X504,"dd")</f>
        <v>30</v>
      </c>
      <c r="AP504" s="16" t="str">
        <f aca="false">INT(
  NETWORKDAYS(B504,V504)-1
  + IF(WEEKDAY(V504,2)&lt;6,MOD(V504+W504,1),0)
  - IF(WEEKDAY(B504,2)&lt;6,MOD(B504+C504,1),0)
)
&amp; ":" &amp;
TEXT(HOUR(
  NETWORKDAYS(B504,V504)-1
  + IF(WEEKDAY(V504,2)&lt;6,MOD(V504+W504,1),0)
  - IF(WEEKDAY(B504,2)&lt;6,MOD(B504+C504,1),0)
),"00")
&amp; ":" &amp;
TEXT(MINUTE(
  NETWORKDAYS(B504,V504)-1
  + IF(WEEKDAY(V504,2)&lt;6,MOD(V504+W504,1),0)
  - IF(WEEKDAY(B504,2)&lt;6,MOD(B504+C504,1),0)
),"00")</f>
        <v>-1:00:00</v>
      </c>
      <c r="AQ504" s="0" t="n">
        <f aca="false">IFERROR(
LEFT(AP504,FIND(":",AP504)-1)
+ MID(AP504,FIND(":",AP504)+1,2)/24
+ RIGHT(AP504,2)/1440,
"")</f>
        <v>-1</v>
      </c>
      <c r="AR504" s="0" t="n">
        <f aca="false">WEEKNUM(B504,1)</f>
        <v>52</v>
      </c>
      <c r="AS504" s="17" t="str">
        <f aca="false">IF(B504&gt;0, (B504+C504)-TIME(13,30,0), "")</f>
        <v/>
      </c>
      <c r="AT504" s="18" t="str">
        <f aca="false">IF(B504&gt;0, (B504+C504)-TIME(13,30,0), "")</f>
        <v/>
      </c>
      <c r="AU504" s="17" t="str">
        <f aca="false">IF(V504&gt;0, (V504+W504)-TIME(13,30,0), "")</f>
        <v/>
      </c>
      <c r="AV504" s="18" t="str">
        <f aca="false">IF(V504&gt;0, (V504+W504)-TIME(13,30,0), "")</f>
        <v/>
      </c>
    </row>
    <row r="505" customFormat="false" ht="15" hidden="false" customHeight="false" outlineLevel="0" collapsed="false">
      <c r="AB505" s="2" t="e">
        <f aca="false">U505-#REF!</f>
        <v>#REF!</v>
      </c>
      <c r="AC505" s="14" t="n">
        <f aca="false">(V505+W505)-(B505+C505)</f>
        <v>0</v>
      </c>
      <c r="AD505" s="4" t="str">
        <f aca="false">INT((V505+W505)-(B505+C505)) &amp; ":" &amp;
TEXT(HOUR((V505+W505)-(B505+C505)), "00") &amp; ":" &amp;
TEXT(MINUTE((V505+W505)-(B505+C505)), "00")</f>
        <v>0:00:00</v>
      </c>
      <c r="AE505" s="1" t="n">
        <f aca="false">IFERROR(
LEFT(AD505,FIND(":",AD505)-1)
+ MID(AD505,FIND(":",AD505)+1,2)/24
+ RIGHT(AD505,2)/1440,
"")</f>
        <v>0</v>
      </c>
      <c r="AF505" s="4" t="str">
        <f aca="false">INT((X505+Y505)-(B505+C505)) &amp; ":" &amp;
TEXT(HOUR((X505+Y505)-(B505+C505)), "00") &amp; ":" &amp;
TEXT(MINUTE((X505+Y505)-(B505+C505)), "00")</f>
        <v>0:00:00</v>
      </c>
      <c r="AG505" s="4" t="e">
        <f aca="false" t="array" ref="AG505:AG505">INT(_xlfn.XLOOKUP(J505,{"Low","Medium","High","Urgent"},{48,24,12,8})/24) &amp; ":" &amp;
TEXT(MOD(_xlfn.XLOOKUP(J505,{"Low","Medium","High","Urgent"},{48,24,12,8}),24)/24,"hh:mm")</f>
        <v>#N/A</v>
      </c>
      <c r="AH505" s="4" t="e">
        <f aca="false">IF(AD505&gt;AG505,"Not Met","Met")</f>
        <v>#N/A</v>
      </c>
      <c r="AI505" s="4" t="e">
        <f aca="false">IF(AB505&lt;TIME(0,30,0),"Met","Not Met")</f>
        <v>#REF!</v>
      </c>
      <c r="AN505" s="1" t="str">
        <f aca="false">TEXT(B505,"dd")</f>
        <v>30</v>
      </c>
      <c r="AO505" s="1" t="str">
        <f aca="false">TEXT(X505,"dd")</f>
        <v>30</v>
      </c>
      <c r="AP505" s="16" t="str">
        <f aca="false">INT(
  NETWORKDAYS(B505,V505)-1
  + IF(WEEKDAY(V505,2)&lt;6,MOD(V505+W505,1),0)
  - IF(WEEKDAY(B505,2)&lt;6,MOD(B505+C505,1),0)
)
&amp; ":" &amp;
TEXT(HOUR(
  NETWORKDAYS(B505,V505)-1
  + IF(WEEKDAY(V505,2)&lt;6,MOD(V505+W505,1),0)
  - IF(WEEKDAY(B505,2)&lt;6,MOD(B505+C505,1),0)
),"00")
&amp; ":" &amp;
TEXT(MINUTE(
  NETWORKDAYS(B505,V505)-1
  + IF(WEEKDAY(V505,2)&lt;6,MOD(V505+W505,1),0)
  - IF(WEEKDAY(B505,2)&lt;6,MOD(B505+C505,1),0)
),"00")</f>
        <v>-1:00:00</v>
      </c>
      <c r="AQ505" s="0" t="n">
        <f aca="false">IFERROR(
LEFT(AP505,FIND(":",AP505)-1)
+ MID(AP505,FIND(":",AP505)+1,2)/24
+ RIGHT(AP505,2)/1440,
"")</f>
        <v>-1</v>
      </c>
      <c r="AR505" s="0" t="n">
        <f aca="false">WEEKNUM(B505,1)</f>
        <v>52</v>
      </c>
      <c r="AS505" s="17" t="str">
        <f aca="false">IF(B505&gt;0, (B505+C505)-TIME(13,30,0), "")</f>
        <v/>
      </c>
      <c r="AT505" s="18" t="str">
        <f aca="false">IF(B505&gt;0, (B505+C505)-TIME(13,30,0), "")</f>
        <v/>
      </c>
      <c r="AU505" s="17" t="str">
        <f aca="false">IF(V505&gt;0, (V505+W505)-TIME(13,30,0), "")</f>
        <v/>
      </c>
      <c r="AV505" s="18" t="str">
        <f aca="false">IF(V505&gt;0, (V505+W505)-TIME(13,30,0), "")</f>
        <v/>
      </c>
    </row>
    <row r="506" customFormat="false" ht="15" hidden="false" customHeight="false" outlineLevel="0" collapsed="false">
      <c r="AB506" s="2" t="e">
        <f aca="false">U506-#REF!</f>
        <v>#REF!</v>
      </c>
      <c r="AC506" s="14" t="n">
        <f aca="false">(V506+W506)-(B506+C506)</f>
        <v>0</v>
      </c>
      <c r="AD506" s="4" t="str">
        <f aca="false">INT((V506+W506)-(B506+C506)) &amp; ":" &amp;
TEXT(HOUR((V506+W506)-(B506+C506)), "00") &amp; ":" &amp;
TEXT(MINUTE((V506+W506)-(B506+C506)), "00")</f>
        <v>0:00:00</v>
      </c>
      <c r="AE506" s="1" t="n">
        <f aca="false">IFERROR(
LEFT(AD506,FIND(":",AD506)-1)
+ MID(AD506,FIND(":",AD506)+1,2)/24
+ RIGHT(AD506,2)/1440,
"")</f>
        <v>0</v>
      </c>
      <c r="AF506" s="4" t="str">
        <f aca="false">INT((X506+Y506)-(B506+C506)) &amp; ":" &amp;
TEXT(HOUR((X506+Y506)-(B506+C506)), "00") &amp; ":" &amp;
TEXT(MINUTE((X506+Y506)-(B506+C506)), "00")</f>
        <v>0:00:00</v>
      </c>
      <c r="AG506" s="4" t="e">
        <f aca="false" t="array" ref="AG506:AG506">INT(_xlfn.XLOOKUP(J506,{"Low","Medium","High","Urgent"},{48,24,12,8})/24) &amp; ":" &amp;
TEXT(MOD(_xlfn.XLOOKUP(J506,{"Low","Medium","High","Urgent"},{48,24,12,8}),24)/24,"hh:mm")</f>
        <v>#N/A</v>
      </c>
      <c r="AH506" s="4" t="e">
        <f aca="false">IF(AD506&gt;AG506,"Not Met","Met")</f>
        <v>#N/A</v>
      </c>
      <c r="AI506" s="4" t="e">
        <f aca="false">IF(AB506&lt;TIME(0,30,0),"Met","Not Met")</f>
        <v>#REF!</v>
      </c>
      <c r="AN506" s="1" t="str">
        <f aca="false">TEXT(B506,"dd")</f>
        <v>30</v>
      </c>
      <c r="AO506" s="1" t="str">
        <f aca="false">TEXT(X506,"dd")</f>
        <v>30</v>
      </c>
      <c r="AP506" s="16" t="str">
        <f aca="false">INT(
  NETWORKDAYS(B506,V506)-1
  + IF(WEEKDAY(V506,2)&lt;6,MOD(V506+W506,1),0)
  - IF(WEEKDAY(B506,2)&lt;6,MOD(B506+C506,1),0)
)
&amp; ":" &amp;
TEXT(HOUR(
  NETWORKDAYS(B506,V506)-1
  + IF(WEEKDAY(V506,2)&lt;6,MOD(V506+W506,1),0)
  - IF(WEEKDAY(B506,2)&lt;6,MOD(B506+C506,1),0)
),"00")
&amp; ":" &amp;
TEXT(MINUTE(
  NETWORKDAYS(B506,V506)-1
  + IF(WEEKDAY(V506,2)&lt;6,MOD(V506+W506,1),0)
  - IF(WEEKDAY(B506,2)&lt;6,MOD(B506+C506,1),0)
),"00")</f>
        <v>-1:00:00</v>
      </c>
      <c r="AQ506" s="0" t="n">
        <f aca="false">IFERROR(
LEFT(AP506,FIND(":",AP506)-1)
+ MID(AP506,FIND(":",AP506)+1,2)/24
+ RIGHT(AP506,2)/1440,
"")</f>
        <v>-1</v>
      </c>
      <c r="AR506" s="0" t="n">
        <f aca="false">WEEKNUM(B506,1)</f>
        <v>52</v>
      </c>
      <c r="AS506" s="17" t="str">
        <f aca="false">IF(B506&gt;0, (B506+C506)-TIME(13,30,0), "")</f>
        <v/>
      </c>
      <c r="AT506" s="18" t="str">
        <f aca="false">IF(B506&gt;0, (B506+C506)-TIME(13,30,0), "")</f>
        <v/>
      </c>
      <c r="AU506" s="17" t="str">
        <f aca="false">IF(V506&gt;0, (V506+W506)-TIME(13,30,0), "")</f>
        <v/>
      </c>
      <c r="AV506" s="18" t="str">
        <f aca="false">IF(V506&gt;0, (V506+W506)-TIME(13,30,0), "")</f>
        <v/>
      </c>
    </row>
    <row r="507" customFormat="false" ht="15" hidden="false" customHeight="false" outlineLevel="0" collapsed="false">
      <c r="AB507" s="2" t="e">
        <f aca="false">U507-#REF!</f>
        <v>#REF!</v>
      </c>
      <c r="AC507" s="14" t="n">
        <f aca="false">(V507+W507)-(B507+C507)</f>
        <v>0</v>
      </c>
      <c r="AD507" s="4" t="str">
        <f aca="false">INT((V507+W507)-(B507+C507)) &amp; ":" &amp;
TEXT(HOUR((V507+W507)-(B507+C507)), "00") &amp; ":" &amp;
TEXT(MINUTE((V507+W507)-(B507+C507)), "00")</f>
        <v>0:00:00</v>
      </c>
      <c r="AE507" s="1" t="n">
        <f aca="false">IFERROR(
LEFT(AD507,FIND(":",AD507)-1)
+ MID(AD507,FIND(":",AD507)+1,2)/24
+ RIGHT(AD507,2)/1440,
"")</f>
        <v>0</v>
      </c>
      <c r="AF507" s="4" t="str">
        <f aca="false">INT((X507+Y507)-(B507+C507)) &amp; ":" &amp;
TEXT(HOUR((X507+Y507)-(B507+C507)), "00") &amp; ":" &amp;
TEXT(MINUTE((X507+Y507)-(B507+C507)), "00")</f>
        <v>0:00:00</v>
      </c>
      <c r="AG507" s="4" t="e">
        <f aca="false" t="array" ref="AG507:AG507">INT(_xlfn.XLOOKUP(J507,{"Low","Medium","High","Urgent"},{48,24,12,8})/24) &amp; ":" &amp;
TEXT(MOD(_xlfn.XLOOKUP(J507,{"Low","Medium","High","Urgent"},{48,24,12,8}),24)/24,"hh:mm")</f>
        <v>#N/A</v>
      </c>
      <c r="AH507" s="4" t="e">
        <f aca="false">IF(AD507&gt;AG507,"Not Met","Met")</f>
        <v>#N/A</v>
      </c>
      <c r="AI507" s="4" t="e">
        <f aca="false">IF(AB507&lt;TIME(0,30,0),"Met","Not Met")</f>
        <v>#REF!</v>
      </c>
      <c r="AN507" s="1" t="str">
        <f aca="false">TEXT(B507,"dd")</f>
        <v>30</v>
      </c>
      <c r="AO507" s="1" t="str">
        <f aca="false">TEXT(X507,"dd")</f>
        <v>30</v>
      </c>
      <c r="AP507" s="16" t="str">
        <f aca="false">INT(
  NETWORKDAYS(B507,V507)-1
  + IF(WEEKDAY(V507,2)&lt;6,MOD(V507+W507,1),0)
  - IF(WEEKDAY(B507,2)&lt;6,MOD(B507+C507,1),0)
)
&amp; ":" &amp;
TEXT(HOUR(
  NETWORKDAYS(B507,V507)-1
  + IF(WEEKDAY(V507,2)&lt;6,MOD(V507+W507,1),0)
  - IF(WEEKDAY(B507,2)&lt;6,MOD(B507+C507,1),0)
),"00")
&amp; ":" &amp;
TEXT(MINUTE(
  NETWORKDAYS(B507,V507)-1
  + IF(WEEKDAY(V507,2)&lt;6,MOD(V507+W507,1),0)
  - IF(WEEKDAY(B507,2)&lt;6,MOD(B507+C507,1),0)
),"00")</f>
        <v>-1:00:00</v>
      </c>
      <c r="AQ507" s="0" t="n">
        <f aca="false">IFERROR(
LEFT(AP507,FIND(":",AP507)-1)
+ MID(AP507,FIND(":",AP507)+1,2)/24
+ RIGHT(AP507,2)/1440,
"")</f>
        <v>-1</v>
      </c>
      <c r="AR507" s="0" t="n">
        <f aca="false">WEEKNUM(B507,1)</f>
        <v>52</v>
      </c>
      <c r="AS507" s="17" t="str">
        <f aca="false">IF(B507&gt;0, (B507+C507)-TIME(13,30,0), "")</f>
        <v/>
      </c>
      <c r="AT507" s="18" t="str">
        <f aca="false">IF(B507&gt;0, (B507+C507)-TIME(13,30,0), "")</f>
        <v/>
      </c>
      <c r="AU507" s="17" t="str">
        <f aca="false">IF(V507&gt;0, (V507+W507)-TIME(13,30,0), "")</f>
        <v/>
      </c>
      <c r="AV507" s="18" t="str">
        <f aca="false">IF(V507&gt;0, (V507+W507)-TIME(13,30,0), "")</f>
        <v/>
      </c>
    </row>
    <row r="508" customFormat="false" ht="15" hidden="false" customHeight="false" outlineLevel="0" collapsed="false">
      <c r="AB508" s="2" t="e">
        <f aca="false">U508-#REF!</f>
        <v>#REF!</v>
      </c>
      <c r="AC508" s="14" t="n">
        <f aca="false">(V508+W508)-(B508+C508)</f>
        <v>0</v>
      </c>
      <c r="AD508" s="4" t="str">
        <f aca="false">INT((V508+W508)-(B508+C508)) &amp; ":" &amp;
TEXT(HOUR((V508+W508)-(B508+C508)), "00") &amp; ":" &amp;
TEXT(MINUTE((V508+W508)-(B508+C508)), "00")</f>
        <v>0:00:00</v>
      </c>
      <c r="AE508" s="1" t="n">
        <f aca="false">IFERROR(
LEFT(AD508,FIND(":",AD508)-1)
+ MID(AD508,FIND(":",AD508)+1,2)/24
+ RIGHT(AD508,2)/1440,
"")</f>
        <v>0</v>
      </c>
      <c r="AF508" s="4" t="str">
        <f aca="false">INT((X508+Y508)-(B508+C508)) &amp; ":" &amp;
TEXT(HOUR((X508+Y508)-(B508+C508)), "00") &amp; ":" &amp;
TEXT(MINUTE((X508+Y508)-(B508+C508)), "00")</f>
        <v>0:00:00</v>
      </c>
      <c r="AG508" s="4" t="e">
        <f aca="false" t="array" ref="AG508:AG508">INT(_xlfn.XLOOKUP(J508,{"Low","Medium","High","Urgent"},{48,24,12,8})/24) &amp; ":" &amp;
TEXT(MOD(_xlfn.XLOOKUP(J508,{"Low","Medium","High","Urgent"},{48,24,12,8}),24)/24,"hh:mm")</f>
        <v>#N/A</v>
      </c>
      <c r="AH508" s="4" t="e">
        <f aca="false">IF(AD508&gt;AG508,"Not Met","Met")</f>
        <v>#N/A</v>
      </c>
      <c r="AI508" s="4" t="e">
        <f aca="false">IF(AB508&lt;TIME(0,30,0),"Met","Not Met")</f>
        <v>#REF!</v>
      </c>
      <c r="AN508" s="1" t="str">
        <f aca="false">TEXT(B508,"dd")</f>
        <v>30</v>
      </c>
      <c r="AO508" s="1" t="str">
        <f aca="false">TEXT(X508,"dd")</f>
        <v>30</v>
      </c>
      <c r="AP508" s="16" t="str">
        <f aca="false">INT(
  NETWORKDAYS(B508,V508)-1
  + IF(WEEKDAY(V508,2)&lt;6,MOD(V508+W508,1),0)
  - IF(WEEKDAY(B508,2)&lt;6,MOD(B508+C508,1),0)
)
&amp; ":" &amp;
TEXT(HOUR(
  NETWORKDAYS(B508,V508)-1
  + IF(WEEKDAY(V508,2)&lt;6,MOD(V508+W508,1),0)
  - IF(WEEKDAY(B508,2)&lt;6,MOD(B508+C508,1),0)
),"00")
&amp; ":" &amp;
TEXT(MINUTE(
  NETWORKDAYS(B508,V508)-1
  + IF(WEEKDAY(V508,2)&lt;6,MOD(V508+W508,1),0)
  - IF(WEEKDAY(B508,2)&lt;6,MOD(B508+C508,1),0)
),"00")</f>
        <v>-1:00:00</v>
      </c>
      <c r="AQ508" s="0" t="n">
        <f aca="false">IFERROR(
LEFT(AP508,FIND(":",AP508)-1)
+ MID(AP508,FIND(":",AP508)+1,2)/24
+ RIGHT(AP508,2)/1440,
"")</f>
        <v>-1</v>
      </c>
      <c r="AR508" s="0" t="n">
        <f aca="false">WEEKNUM(B508,1)</f>
        <v>52</v>
      </c>
      <c r="AS508" s="17" t="str">
        <f aca="false">IF(B508&gt;0, (B508+C508)-TIME(13,30,0), "")</f>
        <v/>
      </c>
      <c r="AT508" s="18" t="str">
        <f aca="false">IF(B508&gt;0, (B508+C508)-TIME(13,30,0), "")</f>
        <v/>
      </c>
      <c r="AU508" s="17" t="str">
        <f aca="false">IF(V508&gt;0, (V508+W508)-TIME(13,30,0), "")</f>
        <v/>
      </c>
      <c r="AV508" s="18" t="str">
        <f aca="false">IF(V508&gt;0, (V508+W508)-TIME(13,30,0), "")</f>
        <v/>
      </c>
    </row>
    <row r="509" customFormat="false" ht="15" hidden="false" customHeight="false" outlineLevel="0" collapsed="false">
      <c r="AB509" s="2" t="e">
        <f aca="false">U509-#REF!</f>
        <v>#REF!</v>
      </c>
      <c r="AC509" s="14" t="n">
        <f aca="false">(V509+W509)-(B509+C509)</f>
        <v>0</v>
      </c>
      <c r="AD509" s="4" t="str">
        <f aca="false">INT((V509+W509)-(B509+C509)) &amp; ":" &amp;
TEXT(HOUR((V509+W509)-(B509+C509)), "00") &amp; ":" &amp;
TEXT(MINUTE((V509+W509)-(B509+C509)), "00")</f>
        <v>0:00:00</v>
      </c>
      <c r="AE509" s="1" t="n">
        <f aca="false">IFERROR(
LEFT(AD509,FIND(":",AD509)-1)
+ MID(AD509,FIND(":",AD509)+1,2)/24
+ RIGHT(AD509,2)/1440,
"")</f>
        <v>0</v>
      </c>
      <c r="AF509" s="4" t="str">
        <f aca="false">INT((X509+Y509)-(B509+C509)) &amp; ":" &amp;
TEXT(HOUR((X509+Y509)-(B509+C509)), "00") &amp; ":" &amp;
TEXT(MINUTE((X509+Y509)-(B509+C509)), "00")</f>
        <v>0:00:00</v>
      </c>
      <c r="AG509" s="4" t="e">
        <f aca="false" t="array" ref="AG509:AG509">INT(_xlfn.XLOOKUP(J509,{"Low","Medium","High","Urgent"},{48,24,12,8})/24) &amp; ":" &amp;
TEXT(MOD(_xlfn.XLOOKUP(J509,{"Low","Medium","High","Urgent"},{48,24,12,8}),24)/24,"hh:mm")</f>
        <v>#N/A</v>
      </c>
      <c r="AH509" s="4" t="e">
        <f aca="false">IF(AD509&gt;AG509,"Not Met","Met")</f>
        <v>#N/A</v>
      </c>
      <c r="AI509" s="4" t="e">
        <f aca="false">IF(AB509&lt;TIME(0,30,0),"Met","Not Met")</f>
        <v>#REF!</v>
      </c>
      <c r="AN509" s="1" t="str">
        <f aca="false">TEXT(B509,"dd")</f>
        <v>30</v>
      </c>
      <c r="AO509" s="1" t="str">
        <f aca="false">TEXT(X509,"dd")</f>
        <v>30</v>
      </c>
      <c r="AP509" s="16" t="str">
        <f aca="false">INT(
  NETWORKDAYS(B509,V509)-1
  + IF(WEEKDAY(V509,2)&lt;6,MOD(V509+W509,1),0)
  - IF(WEEKDAY(B509,2)&lt;6,MOD(B509+C509,1),0)
)
&amp; ":" &amp;
TEXT(HOUR(
  NETWORKDAYS(B509,V509)-1
  + IF(WEEKDAY(V509,2)&lt;6,MOD(V509+W509,1),0)
  - IF(WEEKDAY(B509,2)&lt;6,MOD(B509+C509,1),0)
),"00")
&amp; ":" &amp;
TEXT(MINUTE(
  NETWORKDAYS(B509,V509)-1
  + IF(WEEKDAY(V509,2)&lt;6,MOD(V509+W509,1),0)
  - IF(WEEKDAY(B509,2)&lt;6,MOD(B509+C509,1),0)
),"00")</f>
        <v>-1:00:00</v>
      </c>
      <c r="AQ509" s="0" t="n">
        <f aca="false">IFERROR(
LEFT(AP509,FIND(":",AP509)-1)
+ MID(AP509,FIND(":",AP509)+1,2)/24
+ RIGHT(AP509,2)/1440,
"")</f>
        <v>-1</v>
      </c>
      <c r="AR509" s="0" t="n">
        <f aca="false">WEEKNUM(B509,1)</f>
        <v>52</v>
      </c>
      <c r="AS509" s="17" t="str">
        <f aca="false">IF(B509&gt;0, (B509+C509)-TIME(13,30,0), "")</f>
        <v/>
      </c>
      <c r="AT509" s="18" t="str">
        <f aca="false">IF(B509&gt;0, (B509+C509)-TIME(13,30,0), "")</f>
        <v/>
      </c>
      <c r="AU509" s="17" t="str">
        <f aca="false">IF(V509&gt;0, (V509+W509)-TIME(13,30,0), "")</f>
        <v/>
      </c>
      <c r="AV509" s="18" t="str">
        <f aca="false">IF(V509&gt;0, (V509+W509)-TIME(13,30,0), "")</f>
        <v/>
      </c>
    </row>
    <row r="510" customFormat="false" ht="15" hidden="false" customHeight="false" outlineLevel="0" collapsed="false">
      <c r="AB510" s="2" t="e">
        <f aca="false">U510-#REF!</f>
        <v>#REF!</v>
      </c>
      <c r="AC510" s="14" t="n">
        <f aca="false">(V510+W510)-(B510+C510)</f>
        <v>0</v>
      </c>
      <c r="AD510" s="4" t="str">
        <f aca="false">INT((V510+W510)-(B510+C510)) &amp; ":" &amp;
TEXT(HOUR((V510+W510)-(B510+C510)), "00") &amp; ":" &amp;
TEXT(MINUTE((V510+W510)-(B510+C510)), "00")</f>
        <v>0:00:00</v>
      </c>
      <c r="AE510" s="1" t="n">
        <f aca="false">IFERROR(
LEFT(AD510,FIND(":",AD510)-1)
+ MID(AD510,FIND(":",AD510)+1,2)/24
+ RIGHT(AD510,2)/1440,
"")</f>
        <v>0</v>
      </c>
      <c r="AF510" s="4" t="str">
        <f aca="false">INT((X510+Y510)-(B510+C510)) &amp; ":" &amp;
TEXT(HOUR((X510+Y510)-(B510+C510)), "00") &amp; ":" &amp;
TEXT(MINUTE((X510+Y510)-(B510+C510)), "00")</f>
        <v>0:00:00</v>
      </c>
      <c r="AG510" s="4" t="e">
        <f aca="false" t="array" ref="AG510:AG510">INT(_xlfn.XLOOKUP(J510,{"Low","Medium","High","Urgent"},{48,24,12,8})/24) &amp; ":" &amp;
TEXT(MOD(_xlfn.XLOOKUP(J510,{"Low","Medium","High","Urgent"},{48,24,12,8}),24)/24,"hh:mm")</f>
        <v>#N/A</v>
      </c>
      <c r="AH510" s="4" t="e">
        <f aca="false">IF(AD510&gt;AG510,"Not Met","Met")</f>
        <v>#N/A</v>
      </c>
      <c r="AI510" s="4" t="e">
        <f aca="false">IF(AB510&lt;TIME(0,30,0),"Met","Not Met")</f>
        <v>#REF!</v>
      </c>
      <c r="AN510" s="1" t="str">
        <f aca="false">TEXT(B510,"dd")</f>
        <v>30</v>
      </c>
      <c r="AO510" s="1" t="str">
        <f aca="false">TEXT(X510,"dd")</f>
        <v>30</v>
      </c>
      <c r="AP510" s="16" t="str">
        <f aca="false">INT(
  NETWORKDAYS(B510,V510)-1
  + IF(WEEKDAY(V510,2)&lt;6,MOD(V510+W510,1),0)
  - IF(WEEKDAY(B510,2)&lt;6,MOD(B510+C510,1),0)
)
&amp; ":" &amp;
TEXT(HOUR(
  NETWORKDAYS(B510,V510)-1
  + IF(WEEKDAY(V510,2)&lt;6,MOD(V510+W510,1),0)
  - IF(WEEKDAY(B510,2)&lt;6,MOD(B510+C510,1),0)
),"00")
&amp; ":" &amp;
TEXT(MINUTE(
  NETWORKDAYS(B510,V510)-1
  + IF(WEEKDAY(V510,2)&lt;6,MOD(V510+W510,1),0)
  - IF(WEEKDAY(B510,2)&lt;6,MOD(B510+C510,1),0)
),"00")</f>
        <v>-1:00:00</v>
      </c>
      <c r="AQ510" s="0" t="n">
        <f aca="false">IFERROR(
LEFT(AP510,FIND(":",AP510)-1)
+ MID(AP510,FIND(":",AP510)+1,2)/24
+ RIGHT(AP510,2)/1440,
"")</f>
        <v>-1</v>
      </c>
      <c r="AR510" s="0" t="n">
        <f aca="false">WEEKNUM(B510,1)</f>
        <v>52</v>
      </c>
      <c r="AS510" s="17" t="str">
        <f aca="false">IF(B510&gt;0, (B510+C510)-TIME(13,30,0), "")</f>
        <v/>
      </c>
      <c r="AT510" s="18" t="str">
        <f aca="false">IF(B510&gt;0, (B510+C510)-TIME(13,30,0), "")</f>
        <v/>
      </c>
      <c r="AU510" s="17" t="str">
        <f aca="false">IF(V510&gt;0, (V510+W510)-TIME(13,30,0), "")</f>
        <v/>
      </c>
      <c r="AV510" s="18" t="str">
        <f aca="false">IF(V510&gt;0, (V510+W510)-TIME(13,30,0), "")</f>
        <v/>
      </c>
    </row>
    <row r="511" customFormat="false" ht="15" hidden="false" customHeight="false" outlineLevel="0" collapsed="false">
      <c r="AB511" s="2" t="e">
        <f aca="false">U511-#REF!</f>
        <v>#REF!</v>
      </c>
      <c r="AC511" s="14" t="n">
        <f aca="false">(V511+W511)-(B511+C511)</f>
        <v>0</v>
      </c>
      <c r="AD511" s="4" t="str">
        <f aca="false">INT((V511+W511)-(B511+C511)) &amp; ":" &amp;
TEXT(HOUR((V511+W511)-(B511+C511)), "00") &amp; ":" &amp;
TEXT(MINUTE((V511+W511)-(B511+C511)), "00")</f>
        <v>0:00:00</v>
      </c>
      <c r="AE511" s="1" t="n">
        <f aca="false">IFERROR(
LEFT(AD511,FIND(":",AD511)-1)
+ MID(AD511,FIND(":",AD511)+1,2)/24
+ RIGHT(AD511,2)/1440,
"")</f>
        <v>0</v>
      </c>
      <c r="AF511" s="4" t="str">
        <f aca="false">INT((X511+Y511)-(B511+C511)) &amp; ":" &amp;
TEXT(HOUR((X511+Y511)-(B511+C511)), "00") &amp; ":" &amp;
TEXT(MINUTE((X511+Y511)-(B511+C511)), "00")</f>
        <v>0:00:00</v>
      </c>
      <c r="AG511" s="4" t="e">
        <f aca="false" t="array" ref="AG511:AG511">INT(_xlfn.XLOOKUP(J511,{"Low","Medium","High","Urgent"},{48,24,12,8})/24) &amp; ":" &amp;
TEXT(MOD(_xlfn.XLOOKUP(J511,{"Low","Medium","High","Urgent"},{48,24,12,8}),24)/24,"hh:mm")</f>
        <v>#N/A</v>
      </c>
      <c r="AH511" s="4" t="e">
        <f aca="false">IF(AD511&gt;AG511,"Not Met","Met")</f>
        <v>#N/A</v>
      </c>
      <c r="AI511" s="4" t="e">
        <f aca="false">IF(AB511&lt;TIME(0,30,0),"Met","Not Met")</f>
        <v>#REF!</v>
      </c>
      <c r="AN511" s="1" t="str">
        <f aca="false">TEXT(B511,"dd")</f>
        <v>30</v>
      </c>
      <c r="AO511" s="1" t="str">
        <f aca="false">TEXT(X511,"dd")</f>
        <v>30</v>
      </c>
      <c r="AP511" s="16" t="str">
        <f aca="false">INT(
  NETWORKDAYS(B511,V511)-1
  + IF(WEEKDAY(V511,2)&lt;6,MOD(V511+W511,1),0)
  - IF(WEEKDAY(B511,2)&lt;6,MOD(B511+C511,1),0)
)
&amp; ":" &amp;
TEXT(HOUR(
  NETWORKDAYS(B511,V511)-1
  + IF(WEEKDAY(V511,2)&lt;6,MOD(V511+W511,1),0)
  - IF(WEEKDAY(B511,2)&lt;6,MOD(B511+C511,1),0)
),"00")
&amp; ":" &amp;
TEXT(MINUTE(
  NETWORKDAYS(B511,V511)-1
  + IF(WEEKDAY(V511,2)&lt;6,MOD(V511+W511,1),0)
  - IF(WEEKDAY(B511,2)&lt;6,MOD(B511+C511,1),0)
),"00")</f>
        <v>-1:00:00</v>
      </c>
      <c r="AQ511" s="0" t="n">
        <f aca="false">IFERROR(
LEFT(AP511,FIND(":",AP511)-1)
+ MID(AP511,FIND(":",AP511)+1,2)/24
+ RIGHT(AP511,2)/1440,
"")</f>
        <v>-1</v>
      </c>
      <c r="AR511" s="0" t="n">
        <f aca="false">WEEKNUM(B511,1)</f>
        <v>52</v>
      </c>
      <c r="AS511" s="17" t="str">
        <f aca="false">IF(B511&gt;0, (B511+C511)-TIME(13,30,0), "")</f>
        <v/>
      </c>
      <c r="AT511" s="18" t="str">
        <f aca="false">IF(B511&gt;0, (B511+C511)-TIME(13,30,0), "")</f>
        <v/>
      </c>
      <c r="AU511" s="17" t="str">
        <f aca="false">IF(V511&gt;0, (V511+W511)-TIME(13,30,0), "")</f>
        <v/>
      </c>
      <c r="AV511" s="18" t="str">
        <f aca="false">IF(V511&gt;0, (V511+W511)-TIME(13,30,0), "")</f>
        <v/>
      </c>
    </row>
    <row r="512" customFormat="false" ht="15" hidden="false" customHeight="false" outlineLevel="0" collapsed="false">
      <c r="AB512" s="2" t="e">
        <f aca="false">U512-#REF!</f>
        <v>#REF!</v>
      </c>
      <c r="AC512" s="14" t="n">
        <f aca="false">(V512+W512)-(B512+C512)</f>
        <v>0</v>
      </c>
      <c r="AD512" s="4" t="str">
        <f aca="false">INT((V512+W512)-(B512+C512)) &amp; ":" &amp;
TEXT(HOUR((V512+W512)-(B512+C512)), "00") &amp; ":" &amp;
TEXT(MINUTE((V512+W512)-(B512+C512)), "00")</f>
        <v>0:00:00</v>
      </c>
      <c r="AE512" s="1" t="n">
        <f aca="false">IFERROR(
LEFT(AD512,FIND(":",AD512)-1)
+ MID(AD512,FIND(":",AD512)+1,2)/24
+ RIGHT(AD512,2)/1440,
"")</f>
        <v>0</v>
      </c>
      <c r="AF512" s="4" t="str">
        <f aca="false">INT((X512+Y512)-(B512+C512)) &amp; ":" &amp;
TEXT(HOUR((X512+Y512)-(B512+C512)), "00") &amp; ":" &amp;
TEXT(MINUTE((X512+Y512)-(B512+C512)), "00")</f>
        <v>0:00:00</v>
      </c>
      <c r="AG512" s="4" t="e">
        <f aca="false" t="array" ref="AG512:AG512">INT(_xlfn.XLOOKUP(J512,{"Low","Medium","High","Urgent"},{48,24,12,8})/24) &amp; ":" &amp;
TEXT(MOD(_xlfn.XLOOKUP(J512,{"Low","Medium","High","Urgent"},{48,24,12,8}),24)/24,"hh:mm")</f>
        <v>#N/A</v>
      </c>
      <c r="AH512" s="4" t="e">
        <f aca="false">IF(AD512&gt;AG512,"Not Met","Met")</f>
        <v>#N/A</v>
      </c>
      <c r="AI512" s="4" t="e">
        <f aca="false">IF(AB512&lt;TIME(0,30,0),"Met","Not Met")</f>
        <v>#REF!</v>
      </c>
      <c r="AN512" s="1" t="str">
        <f aca="false">TEXT(B512,"dd")</f>
        <v>30</v>
      </c>
      <c r="AO512" s="1" t="str">
        <f aca="false">TEXT(X512,"dd")</f>
        <v>30</v>
      </c>
      <c r="AP512" s="16" t="str">
        <f aca="false">INT(
  NETWORKDAYS(B512,V512)-1
  + IF(WEEKDAY(V512,2)&lt;6,MOD(V512+W512,1),0)
  - IF(WEEKDAY(B512,2)&lt;6,MOD(B512+C512,1),0)
)
&amp; ":" &amp;
TEXT(HOUR(
  NETWORKDAYS(B512,V512)-1
  + IF(WEEKDAY(V512,2)&lt;6,MOD(V512+W512,1),0)
  - IF(WEEKDAY(B512,2)&lt;6,MOD(B512+C512,1),0)
),"00")
&amp; ":" &amp;
TEXT(MINUTE(
  NETWORKDAYS(B512,V512)-1
  + IF(WEEKDAY(V512,2)&lt;6,MOD(V512+W512,1),0)
  - IF(WEEKDAY(B512,2)&lt;6,MOD(B512+C512,1),0)
),"00")</f>
        <v>-1:00:00</v>
      </c>
      <c r="AQ512" s="0" t="n">
        <f aca="false">IFERROR(
LEFT(AP512,FIND(":",AP512)-1)
+ MID(AP512,FIND(":",AP512)+1,2)/24
+ RIGHT(AP512,2)/1440,
"")</f>
        <v>-1</v>
      </c>
      <c r="AR512" s="0" t="n">
        <f aca="false">WEEKNUM(B512,1)</f>
        <v>52</v>
      </c>
      <c r="AS512" s="17" t="str">
        <f aca="false">IF(B512&gt;0, (B512+C512)-TIME(13,30,0), "")</f>
        <v/>
      </c>
      <c r="AT512" s="18" t="str">
        <f aca="false">IF(B512&gt;0, (B512+C512)-TIME(13,30,0), "")</f>
        <v/>
      </c>
      <c r="AU512" s="17" t="str">
        <f aca="false">IF(V512&gt;0, (V512+W512)-TIME(13,30,0), "")</f>
        <v/>
      </c>
      <c r="AV512" s="18" t="str">
        <f aca="false">IF(V512&gt;0, (V512+W512)-TIME(13,30,0), "")</f>
        <v/>
      </c>
    </row>
    <row r="513" customFormat="false" ht="15" hidden="false" customHeight="false" outlineLevel="0" collapsed="false">
      <c r="AB513" s="2" t="e">
        <f aca="false">U513-#REF!</f>
        <v>#REF!</v>
      </c>
      <c r="AC513" s="14" t="n">
        <f aca="false">(V513+W513)-(B513+C513)</f>
        <v>0</v>
      </c>
      <c r="AD513" s="4" t="str">
        <f aca="false">INT((V513+W513)-(B513+C513)) &amp; ":" &amp;
TEXT(HOUR((V513+W513)-(B513+C513)), "00") &amp; ":" &amp;
TEXT(MINUTE((V513+W513)-(B513+C513)), "00")</f>
        <v>0:00:00</v>
      </c>
      <c r="AE513" s="1" t="n">
        <f aca="false">IFERROR(
LEFT(AD513,FIND(":",AD513)-1)
+ MID(AD513,FIND(":",AD513)+1,2)/24
+ RIGHT(AD513,2)/1440,
"")</f>
        <v>0</v>
      </c>
      <c r="AF513" s="4" t="str">
        <f aca="false">INT((X513+Y513)-(B513+C513)) &amp; ":" &amp;
TEXT(HOUR((X513+Y513)-(B513+C513)), "00") &amp; ":" &amp;
TEXT(MINUTE((X513+Y513)-(B513+C513)), "00")</f>
        <v>0:00:00</v>
      </c>
      <c r="AG513" s="4" t="e">
        <f aca="false" t="array" ref="AG513:AG513">INT(_xlfn.XLOOKUP(J513,{"Low","Medium","High","Urgent"},{48,24,12,8})/24) &amp; ":" &amp;
TEXT(MOD(_xlfn.XLOOKUP(J513,{"Low","Medium","High","Urgent"},{48,24,12,8}),24)/24,"hh:mm")</f>
        <v>#N/A</v>
      </c>
      <c r="AH513" s="4" t="e">
        <f aca="false">IF(AD513&gt;AG513,"Not Met","Met")</f>
        <v>#N/A</v>
      </c>
      <c r="AI513" s="4" t="e">
        <f aca="false">IF(AB513&lt;TIME(0,30,0),"Met","Not Met")</f>
        <v>#REF!</v>
      </c>
      <c r="AN513" s="1" t="str">
        <f aca="false">TEXT(B513,"dd")</f>
        <v>30</v>
      </c>
      <c r="AO513" s="1" t="str">
        <f aca="false">TEXT(X513,"dd")</f>
        <v>30</v>
      </c>
      <c r="AP513" s="16" t="str">
        <f aca="false">INT(
  NETWORKDAYS(B513,V513)-1
  + IF(WEEKDAY(V513,2)&lt;6,MOD(V513+W513,1),0)
  - IF(WEEKDAY(B513,2)&lt;6,MOD(B513+C513,1),0)
)
&amp; ":" &amp;
TEXT(HOUR(
  NETWORKDAYS(B513,V513)-1
  + IF(WEEKDAY(V513,2)&lt;6,MOD(V513+W513,1),0)
  - IF(WEEKDAY(B513,2)&lt;6,MOD(B513+C513,1),0)
),"00")
&amp; ":" &amp;
TEXT(MINUTE(
  NETWORKDAYS(B513,V513)-1
  + IF(WEEKDAY(V513,2)&lt;6,MOD(V513+W513,1),0)
  - IF(WEEKDAY(B513,2)&lt;6,MOD(B513+C513,1),0)
),"00")</f>
        <v>-1:00:00</v>
      </c>
      <c r="AQ513" s="0" t="n">
        <f aca="false">IFERROR(
LEFT(AP513,FIND(":",AP513)-1)
+ MID(AP513,FIND(":",AP513)+1,2)/24
+ RIGHT(AP513,2)/1440,
"")</f>
        <v>-1</v>
      </c>
      <c r="AR513" s="0" t="n">
        <f aca="false">WEEKNUM(B513,1)</f>
        <v>52</v>
      </c>
      <c r="AS513" s="17" t="str">
        <f aca="false">IF(B513&gt;0, (B513+C513)-TIME(13,30,0), "")</f>
        <v/>
      </c>
      <c r="AT513" s="18" t="str">
        <f aca="false">IF(B513&gt;0, (B513+C513)-TIME(13,30,0), "")</f>
        <v/>
      </c>
      <c r="AU513" s="17" t="str">
        <f aca="false">IF(V513&gt;0, (V513+W513)-TIME(13,30,0), "")</f>
        <v/>
      </c>
      <c r="AV513" s="18" t="str">
        <f aca="false">IF(V513&gt;0, (V513+W513)-TIME(13,30,0), "")</f>
        <v/>
      </c>
    </row>
    <row r="514" customFormat="false" ht="15" hidden="false" customHeight="false" outlineLevel="0" collapsed="false">
      <c r="AB514" s="2" t="e">
        <f aca="false">U514-#REF!</f>
        <v>#REF!</v>
      </c>
      <c r="AC514" s="14" t="n">
        <f aca="false">(V514+W514)-(B514+C514)</f>
        <v>0</v>
      </c>
      <c r="AD514" s="4" t="str">
        <f aca="false">INT((V514+W514)-(B514+C514)) &amp; ":" &amp;
TEXT(HOUR((V514+W514)-(B514+C514)), "00") &amp; ":" &amp;
TEXT(MINUTE((V514+W514)-(B514+C514)), "00")</f>
        <v>0:00:00</v>
      </c>
      <c r="AE514" s="1" t="n">
        <f aca="false">IFERROR(
LEFT(AD514,FIND(":",AD514)-1)
+ MID(AD514,FIND(":",AD514)+1,2)/24
+ RIGHT(AD514,2)/1440,
"")</f>
        <v>0</v>
      </c>
      <c r="AF514" s="4" t="str">
        <f aca="false">INT((X514+Y514)-(B514+C514)) &amp; ":" &amp;
TEXT(HOUR((X514+Y514)-(B514+C514)), "00") &amp; ":" &amp;
TEXT(MINUTE((X514+Y514)-(B514+C514)), "00")</f>
        <v>0:00:00</v>
      </c>
      <c r="AG514" s="4" t="e">
        <f aca="false" t="array" ref="AG514:AG514">INT(_xlfn.XLOOKUP(J514,{"Low","Medium","High","Urgent"},{48,24,12,8})/24) &amp; ":" &amp;
TEXT(MOD(_xlfn.XLOOKUP(J514,{"Low","Medium","High","Urgent"},{48,24,12,8}),24)/24,"hh:mm")</f>
        <v>#N/A</v>
      </c>
      <c r="AH514" s="4" t="e">
        <f aca="false">IF(AD514&gt;AG514,"Not Met","Met")</f>
        <v>#N/A</v>
      </c>
      <c r="AI514" s="4" t="e">
        <f aca="false">IF(AB514&lt;TIME(0,30,0),"Met","Not Met")</f>
        <v>#REF!</v>
      </c>
      <c r="AN514" s="1" t="str">
        <f aca="false">TEXT(B514,"dd")</f>
        <v>30</v>
      </c>
      <c r="AO514" s="1" t="str">
        <f aca="false">TEXT(X514,"dd")</f>
        <v>30</v>
      </c>
      <c r="AP514" s="16" t="str">
        <f aca="false">INT(
  NETWORKDAYS(B514,V514)-1
  + IF(WEEKDAY(V514,2)&lt;6,MOD(V514+W514,1),0)
  - IF(WEEKDAY(B514,2)&lt;6,MOD(B514+C514,1),0)
)
&amp; ":" &amp;
TEXT(HOUR(
  NETWORKDAYS(B514,V514)-1
  + IF(WEEKDAY(V514,2)&lt;6,MOD(V514+W514,1),0)
  - IF(WEEKDAY(B514,2)&lt;6,MOD(B514+C514,1),0)
),"00")
&amp; ":" &amp;
TEXT(MINUTE(
  NETWORKDAYS(B514,V514)-1
  + IF(WEEKDAY(V514,2)&lt;6,MOD(V514+W514,1),0)
  - IF(WEEKDAY(B514,2)&lt;6,MOD(B514+C514,1),0)
),"00")</f>
        <v>-1:00:00</v>
      </c>
      <c r="AQ514" s="0" t="n">
        <f aca="false">IFERROR(
LEFT(AP514,FIND(":",AP514)-1)
+ MID(AP514,FIND(":",AP514)+1,2)/24
+ RIGHT(AP514,2)/1440,
"")</f>
        <v>-1</v>
      </c>
      <c r="AR514" s="0" t="n">
        <f aca="false">WEEKNUM(B514,1)</f>
        <v>52</v>
      </c>
      <c r="AS514" s="17" t="str">
        <f aca="false">IF(B514&gt;0, (B514+C514)-TIME(13,30,0), "")</f>
        <v/>
      </c>
      <c r="AT514" s="18" t="str">
        <f aca="false">IF(B514&gt;0, (B514+C514)-TIME(13,30,0), "")</f>
        <v/>
      </c>
      <c r="AU514" s="17" t="str">
        <f aca="false">IF(V514&gt;0, (V514+W514)-TIME(13,30,0), "")</f>
        <v/>
      </c>
      <c r="AV514" s="18" t="str">
        <f aca="false">IF(V514&gt;0, (V514+W514)-TIME(13,30,0), "")</f>
        <v/>
      </c>
    </row>
    <row r="515" customFormat="false" ht="15" hidden="false" customHeight="false" outlineLevel="0" collapsed="false">
      <c r="AB515" s="2" t="e">
        <f aca="false">U515-#REF!</f>
        <v>#REF!</v>
      </c>
      <c r="AC515" s="14" t="n">
        <f aca="false">(V515+W515)-(B515+C515)</f>
        <v>0</v>
      </c>
      <c r="AD515" s="4" t="str">
        <f aca="false">INT((V515+W515)-(B515+C515)) &amp; ":" &amp;
TEXT(HOUR((V515+W515)-(B515+C515)), "00") &amp; ":" &amp;
TEXT(MINUTE((V515+W515)-(B515+C515)), "00")</f>
        <v>0:00:00</v>
      </c>
      <c r="AE515" s="1" t="n">
        <f aca="false">IFERROR(
LEFT(AD515,FIND(":",AD515)-1)
+ MID(AD515,FIND(":",AD515)+1,2)/24
+ RIGHT(AD515,2)/1440,
"")</f>
        <v>0</v>
      </c>
      <c r="AF515" s="4" t="str">
        <f aca="false">INT((X515+Y515)-(B515+C515)) &amp; ":" &amp;
TEXT(HOUR((X515+Y515)-(B515+C515)), "00") &amp; ":" &amp;
TEXT(MINUTE((X515+Y515)-(B515+C515)), "00")</f>
        <v>0:00:00</v>
      </c>
      <c r="AG515" s="4" t="e">
        <f aca="false" t="array" ref="AG515:AG515">INT(_xlfn.XLOOKUP(J515,{"Low","Medium","High","Urgent"},{48,24,12,8})/24) &amp; ":" &amp;
TEXT(MOD(_xlfn.XLOOKUP(J515,{"Low","Medium","High","Urgent"},{48,24,12,8}),24)/24,"hh:mm")</f>
        <v>#N/A</v>
      </c>
      <c r="AH515" s="4" t="e">
        <f aca="false">IF(AD515&gt;AG515,"Not Met","Met")</f>
        <v>#N/A</v>
      </c>
      <c r="AI515" s="4" t="e">
        <f aca="false">IF(AB515&lt;TIME(0,30,0),"Met","Not Met")</f>
        <v>#REF!</v>
      </c>
      <c r="AN515" s="1" t="str">
        <f aca="false">TEXT(B515,"dd")</f>
        <v>30</v>
      </c>
      <c r="AO515" s="1" t="str">
        <f aca="false">TEXT(X515,"dd")</f>
        <v>30</v>
      </c>
      <c r="AP515" s="16" t="str">
        <f aca="false">INT(
  NETWORKDAYS(B515,V515)-1
  + IF(WEEKDAY(V515,2)&lt;6,MOD(V515+W515,1),0)
  - IF(WEEKDAY(B515,2)&lt;6,MOD(B515+C515,1),0)
)
&amp; ":" &amp;
TEXT(HOUR(
  NETWORKDAYS(B515,V515)-1
  + IF(WEEKDAY(V515,2)&lt;6,MOD(V515+W515,1),0)
  - IF(WEEKDAY(B515,2)&lt;6,MOD(B515+C515,1),0)
),"00")
&amp; ":" &amp;
TEXT(MINUTE(
  NETWORKDAYS(B515,V515)-1
  + IF(WEEKDAY(V515,2)&lt;6,MOD(V515+W515,1),0)
  - IF(WEEKDAY(B515,2)&lt;6,MOD(B515+C515,1),0)
),"00")</f>
        <v>-1:00:00</v>
      </c>
      <c r="AQ515" s="0" t="n">
        <f aca="false">IFERROR(
LEFT(AP515,FIND(":",AP515)-1)
+ MID(AP515,FIND(":",AP515)+1,2)/24
+ RIGHT(AP515,2)/1440,
"")</f>
        <v>-1</v>
      </c>
      <c r="AR515" s="0" t="n">
        <f aca="false">WEEKNUM(B515,1)</f>
        <v>52</v>
      </c>
      <c r="AS515" s="17" t="str">
        <f aca="false">IF(B515&gt;0, (B515+C515)-TIME(13,30,0), "")</f>
        <v/>
      </c>
      <c r="AT515" s="18" t="str">
        <f aca="false">IF(B515&gt;0, (B515+C515)-TIME(13,30,0), "")</f>
        <v/>
      </c>
      <c r="AU515" s="17" t="str">
        <f aca="false">IF(V515&gt;0, (V515+W515)-TIME(13,30,0), "")</f>
        <v/>
      </c>
      <c r="AV515" s="18" t="str">
        <f aca="false">IF(V515&gt;0, (V515+W515)-TIME(13,30,0), "")</f>
        <v/>
      </c>
    </row>
    <row r="516" customFormat="false" ht="15" hidden="false" customHeight="false" outlineLevel="0" collapsed="false">
      <c r="AB516" s="2" t="e">
        <f aca="false">U516-#REF!</f>
        <v>#REF!</v>
      </c>
      <c r="AC516" s="14" t="n">
        <f aca="false">(V516+W516)-(B516+C516)</f>
        <v>0</v>
      </c>
      <c r="AD516" s="4" t="str">
        <f aca="false">INT((V516+W516)-(B516+C516)) &amp; ":" &amp;
TEXT(HOUR((V516+W516)-(B516+C516)), "00") &amp; ":" &amp;
TEXT(MINUTE((V516+W516)-(B516+C516)), "00")</f>
        <v>0:00:00</v>
      </c>
      <c r="AE516" s="1" t="n">
        <f aca="false">IFERROR(
LEFT(AD516,FIND(":",AD516)-1)
+ MID(AD516,FIND(":",AD516)+1,2)/24
+ RIGHT(AD516,2)/1440,
"")</f>
        <v>0</v>
      </c>
      <c r="AF516" s="4" t="str">
        <f aca="false">INT((X516+Y516)-(B516+C516)) &amp; ":" &amp;
TEXT(HOUR((X516+Y516)-(B516+C516)), "00") &amp; ":" &amp;
TEXT(MINUTE((X516+Y516)-(B516+C516)), "00")</f>
        <v>0:00:00</v>
      </c>
      <c r="AG516" s="4" t="e">
        <f aca="false" t="array" ref="AG516:AG516">INT(_xlfn.XLOOKUP(J516,{"Low","Medium","High","Urgent"},{48,24,12,8})/24) &amp; ":" &amp;
TEXT(MOD(_xlfn.XLOOKUP(J516,{"Low","Medium","High","Urgent"},{48,24,12,8}),24)/24,"hh:mm")</f>
        <v>#N/A</v>
      </c>
      <c r="AH516" s="4" t="e">
        <f aca="false">IF(AD516&gt;AG516,"Not Met","Met")</f>
        <v>#N/A</v>
      </c>
      <c r="AI516" s="4" t="e">
        <f aca="false">IF(AB516&lt;TIME(0,30,0),"Met","Not Met")</f>
        <v>#REF!</v>
      </c>
      <c r="AN516" s="1" t="str">
        <f aca="false">TEXT(B516,"dd")</f>
        <v>30</v>
      </c>
      <c r="AO516" s="1" t="str">
        <f aca="false">TEXT(X516,"dd")</f>
        <v>30</v>
      </c>
      <c r="AP516" s="16" t="str">
        <f aca="false">INT(
  NETWORKDAYS(B516,V516)-1
  + IF(WEEKDAY(V516,2)&lt;6,MOD(V516+W516,1),0)
  - IF(WEEKDAY(B516,2)&lt;6,MOD(B516+C516,1),0)
)
&amp; ":" &amp;
TEXT(HOUR(
  NETWORKDAYS(B516,V516)-1
  + IF(WEEKDAY(V516,2)&lt;6,MOD(V516+W516,1),0)
  - IF(WEEKDAY(B516,2)&lt;6,MOD(B516+C516,1),0)
),"00")
&amp; ":" &amp;
TEXT(MINUTE(
  NETWORKDAYS(B516,V516)-1
  + IF(WEEKDAY(V516,2)&lt;6,MOD(V516+W516,1),0)
  - IF(WEEKDAY(B516,2)&lt;6,MOD(B516+C516,1),0)
),"00")</f>
        <v>-1:00:00</v>
      </c>
      <c r="AQ516" s="0" t="n">
        <f aca="false">IFERROR(
LEFT(AP516,FIND(":",AP516)-1)
+ MID(AP516,FIND(":",AP516)+1,2)/24
+ RIGHT(AP516,2)/1440,
"")</f>
        <v>-1</v>
      </c>
      <c r="AR516" s="0" t="n">
        <f aca="false">WEEKNUM(B516,1)</f>
        <v>52</v>
      </c>
      <c r="AS516" s="17" t="str">
        <f aca="false">IF(B516&gt;0, (B516+C516)-TIME(13,30,0), "")</f>
        <v/>
      </c>
      <c r="AT516" s="18" t="str">
        <f aca="false">IF(B516&gt;0, (B516+C516)-TIME(13,30,0), "")</f>
        <v/>
      </c>
      <c r="AU516" s="17" t="str">
        <f aca="false">IF(V516&gt;0, (V516+W516)-TIME(13,30,0), "")</f>
        <v/>
      </c>
      <c r="AV516" s="18" t="str">
        <f aca="false">IF(V516&gt;0, (V516+W516)-TIME(13,30,0), "")</f>
        <v/>
      </c>
    </row>
    <row r="517" customFormat="false" ht="15" hidden="false" customHeight="false" outlineLevel="0" collapsed="false">
      <c r="AB517" s="2" t="e">
        <f aca="false">U517-#REF!</f>
        <v>#REF!</v>
      </c>
      <c r="AC517" s="14" t="n">
        <f aca="false">(V517+W517)-(B517+C517)</f>
        <v>0</v>
      </c>
      <c r="AD517" s="4" t="str">
        <f aca="false">INT((V517+W517)-(B517+C517)) &amp; ":" &amp;
TEXT(HOUR((V517+W517)-(B517+C517)), "00") &amp; ":" &amp;
TEXT(MINUTE((V517+W517)-(B517+C517)), "00")</f>
        <v>0:00:00</v>
      </c>
      <c r="AE517" s="1" t="n">
        <f aca="false">IFERROR(
LEFT(AD517,FIND(":",AD517)-1)
+ MID(AD517,FIND(":",AD517)+1,2)/24
+ RIGHT(AD517,2)/1440,
"")</f>
        <v>0</v>
      </c>
      <c r="AF517" s="4" t="str">
        <f aca="false">INT((X517+Y517)-(B517+C517)) &amp; ":" &amp;
TEXT(HOUR((X517+Y517)-(B517+C517)), "00") &amp; ":" &amp;
TEXT(MINUTE((X517+Y517)-(B517+C517)), "00")</f>
        <v>0:00:00</v>
      </c>
      <c r="AG517" s="4" t="e">
        <f aca="false" t="array" ref="AG517:AG517">INT(_xlfn.XLOOKUP(J517,{"Low","Medium","High","Urgent"},{48,24,12,8})/24) &amp; ":" &amp;
TEXT(MOD(_xlfn.XLOOKUP(J517,{"Low","Medium","High","Urgent"},{48,24,12,8}),24)/24,"hh:mm")</f>
        <v>#N/A</v>
      </c>
      <c r="AH517" s="4" t="e">
        <f aca="false">IF(AD517&gt;AG517,"Not Met","Met")</f>
        <v>#N/A</v>
      </c>
      <c r="AI517" s="4" t="e">
        <f aca="false">IF(AB517&lt;TIME(0,30,0),"Met","Not Met")</f>
        <v>#REF!</v>
      </c>
      <c r="AN517" s="1" t="str">
        <f aca="false">TEXT(B517,"dd")</f>
        <v>30</v>
      </c>
      <c r="AO517" s="1" t="str">
        <f aca="false">TEXT(X517,"dd")</f>
        <v>30</v>
      </c>
      <c r="AP517" s="16" t="str">
        <f aca="false">INT(
  NETWORKDAYS(B517,V517)-1
  + IF(WEEKDAY(V517,2)&lt;6,MOD(V517+W517,1),0)
  - IF(WEEKDAY(B517,2)&lt;6,MOD(B517+C517,1),0)
)
&amp; ":" &amp;
TEXT(HOUR(
  NETWORKDAYS(B517,V517)-1
  + IF(WEEKDAY(V517,2)&lt;6,MOD(V517+W517,1),0)
  - IF(WEEKDAY(B517,2)&lt;6,MOD(B517+C517,1),0)
),"00")
&amp; ":" &amp;
TEXT(MINUTE(
  NETWORKDAYS(B517,V517)-1
  + IF(WEEKDAY(V517,2)&lt;6,MOD(V517+W517,1),0)
  - IF(WEEKDAY(B517,2)&lt;6,MOD(B517+C517,1),0)
),"00")</f>
        <v>-1:00:00</v>
      </c>
      <c r="AQ517" s="0" t="n">
        <f aca="false">IFERROR(
LEFT(AP517,FIND(":",AP517)-1)
+ MID(AP517,FIND(":",AP517)+1,2)/24
+ RIGHT(AP517,2)/1440,
"")</f>
        <v>-1</v>
      </c>
      <c r="AR517" s="0" t="n">
        <f aca="false">WEEKNUM(B517,1)</f>
        <v>52</v>
      </c>
      <c r="AS517" s="17" t="str">
        <f aca="false">IF(B517&gt;0, (B517+C517)-TIME(13,30,0), "")</f>
        <v/>
      </c>
      <c r="AT517" s="18" t="str">
        <f aca="false">IF(B517&gt;0, (B517+C517)-TIME(13,30,0), "")</f>
        <v/>
      </c>
      <c r="AU517" s="17" t="str">
        <f aca="false">IF(V517&gt;0, (V517+W517)-TIME(13,30,0), "")</f>
        <v/>
      </c>
      <c r="AV517" s="18" t="str">
        <f aca="false">IF(V517&gt;0, (V517+W517)-TIME(13,30,0), "")</f>
        <v/>
      </c>
    </row>
    <row r="518" customFormat="false" ht="15" hidden="false" customHeight="false" outlineLevel="0" collapsed="false">
      <c r="AB518" s="2" t="e">
        <f aca="false">U518-#REF!</f>
        <v>#REF!</v>
      </c>
      <c r="AC518" s="14" t="n">
        <f aca="false">(V518+W518)-(B518+C518)</f>
        <v>0</v>
      </c>
      <c r="AD518" s="4" t="str">
        <f aca="false">INT((V518+W518)-(B518+C518)) &amp; ":" &amp;
TEXT(HOUR((V518+W518)-(B518+C518)), "00") &amp; ":" &amp;
TEXT(MINUTE((V518+W518)-(B518+C518)), "00")</f>
        <v>0:00:00</v>
      </c>
      <c r="AE518" s="1" t="n">
        <f aca="false">IFERROR(
LEFT(AD518,FIND(":",AD518)-1)
+ MID(AD518,FIND(":",AD518)+1,2)/24
+ RIGHT(AD518,2)/1440,
"")</f>
        <v>0</v>
      </c>
      <c r="AF518" s="4" t="str">
        <f aca="false">INT((X518+Y518)-(B518+C518)) &amp; ":" &amp;
TEXT(HOUR((X518+Y518)-(B518+C518)), "00") &amp; ":" &amp;
TEXT(MINUTE((X518+Y518)-(B518+C518)), "00")</f>
        <v>0:00:00</v>
      </c>
      <c r="AG518" s="4" t="e">
        <f aca="false" t="array" ref="AG518:AG518">INT(_xlfn.XLOOKUP(J518,{"Low","Medium","High","Urgent"},{48,24,12,8})/24) &amp; ":" &amp;
TEXT(MOD(_xlfn.XLOOKUP(J518,{"Low","Medium","High","Urgent"},{48,24,12,8}),24)/24,"hh:mm")</f>
        <v>#N/A</v>
      </c>
      <c r="AH518" s="4" t="e">
        <f aca="false">IF(AD518&gt;AG518,"Not Met","Met")</f>
        <v>#N/A</v>
      </c>
      <c r="AI518" s="4" t="e">
        <f aca="false">IF(AB518&lt;TIME(0,30,0),"Met","Not Met")</f>
        <v>#REF!</v>
      </c>
      <c r="AN518" s="1" t="str">
        <f aca="false">TEXT(B518,"dd")</f>
        <v>30</v>
      </c>
      <c r="AO518" s="1" t="str">
        <f aca="false">TEXT(X518,"dd")</f>
        <v>30</v>
      </c>
      <c r="AP518" s="16" t="str">
        <f aca="false">INT(
  NETWORKDAYS(B518,V518)-1
  + IF(WEEKDAY(V518,2)&lt;6,MOD(V518+W518,1),0)
  - IF(WEEKDAY(B518,2)&lt;6,MOD(B518+C518,1),0)
)
&amp; ":" &amp;
TEXT(HOUR(
  NETWORKDAYS(B518,V518)-1
  + IF(WEEKDAY(V518,2)&lt;6,MOD(V518+W518,1),0)
  - IF(WEEKDAY(B518,2)&lt;6,MOD(B518+C518,1),0)
),"00")
&amp; ":" &amp;
TEXT(MINUTE(
  NETWORKDAYS(B518,V518)-1
  + IF(WEEKDAY(V518,2)&lt;6,MOD(V518+W518,1),0)
  - IF(WEEKDAY(B518,2)&lt;6,MOD(B518+C518,1),0)
),"00")</f>
        <v>-1:00:00</v>
      </c>
      <c r="AQ518" s="0" t="n">
        <f aca="false">IFERROR(
LEFT(AP518,FIND(":",AP518)-1)
+ MID(AP518,FIND(":",AP518)+1,2)/24
+ RIGHT(AP518,2)/1440,
"")</f>
        <v>-1</v>
      </c>
      <c r="AR518" s="0" t="n">
        <f aca="false">WEEKNUM(B518,1)</f>
        <v>52</v>
      </c>
      <c r="AS518" s="17" t="str">
        <f aca="false">IF(B518&gt;0, (B518+C518)-TIME(13,30,0), "")</f>
        <v/>
      </c>
      <c r="AT518" s="18" t="str">
        <f aca="false">IF(B518&gt;0, (B518+C518)-TIME(13,30,0), "")</f>
        <v/>
      </c>
      <c r="AU518" s="17" t="str">
        <f aca="false">IF(V518&gt;0, (V518+W518)-TIME(13,30,0), "")</f>
        <v/>
      </c>
      <c r="AV518" s="18" t="str">
        <f aca="false">IF(V518&gt;0, (V518+W518)-TIME(13,30,0), "")</f>
        <v/>
      </c>
    </row>
    <row r="519" customFormat="false" ht="15" hidden="false" customHeight="false" outlineLevel="0" collapsed="false">
      <c r="AB519" s="2" t="e">
        <f aca="false">U519-#REF!</f>
        <v>#REF!</v>
      </c>
      <c r="AC519" s="14" t="n">
        <f aca="false">(V519+W519)-(B519+C519)</f>
        <v>0</v>
      </c>
      <c r="AD519" s="4" t="str">
        <f aca="false">INT((V519+W519)-(B519+C519)) &amp; ":" &amp;
TEXT(HOUR((V519+W519)-(B519+C519)), "00") &amp; ":" &amp;
TEXT(MINUTE((V519+W519)-(B519+C519)), "00")</f>
        <v>0:00:00</v>
      </c>
      <c r="AE519" s="1" t="n">
        <f aca="false">IFERROR(
LEFT(AD519,FIND(":",AD519)-1)
+ MID(AD519,FIND(":",AD519)+1,2)/24
+ RIGHT(AD519,2)/1440,
"")</f>
        <v>0</v>
      </c>
      <c r="AF519" s="4" t="str">
        <f aca="false">INT((X519+Y519)-(B519+C519)) &amp; ":" &amp;
TEXT(HOUR((X519+Y519)-(B519+C519)), "00") &amp; ":" &amp;
TEXT(MINUTE((X519+Y519)-(B519+C519)), "00")</f>
        <v>0:00:00</v>
      </c>
      <c r="AG519" s="4" t="e">
        <f aca="false" t="array" ref="AG519:AG519">INT(_xlfn.XLOOKUP(J519,{"Low","Medium","High","Urgent"},{48,24,12,8})/24) &amp; ":" &amp;
TEXT(MOD(_xlfn.XLOOKUP(J519,{"Low","Medium","High","Urgent"},{48,24,12,8}),24)/24,"hh:mm")</f>
        <v>#N/A</v>
      </c>
      <c r="AH519" s="4" t="e">
        <f aca="false">IF(AD519&gt;AG519,"Not Met","Met")</f>
        <v>#N/A</v>
      </c>
      <c r="AI519" s="4" t="e">
        <f aca="false">IF(AB519&lt;TIME(0,30,0),"Met","Not Met")</f>
        <v>#REF!</v>
      </c>
      <c r="AN519" s="1" t="str">
        <f aca="false">TEXT(B519,"dd")</f>
        <v>30</v>
      </c>
      <c r="AO519" s="1" t="str">
        <f aca="false">TEXT(X519,"dd")</f>
        <v>30</v>
      </c>
      <c r="AP519" s="16" t="str">
        <f aca="false">INT(
  NETWORKDAYS(B519,V519)-1
  + IF(WEEKDAY(V519,2)&lt;6,MOD(V519+W519,1),0)
  - IF(WEEKDAY(B519,2)&lt;6,MOD(B519+C519,1),0)
)
&amp; ":" &amp;
TEXT(HOUR(
  NETWORKDAYS(B519,V519)-1
  + IF(WEEKDAY(V519,2)&lt;6,MOD(V519+W519,1),0)
  - IF(WEEKDAY(B519,2)&lt;6,MOD(B519+C519,1),0)
),"00")
&amp; ":" &amp;
TEXT(MINUTE(
  NETWORKDAYS(B519,V519)-1
  + IF(WEEKDAY(V519,2)&lt;6,MOD(V519+W519,1),0)
  - IF(WEEKDAY(B519,2)&lt;6,MOD(B519+C519,1),0)
),"00")</f>
        <v>-1:00:00</v>
      </c>
      <c r="AQ519" s="0" t="n">
        <f aca="false">IFERROR(
LEFT(AP519,FIND(":",AP519)-1)
+ MID(AP519,FIND(":",AP519)+1,2)/24
+ RIGHT(AP519,2)/1440,
"")</f>
        <v>-1</v>
      </c>
      <c r="AR519" s="0" t="n">
        <f aca="false">WEEKNUM(B519,1)</f>
        <v>52</v>
      </c>
      <c r="AS519" s="17" t="str">
        <f aca="false">IF(B519&gt;0, (B519+C519)-TIME(13,30,0), "")</f>
        <v/>
      </c>
      <c r="AT519" s="18" t="str">
        <f aca="false">IF(B519&gt;0, (B519+C519)-TIME(13,30,0), "")</f>
        <v/>
      </c>
      <c r="AU519" s="17" t="str">
        <f aca="false">IF(V519&gt;0, (V519+W519)-TIME(13,30,0), "")</f>
        <v/>
      </c>
      <c r="AV519" s="18" t="str">
        <f aca="false">IF(V519&gt;0, (V519+W519)-TIME(13,30,0), "")</f>
        <v/>
      </c>
    </row>
    <row r="520" customFormat="false" ht="15" hidden="false" customHeight="false" outlineLevel="0" collapsed="false">
      <c r="AB520" s="2" t="e">
        <f aca="false">U520-#REF!</f>
        <v>#REF!</v>
      </c>
      <c r="AC520" s="14" t="n">
        <f aca="false">(V520+W520)-(B520+C520)</f>
        <v>0</v>
      </c>
      <c r="AD520" s="4" t="str">
        <f aca="false">INT((V520+W520)-(B520+C520)) &amp; ":" &amp;
TEXT(HOUR((V520+W520)-(B520+C520)), "00") &amp; ":" &amp;
TEXT(MINUTE((V520+W520)-(B520+C520)), "00")</f>
        <v>0:00:00</v>
      </c>
      <c r="AE520" s="1" t="n">
        <f aca="false">IFERROR(
LEFT(AD520,FIND(":",AD520)-1)
+ MID(AD520,FIND(":",AD520)+1,2)/24
+ RIGHT(AD520,2)/1440,
"")</f>
        <v>0</v>
      </c>
      <c r="AF520" s="4" t="str">
        <f aca="false">INT((X520+Y520)-(B520+C520)) &amp; ":" &amp;
TEXT(HOUR((X520+Y520)-(B520+C520)), "00") &amp; ":" &amp;
TEXT(MINUTE((X520+Y520)-(B520+C520)), "00")</f>
        <v>0:00:00</v>
      </c>
      <c r="AG520" s="4" t="e">
        <f aca="false" t="array" ref="AG520:AG520">INT(_xlfn.XLOOKUP(J520,{"Low","Medium","High","Urgent"},{48,24,12,8})/24) &amp; ":" &amp;
TEXT(MOD(_xlfn.XLOOKUP(J520,{"Low","Medium","High","Urgent"},{48,24,12,8}),24)/24,"hh:mm")</f>
        <v>#N/A</v>
      </c>
      <c r="AH520" s="4" t="e">
        <f aca="false">IF(AD520&gt;AG520,"Not Met","Met")</f>
        <v>#N/A</v>
      </c>
      <c r="AI520" s="4" t="e">
        <f aca="false">IF(AB520&lt;TIME(0,30,0),"Met","Not Met")</f>
        <v>#REF!</v>
      </c>
      <c r="AN520" s="1" t="str">
        <f aca="false">TEXT(B520,"dd")</f>
        <v>30</v>
      </c>
      <c r="AO520" s="1" t="str">
        <f aca="false">TEXT(X520,"dd")</f>
        <v>30</v>
      </c>
      <c r="AP520" s="16" t="str">
        <f aca="false">INT(
  NETWORKDAYS(B520,V520)-1
  + IF(WEEKDAY(V520,2)&lt;6,MOD(V520+W520,1),0)
  - IF(WEEKDAY(B520,2)&lt;6,MOD(B520+C520,1),0)
)
&amp; ":" &amp;
TEXT(HOUR(
  NETWORKDAYS(B520,V520)-1
  + IF(WEEKDAY(V520,2)&lt;6,MOD(V520+W520,1),0)
  - IF(WEEKDAY(B520,2)&lt;6,MOD(B520+C520,1),0)
),"00")
&amp; ":" &amp;
TEXT(MINUTE(
  NETWORKDAYS(B520,V520)-1
  + IF(WEEKDAY(V520,2)&lt;6,MOD(V520+W520,1),0)
  - IF(WEEKDAY(B520,2)&lt;6,MOD(B520+C520,1),0)
),"00")</f>
        <v>-1:00:00</v>
      </c>
      <c r="AQ520" s="0" t="n">
        <f aca="false">IFERROR(
LEFT(AP520,FIND(":",AP520)-1)
+ MID(AP520,FIND(":",AP520)+1,2)/24
+ RIGHT(AP520,2)/1440,
"")</f>
        <v>-1</v>
      </c>
      <c r="AR520" s="0" t="n">
        <f aca="false">WEEKNUM(B520,1)</f>
        <v>52</v>
      </c>
      <c r="AS520" s="17" t="str">
        <f aca="false">IF(B520&gt;0, (B520+C520)-TIME(13,30,0), "")</f>
        <v/>
      </c>
      <c r="AT520" s="18" t="str">
        <f aca="false">IF(B520&gt;0, (B520+C520)-TIME(13,30,0), "")</f>
        <v/>
      </c>
      <c r="AU520" s="17" t="str">
        <f aca="false">IF(V520&gt;0, (V520+W520)-TIME(13,30,0), "")</f>
        <v/>
      </c>
      <c r="AV520" s="18" t="str">
        <f aca="false">IF(V520&gt;0, (V520+W520)-TIME(13,30,0), "")</f>
        <v/>
      </c>
    </row>
    <row r="521" customFormat="false" ht="15" hidden="false" customHeight="false" outlineLevel="0" collapsed="false">
      <c r="AB521" s="2" t="e">
        <f aca="false">U521-#REF!</f>
        <v>#REF!</v>
      </c>
      <c r="AC521" s="14" t="n">
        <f aca="false">(V521+W521)-(B521+C521)</f>
        <v>0</v>
      </c>
      <c r="AD521" s="4" t="str">
        <f aca="false">INT((V521+W521)-(B521+C521)) &amp; ":" &amp;
TEXT(HOUR((V521+W521)-(B521+C521)), "00") &amp; ":" &amp;
TEXT(MINUTE((V521+W521)-(B521+C521)), "00")</f>
        <v>0:00:00</v>
      </c>
      <c r="AE521" s="1" t="n">
        <f aca="false">IFERROR(
LEFT(AD521,FIND(":",AD521)-1)
+ MID(AD521,FIND(":",AD521)+1,2)/24
+ RIGHT(AD521,2)/1440,
"")</f>
        <v>0</v>
      </c>
      <c r="AF521" s="4" t="str">
        <f aca="false">INT((X521+Y521)-(B521+C521)) &amp; ":" &amp;
TEXT(HOUR((X521+Y521)-(B521+C521)), "00") &amp; ":" &amp;
TEXT(MINUTE((X521+Y521)-(B521+C521)), "00")</f>
        <v>0:00:00</v>
      </c>
      <c r="AG521" s="4" t="e">
        <f aca="false" t="array" ref="AG521:AG521">INT(_xlfn.XLOOKUP(J521,{"Low","Medium","High","Urgent"},{48,24,12,8})/24) &amp; ":" &amp;
TEXT(MOD(_xlfn.XLOOKUP(J521,{"Low","Medium","High","Urgent"},{48,24,12,8}),24)/24,"hh:mm")</f>
        <v>#N/A</v>
      </c>
      <c r="AH521" s="4" t="e">
        <f aca="false">IF(AD521&gt;AG521,"Not Met","Met")</f>
        <v>#N/A</v>
      </c>
      <c r="AI521" s="4" t="e">
        <f aca="false">IF(AB521&lt;TIME(0,30,0),"Met","Not Met")</f>
        <v>#REF!</v>
      </c>
      <c r="AN521" s="1" t="str">
        <f aca="false">TEXT(B521,"dd")</f>
        <v>30</v>
      </c>
      <c r="AO521" s="1" t="str">
        <f aca="false">TEXT(X521,"dd")</f>
        <v>30</v>
      </c>
      <c r="AP521" s="16" t="str">
        <f aca="false">INT(
  NETWORKDAYS(B521,V521)-1
  + IF(WEEKDAY(V521,2)&lt;6,MOD(V521+W521,1),0)
  - IF(WEEKDAY(B521,2)&lt;6,MOD(B521+C521,1),0)
)
&amp; ":" &amp;
TEXT(HOUR(
  NETWORKDAYS(B521,V521)-1
  + IF(WEEKDAY(V521,2)&lt;6,MOD(V521+W521,1),0)
  - IF(WEEKDAY(B521,2)&lt;6,MOD(B521+C521,1),0)
),"00")
&amp; ":" &amp;
TEXT(MINUTE(
  NETWORKDAYS(B521,V521)-1
  + IF(WEEKDAY(V521,2)&lt;6,MOD(V521+W521,1),0)
  - IF(WEEKDAY(B521,2)&lt;6,MOD(B521+C521,1),0)
),"00")</f>
        <v>-1:00:00</v>
      </c>
      <c r="AQ521" s="0" t="n">
        <f aca="false">IFERROR(
LEFT(AP521,FIND(":",AP521)-1)
+ MID(AP521,FIND(":",AP521)+1,2)/24
+ RIGHT(AP521,2)/1440,
"")</f>
        <v>-1</v>
      </c>
      <c r="AR521" s="0" t="n">
        <f aca="false">WEEKNUM(B521,1)</f>
        <v>52</v>
      </c>
      <c r="AS521" s="17" t="str">
        <f aca="false">IF(B521&gt;0, (B521+C521)-TIME(13,30,0), "")</f>
        <v/>
      </c>
      <c r="AT521" s="18" t="str">
        <f aca="false">IF(B521&gt;0, (B521+C521)-TIME(13,30,0), "")</f>
        <v/>
      </c>
      <c r="AU521" s="17" t="str">
        <f aca="false">IF(V521&gt;0, (V521+W521)-TIME(13,30,0), "")</f>
        <v/>
      </c>
      <c r="AV521" s="18" t="str">
        <f aca="false">IF(V521&gt;0, (V521+W521)-TIME(13,30,0), "")</f>
        <v/>
      </c>
    </row>
    <row r="522" customFormat="false" ht="15" hidden="false" customHeight="false" outlineLevel="0" collapsed="false">
      <c r="AB522" s="2" t="e">
        <f aca="false">U522-#REF!</f>
        <v>#REF!</v>
      </c>
      <c r="AC522" s="14" t="n">
        <f aca="false">(V522+W522)-(B522+C522)</f>
        <v>0</v>
      </c>
      <c r="AD522" s="4" t="str">
        <f aca="false">INT((V522+W522)-(B522+C522)) &amp; ":" &amp;
TEXT(HOUR((V522+W522)-(B522+C522)), "00") &amp; ":" &amp;
TEXT(MINUTE((V522+W522)-(B522+C522)), "00")</f>
        <v>0:00:00</v>
      </c>
      <c r="AE522" s="1" t="n">
        <f aca="false">IFERROR(
LEFT(AD522,FIND(":",AD522)-1)
+ MID(AD522,FIND(":",AD522)+1,2)/24
+ RIGHT(AD522,2)/1440,
"")</f>
        <v>0</v>
      </c>
      <c r="AF522" s="4" t="str">
        <f aca="false">INT((X522+Y522)-(B522+C522)) &amp; ":" &amp;
TEXT(HOUR((X522+Y522)-(B522+C522)), "00") &amp; ":" &amp;
TEXT(MINUTE((X522+Y522)-(B522+C522)), "00")</f>
        <v>0:00:00</v>
      </c>
      <c r="AG522" s="4" t="e">
        <f aca="false" t="array" ref="AG522:AG522">INT(_xlfn.XLOOKUP(J522,{"Low","Medium","High","Urgent"},{48,24,12,8})/24) &amp; ":" &amp;
TEXT(MOD(_xlfn.XLOOKUP(J522,{"Low","Medium","High","Urgent"},{48,24,12,8}),24)/24,"hh:mm")</f>
        <v>#N/A</v>
      </c>
      <c r="AH522" s="4" t="e">
        <f aca="false">IF(AD522&gt;AG522,"Not Met","Met")</f>
        <v>#N/A</v>
      </c>
      <c r="AI522" s="4" t="e">
        <f aca="false">IF(AB522&lt;TIME(0,30,0),"Met","Not Met")</f>
        <v>#REF!</v>
      </c>
      <c r="AN522" s="1" t="str">
        <f aca="false">TEXT(B522,"dd")</f>
        <v>30</v>
      </c>
      <c r="AO522" s="1" t="str">
        <f aca="false">TEXT(X522,"dd")</f>
        <v>30</v>
      </c>
      <c r="AP522" s="16" t="str">
        <f aca="false">INT(
  NETWORKDAYS(B522,V522)-1
  + IF(WEEKDAY(V522,2)&lt;6,MOD(V522+W522,1),0)
  - IF(WEEKDAY(B522,2)&lt;6,MOD(B522+C522,1),0)
)
&amp; ":" &amp;
TEXT(HOUR(
  NETWORKDAYS(B522,V522)-1
  + IF(WEEKDAY(V522,2)&lt;6,MOD(V522+W522,1),0)
  - IF(WEEKDAY(B522,2)&lt;6,MOD(B522+C522,1),0)
),"00")
&amp; ":" &amp;
TEXT(MINUTE(
  NETWORKDAYS(B522,V522)-1
  + IF(WEEKDAY(V522,2)&lt;6,MOD(V522+W522,1),0)
  - IF(WEEKDAY(B522,2)&lt;6,MOD(B522+C522,1),0)
),"00")</f>
        <v>-1:00:00</v>
      </c>
      <c r="AQ522" s="0" t="n">
        <f aca="false">IFERROR(
LEFT(AP522,FIND(":",AP522)-1)
+ MID(AP522,FIND(":",AP522)+1,2)/24
+ RIGHT(AP522,2)/1440,
"")</f>
        <v>-1</v>
      </c>
      <c r="AR522" s="0" t="n">
        <f aca="false">WEEKNUM(B522,1)</f>
        <v>52</v>
      </c>
      <c r="AS522" s="17" t="str">
        <f aca="false">IF(B522&gt;0, (B522+C522)-TIME(13,30,0), "")</f>
        <v/>
      </c>
      <c r="AT522" s="18" t="str">
        <f aca="false">IF(B522&gt;0, (B522+C522)-TIME(13,30,0), "")</f>
        <v/>
      </c>
      <c r="AU522" s="17" t="str">
        <f aca="false">IF(V522&gt;0, (V522+W522)-TIME(13,30,0), "")</f>
        <v/>
      </c>
      <c r="AV522" s="18" t="str">
        <f aca="false">IF(V522&gt;0, (V522+W522)-TIME(13,30,0), "")</f>
        <v/>
      </c>
    </row>
    <row r="523" customFormat="false" ht="15" hidden="false" customHeight="false" outlineLevel="0" collapsed="false">
      <c r="AB523" s="2" t="e">
        <f aca="false">U523-#REF!</f>
        <v>#REF!</v>
      </c>
      <c r="AC523" s="14" t="n">
        <f aca="false">(V523+W523)-(B523+C523)</f>
        <v>0</v>
      </c>
      <c r="AD523" s="4" t="str">
        <f aca="false">INT((V523+W523)-(B523+C523)) &amp; ":" &amp;
TEXT(HOUR((V523+W523)-(B523+C523)), "00") &amp; ":" &amp;
TEXT(MINUTE((V523+W523)-(B523+C523)), "00")</f>
        <v>0:00:00</v>
      </c>
      <c r="AE523" s="1" t="n">
        <f aca="false">IFERROR(
LEFT(AD523,FIND(":",AD523)-1)
+ MID(AD523,FIND(":",AD523)+1,2)/24
+ RIGHT(AD523,2)/1440,
"")</f>
        <v>0</v>
      </c>
      <c r="AF523" s="4" t="str">
        <f aca="false">INT((X523+Y523)-(B523+C523)) &amp; ":" &amp;
TEXT(HOUR((X523+Y523)-(B523+C523)), "00") &amp; ":" &amp;
TEXT(MINUTE((X523+Y523)-(B523+C523)), "00")</f>
        <v>0:00:00</v>
      </c>
      <c r="AG523" s="4" t="e">
        <f aca="false" t="array" ref="AG523:AG523">INT(_xlfn.XLOOKUP(J523,{"Low","Medium","High","Urgent"},{48,24,12,8})/24) &amp; ":" &amp;
TEXT(MOD(_xlfn.XLOOKUP(J523,{"Low","Medium","High","Urgent"},{48,24,12,8}),24)/24,"hh:mm")</f>
        <v>#N/A</v>
      </c>
      <c r="AH523" s="4" t="e">
        <f aca="false">IF(AD523&gt;AG523,"Not Met","Met")</f>
        <v>#N/A</v>
      </c>
      <c r="AI523" s="4" t="e">
        <f aca="false">IF(AB523&lt;TIME(0,30,0),"Met","Not Met")</f>
        <v>#REF!</v>
      </c>
      <c r="AN523" s="1" t="str">
        <f aca="false">TEXT(B523,"dd")</f>
        <v>30</v>
      </c>
      <c r="AO523" s="1" t="str">
        <f aca="false">TEXT(X523,"dd")</f>
        <v>30</v>
      </c>
      <c r="AP523" s="16" t="str">
        <f aca="false">INT(
  NETWORKDAYS(B523,V523)-1
  + IF(WEEKDAY(V523,2)&lt;6,MOD(V523+W523,1),0)
  - IF(WEEKDAY(B523,2)&lt;6,MOD(B523+C523,1),0)
)
&amp; ":" &amp;
TEXT(HOUR(
  NETWORKDAYS(B523,V523)-1
  + IF(WEEKDAY(V523,2)&lt;6,MOD(V523+W523,1),0)
  - IF(WEEKDAY(B523,2)&lt;6,MOD(B523+C523,1),0)
),"00")
&amp; ":" &amp;
TEXT(MINUTE(
  NETWORKDAYS(B523,V523)-1
  + IF(WEEKDAY(V523,2)&lt;6,MOD(V523+W523,1),0)
  - IF(WEEKDAY(B523,2)&lt;6,MOD(B523+C523,1),0)
),"00")</f>
        <v>-1:00:00</v>
      </c>
      <c r="AQ523" s="0" t="n">
        <f aca="false">IFERROR(
LEFT(AP523,FIND(":",AP523)-1)
+ MID(AP523,FIND(":",AP523)+1,2)/24
+ RIGHT(AP523,2)/1440,
"")</f>
        <v>-1</v>
      </c>
      <c r="AR523" s="0" t="n">
        <f aca="false">WEEKNUM(B523,1)</f>
        <v>52</v>
      </c>
      <c r="AS523" s="17" t="str">
        <f aca="false">IF(B523&gt;0, (B523+C523)-TIME(13,30,0), "")</f>
        <v/>
      </c>
      <c r="AT523" s="18" t="str">
        <f aca="false">IF(B523&gt;0, (B523+C523)-TIME(13,30,0), "")</f>
        <v/>
      </c>
      <c r="AU523" s="17" t="str">
        <f aca="false">IF(V523&gt;0, (V523+W523)-TIME(13,30,0), "")</f>
        <v/>
      </c>
      <c r="AV523" s="18" t="str">
        <f aca="false">IF(V523&gt;0, (V523+W523)-TIME(13,30,0), "")</f>
        <v/>
      </c>
    </row>
    <row r="524" customFormat="false" ht="15" hidden="false" customHeight="false" outlineLevel="0" collapsed="false">
      <c r="AB524" s="2" t="e">
        <f aca="false">U524-#REF!</f>
        <v>#REF!</v>
      </c>
      <c r="AC524" s="14" t="n">
        <f aca="false">(V524+W524)-(B524+C524)</f>
        <v>0</v>
      </c>
      <c r="AD524" s="4" t="str">
        <f aca="false">INT((V524+W524)-(B524+C524)) &amp; ":" &amp;
TEXT(HOUR((V524+W524)-(B524+C524)), "00") &amp; ":" &amp;
TEXT(MINUTE((V524+W524)-(B524+C524)), "00")</f>
        <v>0:00:00</v>
      </c>
      <c r="AE524" s="1" t="n">
        <f aca="false">IFERROR(
LEFT(AD524,FIND(":",AD524)-1)
+ MID(AD524,FIND(":",AD524)+1,2)/24
+ RIGHT(AD524,2)/1440,
"")</f>
        <v>0</v>
      </c>
      <c r="AF524" s="4" t="str">
        <f aca="false">INT((X524+Y524)-(B524+C524)) &amp; ":" &amp;
TEXT(HOUR((X524+Y524)-(B524+C524)), "00") &amp; ":" &amp;
TEXT(MINUTE((X524+Y524)-(B524+C524)), "00")</f>
        <v>0:00:00</v>
      </c>
      <c r="AG524" s="4" t="e">
        <f aca="false" t="array" ref="AG524:AG524">INT(_xlfn.XLOOKUP(J524,{"Low","Medium","High","Urgent"},{48,24,12,8})/24) &amp; ":" &amp;
TEXT(MOD(_xlfn.XLOOKUP(J524,{"Low","Medium","High","Urgent"},{48,24,12,8}),24)/24,"hh:mm")</f>
        <v>#N/A</v>
      </c>
      <c r="AH524" s="4" t="e">
        <f aca="false">IF(AD524&gt;AG524,"Not Met","Met")</f>
        <v>#N/A</v>
      </c>
      <c r="AI524" s="4" t="e">
        <f aca="false">IF(AB524&lt;TIME(0,30,0),"Met","Not Met")</f>
        <v>#REF!</v>
      </c>
      <c r="AN524" s="1" t="str">
        <f aca="false">TEXT(B524,"dd")</f>
        <v>30</v>
      </c>
      <c r="AO524" s="1" t="str">
        <f aca="false">TEXT(X524,"dd")</f>
        <v>30</v>
      </c>
      <c r="AP524" s="16" t="str">
        <f aca="false">INT(
  NETWORKDAYS(B524,V524)-1
  + IF(WEEKDAY(V524,2)&lt;6,MOD(V524+W524,1),0)
  - IF(WEEKDAY(B524,2)&lt;6,MOD(B524+C524,1),0)
)
&amp; ":" &amp;
TEXT(HOUR(
  NETWORKDAYS(B524,V524)-1
  + IF(WEEKDAY(V524,2)&lt;6,MOD(V524+W524,1),0)
  - IF(WEEKDAY(B524,2)&lt;6,MOD(B524+C524,1),0)
),"00")
&amp; ":" &amp;
TEXT(MINUTE(
  NETWORKDAYS(B524,V524)-1
  + IF(WEEKDAY(V524,2)&lt;6,MOD(V524+W524,1),0)
  - IF(WEEKDAY(B524,2)&lt;6,MOD(B524+C524,1),0)
),"00")</f>
        <v>-1:00:00</v>
      </c>
      <c r="AQ524" s="0" t="n">
        <f aca="false">IFERROR(
LEFT(AP524,FIND(":",AP524)-1)
+ MID(AP524,FIND(":",AP524)+1,2)/24
+ RIGHT(AP524,2)/1440,
"")</f>
        <v>-1</v>
      </c>
      <c r="AR524" s="0" t="n">
        <f aca="false">WEEKNUM(B524,1)</f>
        <v>52</v>
      </c>
      <c r="AS524" s="17" t="str">
        <f aca="false">IF(B524&gt;0, (B524+C524)-TIME(13,30,0), "")</f>
        <v/>
      </c>
      <c r="AT524" s="18" t="str">
        <f aca="false">IF(B524&gt;0, (B524+C524)-TIME(13,30,0), "")</f>
        <v/>
      </c>
      <c r="AU524" s="17" t="str">
        <f aca="false">IF(V524&gt;0, (V524+W524)-TIME(13,30,0), "")</f>
        <v/>
      </c>
      <c r="AV524" s="18" t="str">
        <f aca="false">IF(V524&gt;0, (V524+W524)-TIME(13,30,0), "")</f>
        <v/>
      </c>
    </row>
    <row r="525" customFormat="false" ht="15" hidden="false" customHeight="false" outlineLevel="0" collapsed="false">
      <c r="AB525" s="2" t="e">
        <f aca="false">U525-#REF!</f>
        <v>#REF!</v>
      </c>
      <c r="AC525" s="14" t="n">
        <f aca="false">(V525+W525)-(B525+C525)</f>
        <v>0</v>
      </c>
      <c r="AD525" s="4" t="str">
        <f aca="false">INT((V525+W525)-(B525+C525)) &amp; ":" &amp;
TEXT(HOUR((V525+W525)-(B525+C525)), "00") &amp; ":" &amp;
TEXT(MINUTE((V525+W525)-(B525+C525)), "00")</f>
        <v>0:00:00</v>
      </c>
      <c r="AE525" s="1" t="n">
        <f aca="false">IFERROR(
LEFT(AD525,FIND(":",AD525)-1)
+ MID(AD525,FIND(":",AD525)+1,2)/24
+ RIGHT(AD525,2)/1440,
"")</f>
        <v>0</v>
      </c>
      <c r="AF525" s="4" t="str">
        <f aca="false">INT((X525+Y525)-(B525+C525)) &amp; ":" &amp;
TEXT(HOUR((X525+Y525)-(B525+C525)), "00") &amp; ":" &amp;
TEXT(MINUTE((X525+Y525)-(B525+C525)), "00")</f>
        <v>0:00:00</v>
      </c>
      <c r="AG525" s="4" t="e">
        <f aca="false" t="array" ref="AG525:AG525">INT(_xlfn.XLOOKUP(J525,{"Low","Medium","High","Urgent"},{48,24,12,8})/24) &amp; ":" &amp;
TEXT(MOD(_xlfn.XLOOKUP(J525,{"Low","Medium","High","Urgent"},{48,24,12,8}),24)/24,"hh:mm")</f>
        <v>#N/A</v>
      </c>
      <c r="AH525" s="4" t="e">
        <f aca="false">IF(AD525&gt;AG525,"Not Met","Met")</f>
        <v>#N/A</v>
      </c>
      <c r="AI525" s="4" t="e">
        <f aca="false">IF(AB525&lt;TIME(0,30,0),"Met","Not Met")</f>
        <v>#REF!</v>
      </c>
      <c r="AN525" s="1" t="str">
        <f aca="false">TEXT(B525,"dd")</f>
        <v>30</v>
      </c>
      <c r="AO525" s="1" t="str">
        <f aca="false">TEXT(X525,"dd")</f>
        <v>30</v>
      </c>
      <c r="AP525" s="16" t="str">
        <f aca="false">INT(
  NETWORKDAYS(B525,V525)-1
  + IF(WEEKDAY(V525,2)&lt;6,MOD(V525+W525,1),0)
  - IF(WEEKDAY(B525,2)&lt;6,MOD(B525+C525,1),0)
)
&amp; ":" &amp;
TEXT(HOUR(
  NETWORKDAYS(B525,V525)-1
  + IF(WEEKDAY(V525,2)&lt;6,MOD(V525+W525,1),0)
  - IF(WEEKDAY(B525,2)&lt;6,MOD(B525+C525,1),0)
),"00")
&amp; ":" &amp;
TEXT(MINUTE(
  NETWORKDAYS(B525,V525)-1
  + IF(WEEKDAY(V525,2)&lt;6,MOD(V525+W525,1),0)
  - IF(WEEKDAY(B525,2)&lt;6,MOD(B525+C525,1),0)
),"00")</f>
        <v>-1:00:00</v>
      </c>
      <c r="AQ525" s="0" t="n">
        <f aca="false">IFERROR(
LEFT(AP525,FIND(":",AP525)-1)
+ MID(AP525,FIND(":",AP525)+1,2)/24
+ RIGHT(AP525,2)/1440,
"")</f>
        <v>-1</v>
      </c>
      <c r="AR525" s="0" t="n">
        <f aca="false">WEEKNUM(B525,1)</f>
        <v>52</v>
      </c>
      <c r="AS525" s="17" t="str">
        <f aca="false">IF(B525&gt;0, (B525+C525)-TIME(13,30,0), "")</f>
        <v/>
      </c>
      <c r="AT525" s="18" t="str">
        <f aca="false">IF(B525&gt;0, (B525+C525)-TIME(13,30,0), "")</f>
        <v/>
      </c>
      <c r="AU525" s="17" t="str">
        <f aca="false">IF(V525&gt;0, (V525+W525)-TIME(13,30,0), "")</f>
        <v/>
      </c>
      <c r="AV525" s="18" t="str">
        <f aca="false">IF(V525&gt;0, (V525+W525)-TIME(13,30,0), "")</f>
        <v/>
      </c>
    </row>
    <row r="526" customFormat="false" ht="15" hidden="false" customHeight="false" outlineLevel="0" collapsed="false">
      <c r="AB526" s="2" t="e">
        <f aca="false">U526-#REF!</f>
        <v>#REF!</v>
      </c>
      <c r="AC526" s="14" t="n">
        <f aca="false">(V526+W526)-(B526+C526)</f>
        <v>0</v>
      </c>
      <c r="AD526" s="4" t="str">
        <f aca="false">INT((V526+W526)-(B526+C526)) &amp; ":" &amp;
TEXT(HOUR((V526+W526)-(B526+C526)), "00") &amp; ":" &amp;
TEXT(MINUTE((V526+W526)-(B526+C526)), "00")</f>
        <v>0:00:00</v>
      </c>
      <c r="AE526" s="1" t="n">
        <f aca="false">IFERROR(
LEFT(AD526,FIND(":",AD526)-1)
+ MID(AD526,FIND(":",AD526)+1,2)/24
+ RIGHT(AD526,2)/1440,
"")</f>
        <v>0</v>
      </c>
      <c r="AF526" s="4" t="str">
        <f aca="false">INT((X526+Y526)-(B526+C526)) &amp; ":" &amp;
TEXT(HOUR((X526+Y526)-(B526+C526)), "00") &amp; ":" &amp;
TEXT(MINUTE((X526+Y526)-(B526+C526)), "00")</f>
        <v>0:00:00</v>
      </c>
      <c r="AG526" s="4" t="e">
        <f aca="false" t="array" ref="AG526:AG526">INT(_xlfn.XLOOKUP(J526,{"Low","Medium","High","Urgent"},{48,24,12,8})/24) &amp; ":" &amp;
TEXT(MOD(_xlfn.XLOOKUP(J526,{"Low","Medium","High","Urgent"},{48,24,12,8}),24)/24,"hh:mm")</f>
        <v>#N/A</v>
      </c>
      <c r="AH526" s="4" t="e">
        <f aca="false">IF(AD526&gt;AG526,"Not Met","Met")</f>
        <v>#N/A</v>
      </c>
      <c r="AI526" s="4" t="e">
        <f aca="false">IF(AB526&lt;TIME(0,30,0),"Met","Not Met")</f>
        <v>#REF!</v>
      </c>
      <c r="AN526" s="1" t="str">
        <f aca="false">TEXT(B526,"dd")</f>
        <v>30</v>
      </c>
      <c r="AO526" s="1" t="str">
        <f aca="false">TEXT(X526,"dd")</f>
        <v>30</v>
      </c>
      <c r="AP526" s="16" t="str">
        <f aca="false">INT(
  NETWORKDAYS(B526,V526)-1
  + IF(WEEKDAY(V526,2)&lt;6,MOD(V526+W526,1),0)
  - IF(WEEKDAY(B526,2)&lt;6,MOD(B526+C526,1),0)
)
&amp; ":" &amp;
TEXT(HOUR(
  NETWORKDAYS(B526,V526)-1
  + IF(WEEKDAY(V526,2)&lt;6,MOD(V526+W526,1),0)
  - IF(WEEKDAY(B526,2)&lt;6,MOD(B526+C526,1),0)
),"00")
&amp; ":" &amp;
TEXT(MINUTE(
  NETWORKDAYS(B526,V526)-1
  + IF(WEEKDAY(V526,2)&lt;6,MOD(V526+W526,1),0)
  - IF(WEEKDAY(B526,2)&lt;6,MOD(B526+C526,1),0)
),"00")</f>
        <v>-1:00:00</v>
      </c>
      <c r="AQ526" s="0" t="n">
        <f aca="false">IFERROR(
LEFT(AP526,FIND(":",AP526)-1)
+ MID(AP526,FIND(":",AP526)+1,2)/24
+ RIGHT(AP526,2)/1440,
"")</f>
        <v>-1</v>
      </c>
      <c r="AR526" s="0" t="n">
        <f aca="false">WEEKNUM(B526,1)</f>
        <v>52</v>
      </c>
      <c r="AS526" s="17" t="str">
        <f aca="false">IF(B526&gt;0, (B526+C526)-TIME(13,30,0), "")</f>
        <v/>
      </c>
      <c r="AT526" s="18" t="str">
        <f aca="false">IF(B526&gt;0, (B526+C526)-TIME(13,30,0), "")</f>
        <v/>
      </c>
      <c r="AU526" s="17" t="str">
        <f aca="false">IF(V526&gt;0, (V526+W526)-TIME(13,30,0), "")</f>
        <v/>
      </c>
      <c r="AV526" s="18" t="str">
        <f aca="false">IF(V526&gt;0, (V526+W526)-TIME(13,30,0), "")</f>
        <v/>
      </c>
    </row>
    <row r="527" customFormat="false" ht="15" hidden="false" customHeight="false" outlineLevel="0" collapsed="false">
      <c r="AB527" s="2" t="e">
        <f aca="false">U527-#REF!</f>
        <v>#REF!</v>
      </c>
      <c r="AC527" s="14" t="n">
        <f aca="false">(V527+W527)-(B527+C527)</f>
        <v>0</v>
      </c>
      <c r="AD527" s="4" t="str">
        <f aca="false">INT((V527+W527)-(B527+C527)) &amp; ":" &amp;
TEXT(HOUR((V527+W527)-(B527+C527)), "00") &amp; ":" &amp;
TEXT(MINUTE((V527+W527)-(B527+C527)), "00")</f>
        <v>0:00:00</v>
      </c>
      <c r="AE527" s="1" t="n">
        <f aca="false">IFERROR(
LEFT(AD527,FIND(":",AD527)-1)
+ MID(AD527,FIND(":",AD527)+1,2)/24
+ RIGHT(AD527,2)/1440,
"")</f>
        <v>0</v>
      </c>
      <c r="AF527" s="4" t="str">
        <f aca="false">INT((X527+Y527)-(B527+C527)) &amp; ":" &amp;
TEXT(HOUR((X527+Y527)-(B527+C527)), "00") &amp; ":" &amp;
TEXT(MINUTE((X527+Y527)-(B527+C527)), "00")</f>
        <v>0:00:00</v>
      </c>
      <c r="AG527" s="4" t="e">
        <f aca="false" t="array" ref="AG527:AG527">INT(_xlfn.XLOOKUP(J527,{"Low","Medium","High","Urgent"},{48,24,12,8})/24) &amp; ":" &amp;
TEXT(MOD(_xlfn.XLOOKUP(J527,{"Low","Medium","High","Urgent"},{48,24,12,8}),24)/24,"hh:mm")</f>
        <v>#N/A</v>
      </c>
      <c r="AH527" s="4" t="e">
        <f aca="false">IF(AD527&gt;AG527,"Not Met","Met")</f>
        <v>#N/A</v>
      </c>
      <c r="AI527" s="4" t="e">
        <f aca="false">IF(AB527&lt;TIME(0,30,0),"Met","Not Met")</f>
        <v>#REF!</v>
      </c>
      <c r="AN527" s="1" t="str">
        <f aca="false">TEXT(B527,"dd")</f>
        <v>30</v>
      </c>
      <c r="AO527" s="1" t="str">
        <f aca="false">TEXT(X527,"dd")</f>
        <v>30</v>
      </c>
      <c r="AP527" s="16" t="str">
        <f aca="false">INT(
  NETWORKDAYS(B527,V527)-1
  + IF(WEEKDAY(V527,2)&lt;6,MOD(V527+W527,1),0)
  - IF(WEEKDAY(B527,2)&lt;6,MOD(B527+C527,1),0)
)
&amp; ":" &amp;
TEXT(HOUR(
  NETWORKDAYS(B527,V527)-1
  + IF(WEEKDAY(V527,2)&lt;6,MOD(V527+W527,1),0)
  - IF(WEEKDAY(B527,2)&lt;6,MOD(B527+C527,1),0)
),"00")
&amp; ":" &amp;
TEXT(MINUTE(
  NETWORKDAYS(B527,V527)-1
  + IF(WEEKDAY(V527,2)&lt;6,MOD(V527+W527,1),0)
  - IF(WEEKDAY(B527,2)&lt;6,MOD(B527+C527,1),0)
),"00")</f>
        <v>-1:00:00</v>
      </c>
      <c r="AQ527" s="0" t="n">
        <f aca="false">IFERROR(
LEFT(AP527,FIND(":",AP527)-1)
+ MID(AP527,FIND(":",AP527)+1,2)/24
+ RIGHT(AP527,2)/1440,
"")</f>
        <v>-1</v>
      </c>
      <c r="AR527" s="0" t="n">
        <f aca="false">WEEKNUM(B527,1)</f>
        <v>52</v>
      </c>
      <c r="AS527" s="17" t="str">
        <f aca="false">IF(B527&gt;0, (B527+C527)-TIME(13,30,0), "")</f>
        <v/>
      </c>
      <c r="AT527" s="18" t="str">
        <f aca="false">IF(B527&gt;0, (B527+C527)-TIME(13,30,0), "")</f>
        <v/>
      </c>
      <c r="AU527" s="17" t="str">
        <f aca="false">IF(V527&gt;0, (V527+W527)-TIME(13,30,0), "")</f>
        <v/>
      </c>
      <c r="AV527" s="18" t="str">
        <f aca="false">IF(V527&gt;0, (V527+W527)-TIME(13,30,0), "")</f>
        <v/>
      </c>
    </row>
    <row r="528" customFormat="false" ht="15" hidden="false" customHeight="false" outlineLevel="0" collapsed="false">
      <c r="AB528" s="2" t="e">
        <f aca="false">U528-#REF!</f>
        <v>#REF!</v>
      </c>
      <c r="AC528" s="14" t="n">
        <f aca="false">(V528+W528)-(B528+C528)</f>
        <v>0</v>
      </c>
      <c r="AD528" s="4" t="str">
        <f aca="false">INT((V528+W528)-(B528+C528)) &amp; ":" &amp;
TEXT(HOUR((V528+W528)-(B528+C528)), "00") &amp; ":" &amp;
TEXT(MINUTE((V528+W528)-(B528+C528)), "00")</f>
        <v>0:00:00</v>
      </c>
      <c r="AE528" s="1" t="n">
        <f aca="false">IFERROR(
LEFT(AD528,FIND(":",AD528)-1)
+ MID(AD528,FIND(":",AD528)+1,2)/24
+ RIGHT(AD528,2)/1440,
"")</f>
        <v>0</v>
      </c>
      <c r="AF528" s="4" t="str">
        <f aca="false">INT((X528+Y528)-(B528+C528)) &amp; ":" &amp;
TEXT(HOUR((X528+Y528)-(B528+C528)), "00") &amp; ":" &amp;
TEXT(MINUTE((X528+Y528)-(B528+C528)), "00")</f>
        <v>0:00:00</v>
      </c>
      <c r="AG528" s="4" t="e">
        <f aca="false" t="array" ref="AG528:AG528">INT(_xlfn.XLOOKUP(J528,{"Low","Medium","High","Urgent"},{48,24,12,8})/24) &amp; ":" &amp;
TEXT(MOD(_xlfn.XLOOKUP(J528,{"Low","Medium","High","Urgent"},{48,24,12,8}),24)/24,"hh:mm")</f>
        <v>#N/A</v>
      </c>
      <c r="AH528" s="4" t="e">
        <f aca="false">IF(AD528&gt;AG528,"Not Met","Met")</f>
        <v>#N/A</v>
      </c>
      <c r="AI528" s="4" t="e">
        <f aca="false">IF(AB528&lt;TIME(0,30,0),"Met","Not Met")</f>
        <v>#REF!</v>
      </c>
      <c r="AN528" s="1" t="str">
        <f aca="false">TEXT(B528,"dd")</f>
        <v>30</v>
      </c>
      <c r="AO528" s="1" t="str">
        <f aca="false">TEXT(X528,"dd")</f>
        <v>30</v>
      </c>
      <c r="AP528" s="16" t="str">
        <f aca="false">INT(
  NETWORKDAYS(B528,V528)-1
  + IF(WEEKDAY(V528,2)&lt;6,MOD(V528+W528,1),0)
  - IF(WEEKDAY(B528,2)&lt;6,MOD(B528+C528,1),0)
)
&amp; ":" &amp;
TEXT(HOUR(
  NETWORKDAYS(B528,V528)-1
  + IF(WEEKDAY(V528,2)&lt;6,MOD(V528+W528,1),0)
  - IF(WEEKDAY(B528,2)&lt;6,MOD(B528+C528,1),0)
),"00")
&amp; ":" &amp;
TEXT(MINUTE(
  NETWORKDAYS(B528,V528)-1
  + IF(WEEKDAY(V528,2)&lt;6,MOD(V528+W528,1),0)
  - IF(WEEKDAY(B528,2)&lt;6,MOD(B528+C528,1),0)
),"00")</f>
        <v>-1:00:00</v>
      </c>
      <c r="AQ528" s="0" t="n">
        <f aca="false">IFERROR(
LEFT(AP528,FIND(":",AP528)-1)
+ MID(AP528,FIND(":",AP528)+1,2)/24
+ RIGHT(AP528,2)/1440,
"")</f>
        <v>-1</v>
      </c>
      <c r="AR528" s="0" t="n">
        <f aca="false">WEEKNUM(B528,1)</f>
        <v>52</v>
      </c>
      <c r="AS528" s="17" t="str">
        <f aca="false">IF(B528&gt;0, (B528+C528)-TIME(13,30,0), "")</f>
        <v/>
      </c>
      <c r="AT528" s="18" t="str">
        <f aca="false">IF(B528&gt;0, (B528+C528)-TIME(13,30,0), "")</f>
        <v/>
      </c>
      <c r="AU528" s="17" t="str">
        <f aca="false">IF(V528&gt;0, (V528+W528)-TIME(13,30,0), "")</f>
        <v/>
      </c>
      <c r="AV528" s="18" t="str">
        <f aca="false">IF(V528&gt;0, (V528+W528)-TIME(13,30,0), "")</f>
        <v/>
      </c>
    </row>
    <row r="529" customFormat="false" ht="15" hidden="false" customHeight="false" outlineLevel="0" collapsed="false">
      <c r="AB529" s="2" t="e">
        <f aca="false">U529-#REF!</f>
        <v>#REF!</v>
      </c>
      <c r="AC529" s="14" t="n">
        <f aca="false">(V529+W529)-(B529+C529)</f>
        <v>0</v>
      </c>
      <c r="AD529" s="4" t="str">
        <f aca="false">INT((V529+W529)-(B529+C529)) &amp; ":" &amp;
TEXT(HOUR((V529+W529)-(B529+C529)), "00") &amp; ":" &amp;
TEXT(MINUTE((V529+W529)-(B529+C529)), "00")</f>
        <v>0:00:00</v>
      </c>
      <c r="AE529" s="1" t="n">
        <f aca="false">IFERROR(
LEFT(AD529,FIND(":",AD529)-1)
+ MID(AD529,FIND(":",AD529)+1,2)/24
+ RIGHT(AD529,2)/1440,
"")</f>
        <v>0</v>
      </c>
      <c r="AF529" s="4" t="str">
        <f aca="false">INT((X529+Y529)-(B529+C529)) &amp; ":" &amp;
TEXT(HOUR((X529+Y529)-(B529+C529)), "00") &amp; ":" &amp;
TEXT(MINUTE((X529+Y529)-(B529+C529)), "00")</f>
        <v>0:00:00</v>
      </c>
      <c r="AG529" s="4" t="e">
        <f aca="false" t="array" ref="AG529:AG529">INT(_xlfn.XLOOKUP(J529,{"Low","Medium","High","Urgent"},{48,24,12,8})/24) &amp; ":" &amp;
TEXT(MOD(_xlfn.XLOOKUP(J529,{"Low","Medium","High","Urgent"},{48,24,12,8}),24)/24,"hh:mm")</f>
        <v>#N/A</v>
      </c>
      <c r="AH529" s="4" t="e">
        <f aca="false">IF(AD529&gt;AG529,"Not Met","Met")</f>
        <v>#N/A</v>
      </c>
      <c r="AI529" s="4" t="e">
        <f aca="false">IF(AB529&lt;TIME(0,30,0),"Met","Not Met")</f>
        <v>#REF!</v>
      </c>
      <c r="AN529" s="1" t="str">
        <f aca="false">TEXT(B529,"dd")</f>
        <v>30</v>
      </c>
      <c r="AO529" s="1" t="str">
        <f aca="false">TEXT(X529,"dd")</f>
        <v>30</v>
      </c>
      <c r="AP529" s="16" t="str">
        <f aca="false">INT(
  NETWORKDAYS(B529,V529)-1
  + IF(WEEKDAY(V529,2)&lt;6,MOD(V529+W529,1),0)
  - IF(WEEKDAY(B529,2)&lt;6,MOD(B529+C529,1),0)
)
&amp; ":" &amp;
TEXT(HOUR(
  NETWORKDAYS(B529,V529)-1
  + IF(WEEKDAY(V529,2)&lt;6,MOD(V529+W529,1),0)
  - IF(WEEKDAY(B529,2)&lt;6,MOD(B529+C529,1),0)
),"00")
&amp; ":" &amp;
TEXT(MINUTE(
  NETWORKDAYS(B529,V529)-1
  + IF(WEEKDAY(V529,2)&lt;6,MOD(V529+W529,1),0)
  - IF(WEEKDAY(B529,2)&lt;6,MOD(B529+C529,1),0)
),"00")</f>
        <v>-1:00:00</v>
      </c>
      <c r="AQ529" s="0" t="n">
        <f aca="false">IFERROR(
LEFT(AP529,FIND(":",AP529)-1)
+ MID(AP529,FIND(":",AP529)+1,2)/24
+ RIGHT(AP529,2)/1440,
"")</f>
        <v>-1</v>
      </c>
      <c r="AR529" s="0" t="n">
        <f aca="false">WEEKNUM(B529,1)</f>
        <v>52</v>
      </c>
      <c r="AS529" s="17" t="str">
        <f aca="false">IF(B529&gt;0, (B529+C529)-TIME(13,30,0), "")</f>
        <v/>
      </c>
      <c r="AT529" s="18" t="str">
        <f aca="false">IF(B529&gt;0, (B529+C529)-TIME(13,30,0), "")</f>
        <v/>
      </c>
      <c r="AU529" s="17" t="str">
        <f aca="false">IF(V529&gt;0, (V529+W529)-TIME(13,30,0), "")</f>
        <v/>
      </c>
      <c r="AV529" s="18" t="str">
        <f aca="false">IF(V529&gt;0, (V529+W529)-TIME(13,30,0), "")</f>
        <v/>
      </c>
    </row>
    <row r="530" customFormat="false" ht="15" hidden="false" customHeight="false" outlineLevel="0" collapsed="false">
      <c r="AB530" s="2" t="e">
        <f aca="false">U530-#REF!</f>
        <v>#REF!</v>
      </c>
      <c r="AC530" s="14" t="n">
        <f aca="false">(V530+W530)-(B530+C530)</f>
        <v>0</v>
      </c>
      <c r="AD530" s="4" t="str">
        <f aca="false">INT((V530+W530)-(B530+C530)) &amp; ":" &amp;
TEXT(HOUR((V530+W530)-(B530+C530)), "00") &amp; ":" &amp;
TEXT(MINUTE((V530+W530)-(B530+C530)), "00")</f>
        <v>0:00:00</v>
      </c>
      <c r="AE530" s="1" t="n">
        <f aca="false">IFERROR(
LEFT(AD530,FIND(":",AD530)-1)
+ MID(AD530,FIND(":",AD530)+1,2)/24
+ RIGHT(AD530,2)/1440,
"")</f>
        <v>0</v>
      </c>
      <c r="AF530" s="4" t="str">
        <f aca="false">INT((X530+Y530)-(B530+C530)) &amp; ":" &amp;
TEXT(HOUR((X530+Y530)-(B530+C530)), "00") &amp; ":" &amp;
TEXT(MINUTE((X530+Y530)-(B530+C530)), "00")</f>
        <v>0:00:00</v>
      </c>
      <c r="AG530" s="4" t="e">
        <f aca="false" t="array" ref="AG530:AG530">INT(_xlfn.XLOOKUP(J530,{"Low","Medium","High","Urgent"},{48,24,12,8})/24) &amp; ":" &amp;
TEXT(MOD(_xlfn.XLOOKUP(J530,{"Low","Medium","High","Urgent"},{48,24,12,8}),24)/24,"hh:mm")</f>
        <v>#N/A</v>
      </c>
      <c r="AH530" s="4" t="e">
        <f aca="false">IF(AD530&gt;AG530,"Not Met","Met")</f>
        <v>#N/A</v>
      </c>
      <c r="AI530" s="4" t="e">
        <f aca="false">IF(AB530&lt;TIME(0,30,0),"Met","Not Met")</f>
        <v>#REF!</v>
      </c>
      <c r="AN530" s="1" t="str">
        <f aca="false">TEXT(B530,"dd")</f>
        <v>30</v>
      </c>
      <c r="AO530" s="1" t="str">
        <f aca="false">TEXT(X530,"dd")</f>
        <v>30</v>
      </c>
      <c r="AP530" s="16" t="str">
        <f aca="false">INT(
  NETWORKDAYS(B530,V530)-1
  + IF(WEEKDAY(V530,2)&lt;6,MOD(V530+W530,1),0)
  - IF(WEEKDAY(B530,2)&lt;6,MOD(B530+C530,1),0)
)
&amp; ":" &amp;
TEXT(HOUR(
  NETWORKDAYS(B530,V530)-1
  + IF(WEEKDAY(V530,2)&lt;6,MOD(V530+W530,1),0)
  - IF(WEEKDAY(B530,2)&lt;6,MOD(B530+C530,1),0)
),"00")
&amp; ":" &amp;
TEXT(MINUTE(
  NETWORKDAYS(B530,V530)-1
  + IF(WEEKDAY(V530,2)&lt;6,MOD(V530+W530,1),0)
  - IF(WEEKDAY(B530,2)&lt;6,MOD(B530+C530,1),0)
),"00")</f>
        <v>-1:00:00</v>
      </c>
      <c r="AQ530" s="0" t="n">
        <f aca="false">IFERROR(
LEFT(AP530,FIND(":",AP530)-1)
+ MID(AP530,FIND(":",AP530)+1,2)/24
+ RIGHT(AP530,2)/1440,
"")</f>
        <v>-1</v>
      </c>
      <c r="AR530" s="0" t="n">
        <f aca="false">WEEKNUM(B530,1)</f>
        <v>52</v>
      </c>
      <c r="AS530" s="17" t="str">
        <f aca="false">IF(B530&gt;0, (B530+C530)-TIME(13,30,0), "")</f>
        <v/>
      </c>
      <c r="AT530" s="18" t="str">
        <f aca="false">IF(B530&gt;0, (B530+C530)-TIME(13,30,0), "")</f>
        <v/>
      </c>
      <c r="AU530" s="17" t="str">
        <f aca="false">IF(V530&gt;0, (V530+W530)-TIME(13,30,0), "")</f>
        <v/>
      </c>
      <c r="AV530" s="18" t="str">
        <f aca="false">IF(V530&gt;0, (V530+W530)-TIME(13,30,0), "")</f>
        <v/>
      </c>
    </row>
    <row r="531" customFormat="false" ht="15" hidden="false" customHeight="false" outlineLevel="0" collapsed="false">
      <c r="AB531" s="2" t="e">
        <f aca="false">U531-#REF!</f>
        <v>#REF!</v>
      </c>
      <c r="AC531" s="14" t="n">
        <f aca="false">(V531+W531)-(B531+C531)</f>
        <v>0</v>
      </c>
      <c r="AD531" s="4" t="str">
        <f aca="false">INT((V531+W531)-(B531+C531)) &amp; ":" &amp;
TEXT(HOUR((V531+W531)-(B531+C531)), "00") &amp; ":" &amp;
TEXT(MINUTE((V531+W531)-(B531+C531)), "00")</f>
        <v>0:00:00</v>
      </c>
      <c r="AE531" s="1" t="n">
        <f aca="false">IFERROR(
LEFT(AD531,FIND(":",AD531)-1)
+ MID(AD531,FIND(":",AD531)+1,2)/24
+ RIGHT(AD531,2)/1440,
"")</f>
        <v>0</v>
      </c>
      <c r="AF531" s="4" t="str">
        <f aca="false">INT((X531+Y531)-(B531+C531)) &amp; ":" &amp;
TEXT(HOUR((X531+Y531)-(B531+C531)), "00") &amp; ":" &amp;
TEXT(MINUTE((X531+Y531)-(B531+C531)), "00")</f>
        <v>0:00:00</v>
      </c>
      <c r="AG531" s="4" t="e">
        <f aca="false" t="array" ref="AG531:AG531">INT(_xlfn.XLOOKUP(J531,{"Low","Medium","High","Urgent"},{48,24,12,8})/24) &amp; ":" &amp;
TEXT(MOD(_xlfn.XLOOKUP(J531,{"Low","Medium","High","Urgent"},{48,24,12,8}),24)/24,"hh:mm")</f>
        <v>#N/A</v>
      </c>
      <c r="AH531" s="4" t="e">
        <f aca="false">IF(AD531&gt;AG531,"Not Met","Met")</f>
        <v>#N/A</v>
      </c>
      <c r="AI531" s="4" t="e">
        <f aca="false">IF(AB531&lt;TIME(0,30,0),"Met","Not Met")</f>
        <v>#REF!</v>
      </c>
      <c r="AN531" s="1" t="str">
        <f aca="false">TEXT(B531,"dd")</f>
        <v>30</v>
      </c>
      <c r="AO531" s="1" t="str">
        <f aca="false">TEXT(X531,"dd")</f>
        <v>30</v>
      </c>
      <c r="AP531" s="16" t="str">
        <f aca="false">INT(
  NETWORKDAYS(B531,V531)-1
  + IF(WEEKDAY(V531,2)&lt;6,MOD(V531+W531,1),0)
  - IF(WEEKDAY(B531,2)&lt;6,MOD(B531+C531,1),0)
)
&amp; ":" &amp;
TEXT(HOUR(
  NETWORKDAYS(B531,V531)-1
  + IF(WEEKDAY(V531,2)&lt;6,MOD(V531+W531,1),0)
  - IF(WEEKDAY(B531,2)&lt;6,MOD(B531+C531,1),0)
),"00")
&amp; ":" &amp;
TEXT(MINUTE(
  NETWORKDAYS(B531,V531)-1
  + IF(WEEKDAY(V531,2)&lt;6,MOD(V531+W531,1),0)
  - IF(WEEKDAY(B531,2)&lt;6,MOD(B531+C531,1),0)
),"00")</f>
        <v>-1:00:00</v>
      </c>
      <c r="AQ531" s="0" t="n">
        <f aca="false">IFERROR(
LEFT(AP531,FIND(":",AP531)-1)
+ MID(AP531,FIND(":",AP531)+1,2)/24
+ RIGHT(AP531,2)/1440,
"")</f>
        <v>-1</v>
      </c>
      <c r="AR531" s="0" t="n">
        <f aca="false">WEEKNUM(B531,1)</f>
        <v>52</v>
      </c>
      <c r="AS531" s="17" t="str">
        <f aca="false">IF(B531&gt;0, (B531+C531)-TIME(13,30,0), "")</f>
        <v/>
      </c>
      <c r="AT531" s="18" t="str">
        <f aca="false">IF(B531&gt;0, (B531+C531)-TIME(13,30,0), "")</f>
        <v/>
      </c>
      <c r="AU531" s="17" t="str">
        <f aca="false">IF(V531&gt;0, (V531+W531)-TIME(13,30,0), "")</f>
        <v/>
      </c>
      <c r="AV531" s="18" t="str">
        <f aca="false">IF(V531&gt;0, (V531+W531)-TIME(13,30,0), "")</f>
        <v/>
      </c>
    </row>
    <row r="532" customFormat="false" ht="15" hidden="false" customHeight="false" outlineLevel="0" collapsed="false">
      <c r="AB532" s="2" t="e">
        <f aca="false">U532-#REF!</f>
        <v>#REF!</v>
      </c>
      <c r="AC532" s="14" t="n">
        <f aca="false">(V532+W532)-(B532+C532)</f>
        <v>0</v>
      </c>
      <c r="AD532" s="4" t="str">
        <f aca="false">INT((V532+W532)-(B532+C532)) &amp; ":" &amp;
TEXT(HOUR((V532+W532)-(B532+C532)), "00") &amp; ":" &amp;
TEXT(MINUTE((V532+W532)-(B532+C532)), "00")</f>
        <v>0:00:00</v>
      </c>
      <c r="AE532" s="1" t="n">
        <f aca="false">IFERROR(
LEFT(AD532,FIND(":",AD532)-1)
+ MID(AD532,FIND(":",AD532)+1,2)/24
+ RIGHT(AD532,2)/1440,
"")</f>
        <v>0</v>
      </c>
      <c r="AF532" s="4" t="str">
        <f aca="false">INT((X532+Y532)-(B532+C532)) &amp; ":" &amp;
TEXT(HOUR((X532+Y532)-(B532+C532)), "00") &amp; ":" &amp;
TEXT(MINUTE((X532+Y532)-(B532+C532)), "00")</f>
        <v>0:00:00</v>
      </c>
      <c r="AG532" s="4" t="e">
        <f aca="false" t="array" ref="AG532:AG532">INT(_xlfn.XLOOKUP(J532,{"Low","Medium","High","Urgent"},{48,24,12,8})/24) &amp; ":" &amp;
TEXT(MOD(_xlfn.XLOOKUP(J532,{"Low","Medium","High","Urgent"},{48,24,12,8}),24)/24,"hh:mm")</f>
        <v>#N/A</v>
      </c>
      <c r="AH532" s="4" t="e">
        <f aca="false">IF(AD532&gt;AG532,"Not Met","Met")</f>
        <v>#N/A</v>
      </c>
      <c r="AI532" s="4" t="e">
        <f aca="false">IF(AB532&lt;TIME(0,30,0),"Met","Not Met")</f>
        <v>#REF!</v>
      </c>
      <c r="AN532" s="1" t="str">
        <f aca="false">TEXT(B532,"dd")</f>
        <v>30</v>
      </c>
      <c r="AO532" s="1" t="str">
        <f aca="false">TEXT(X532,"dd")</f>
        <v>30</v>
      </c>
      <c r="AP532" s="16" t="str">
        <f aca="false">INT(
  NETWORKDAYS(B532,V532)-1
  + IF(WEEKDAY(V532,2)&lt;6,MOD(V532+W532,1),0)
  - IF(WEEKDAY(B532,2)&lt;6,MOD(B532+C532,1),0)
)
&amp; ":" &amp;
TEXT(HOUR(
  NETWORKDAYS(B532,V532)-1
  + IF(WEEKDAY(V532,2)&lt;6,MOD(V532+W532,1),0)
  - IF(WEEKDAY(B532,2)&lt;6,MOD(B532+C532,1),0)
),"00")
&amp; ":" &amp;
TEXT(MINUTE(
  NETWORKDAYS(B532,V532)-1
  + IF(WEEKDAY(V532,2)&lt;6,MOD(V532+W532,1),0)
  - IF(WEEKDAY(B532,2)&lt;6,MOD(B532+C532,1),0)
),"00")</f>
        <v>-1:00:00</v>
      </c>
      <c r="AQ532" s="0" t="n">
        <f aca="false">IFERROR(
LEFT(AP532,FIND(":",AP532)-1)
+ MID(AP532,FIND(":",AP532)+1,2)/24
+ RIGHT(AP532,2)/1440,
"")</f>
        <v>-1</v>
      </c>
      <c r="AR532" s="0" t="n">
        <f aca="false">WEEKNUM(B532,1)</f>
        <v>52</v>
      </c>
      <c r="AS532" s="17" t="str">
        <f aca="false">IF(B532&gt;0, (B532+C532)-TIME(13,30,0), "")</f>
        <v/>
      </c>
      <c r="AT532" s="18" t="str">
        <f aca="false">IF(B532&gt;0, (B532+C532)-TIME(13,30,0), "")</f>
        <v/>
      </c>
      <c r="AU532" s="17" t="str">
        <f aca="false">IF(V532&gt;0, (V532+W532)-TIME(13,30,0), "")</f>
        <v/>
      </c>
      <c r="AV532" s="18" t="str">
        <f aca="false">IF(V532&gt;0, (V532+W532)-TIME(13,30,0), "")</f>
        <v/>
      </c>
    </row>
    <row r="533" customFormat="false" ht="15" hidden="false" customHeight="false" outlineLevel="0" collapsed="false">
      <c r="AB533" s="2" t="e">
        <f aca="false">U533-#REF!</f>
        <v>#REF!</v>
      </c>
      <c r="AC533" s="14" t="n">
        <f aca="false">(V533+W533)-(B533+C533)</f>
        <v>0</v>
      </c>
      <c r="AD533" s="4" t="str">
        <f aca="false">INT((V533+W533)-(B533+C533)) &amp; ":" &amp;
TEXT(HOUR((V533+W533)-(B533+C533)), "00") &amp; ":" &amp;
TEXT(MINUTE((V533+W533)-(B533+C533)), "00")</f>
        <v>0:00:00</v>
      </c>
      <c r="AE533" s="1" t="n">
        <f aca="false">IFERROR(
LEFT(AD533,FIND(":",AD533)-1)
+ MID(AD533,FIND(":",AD533)+1,2)/24
+ RIGHT(AD533,2)/1440,
"")</f>
        <v>0</v>
      </c>
      <c r="AF533" s="4" t="str">
        <f aca="false">INT((X533+Y533)-(B533+C533)) &amp; ":" &amp;
TEXT(HOUR((X533+Y533)-(B533+C533)), "00") &amp; ":" &amp;
TEXT(MINUTE((X533+Y533)-(B533+C533)), "00")</f>
        <v>0:00:00</v>
      </c>
      <c r="AG533" s="4" t="e">
        <f aca="false" t="array" ref="AG533:AG533">INT(_xlfn.XLOOKUP(J533,{"Low","Medium","High","Urgent"},{48,24,12,8})/24) &amp; ":" &amp;
TEXT(MOD(_xlfn.XLOOKUP(J533,{"Low","Medium","High","Urgent"},{48,24,12,8}),24)/24,"hh:mm")</f>
        <v>#N/A</v>
      </c>
      <c r="AH533" s="4" t="e">
        <f aca="false">IF(AD533&gt;AG533,"Not Met","Met")</f>
        <v>#N/A</v>
      </c>
      <c r="AI533" s="4" t="e">
        <f aca="false">IF(AB533&lt;TIME(0,30,0),"Met","Not Met")</f>
        <v>#REF!</v>
      </c>
      <c r="AN533" s="1" t="str">
        <f aca="false">TEXT(B533,"dd")</f>
        <v>30</v>
      </c>
      <c r="AO533" s="1" t="str">
        <f aca="false">TEXT(X533,"dd")</f>
        <v>30</v>
      </c>
      <c r="AP533" s="16" t="str">
        <f aca="false">INT(
  NETWORKDAYS(B533,V533)-1
  + IF(WEEKDAY(V533,2)&lt;6,MOD(V533+W533,1),0)
  - IF(WEEKDAY(B533,2)&lt;6,MOD(B533+C533,1),0)
)
&amp; ":" &amp;
TEXT(HOUR(
  NETWORKDAYS(B533,V533)-1
  + IF(WEEKDAY(V533,2)&lt;6,MOD(V533+W533,1),0)
  - IF(WEEKDAY(B533,2)&lt;6,MOD(B533+C533,1),0)
),"00")
&amp; ":" &amp;
TEXT(MINUTE(
  NETWORKDAYS(B533,V533)-1
  + IF(WEEKDAY(V533,2)&lt;6,MOD(V533+W533,1),0)
  - IF(WEEKDAY(B533,2)&lt;6,MOD(B533+C533,1),0)
),"00")</f>
        <v>-1:00:00</v>
      </c>
      <c r="AQ533" s="0" t="n">
        <f aca="false">IFERROR(
LEFT(AP533,FIND(":",AP533)-1)
+ MID(AP533,FIND(":",AP533)+1,2)/24
+ RIGHT(AP533,2)/1440,
"")</f>
        <v>-1</v>
      </c>
      <c r="AR533" s="0" t="n">
        <f aca="false">WEEKNUM(B533,1)</f>
        <v>52</v>
      </c>
      <c r="AS533" s="17" t="str">
        <f aca="false">IF(B533&gt;0, (B533+C533)-TIME(13,30,0), "")</f>
        <v/>
      </c>
      <c r="AT533" s="18" t="str">
        <f aca="false">IF(B533&gt;0, (B533+C533)-TIME(13,30,0), "")</f>
        <v/>
      </c>
      <c r="AU533" s="17" t="str">
        <f aca="false">IF(V533&gt;0, (V533+W533)-TIME(13,30,0), "")</f>
        <v/>
      </c>
      <c r="AV533" s="18" t="str">
        <f aca="false">IF(V533&gt;0, (V533+W533)-TIME(13,30,0), "")</f>
        <v/>
      </c>
    </row>
    <row r="534" customFormat="false" ht="15" hidden="false" customHeight="false" outlineLevel="0" collapsed="false">
      <c r="AB534" s="2" t="e">
        <f aca="false">U534-#REF!</f>
        <v>#REF!</v>
      </c>
      <c r="AC534" s="14" t="n">
        <f aca="false">(V534+W534)-(B534+C534)</f>
        <v>0</v>
      </c>
      <c r="AD534" s="4" t="str">
        <f aca="false">INT((V534+W534)-(B534+C534)) &amp; ":" &amp;
TEXT(HOUR((V534+W534)-(B534+C534)), "00") &amp; ":" &amp;
TEXT(MINUTE((V534+W534)-(B534+C534)), "00")</f>
        <v>0:00:00</v>
      </c>
      <c r="AE534" s="1" t="n">
        <f aca="false">IFERROR(
LEFT(AD534,FIND(":",AD534)-1)
+ MID(AD534,FIND(":",AD534)+1,2)/24
+ RIGHT(AD534,2)/1440,
"")</f>
        <v>0</v>
      </c>
      <c r="AF534" s="4" t="str">
        <f aca="false">INT((X534+Y534)-(B534+C534)) &amp; ":" &amp;
TEXT(HOUR((X534+Y534)-(B534+C534)), "00") &amp; ":" &amp;
TEXT(MINUTE((X534+Y534)-(B534+C534)), "00")</f>
        <v>0:00:00</v>
      </c>
      <c r="AG534" s="4" t="e">
        <f aca="false" t="array" ref="AG534:AG534">INT(_xlfn.XLOOKUP(J534,{"Low","Medium","High","Urgent"},{48,24,12,8})/24) &amp; ":" &amp;
TEXT(MOD(_xlfn.XLOOKUP(J534,{"Low","Medium","High","Urgent"},{48,24,12,8}),24)/24,"hh:mm")</f>
        <v>#N/A</v>
      </c>
      <c r="AH534" s="4" t="e">
        <f aca="false">IF(AD534&gt;AG534,"Not Met","Met")</f>
        <v>#N/A</v>
      </c>
      <c r="AI534" s="4" t="e">
        <f aca="false">IF(AB534&lt;TIME(0,30,0),"Met","Not Met")</f>
        <v>#REF!</v>
      </c>
      <c r="AN534" s="1" t="str">
        <f aca="false">TEXT(B534,"dd")</f>
        <v>30</v>
      </c>
      <c r="AO534" s="1" t="str">
        <f aca="false">TEXT(X534,"dd")</f>
        <v>30</v>
      </c>
      <c r="AP534" s="16" t="str">
        <f aca="false">INT(
  NETWORKDAYS(B534,V534)-1
  + IF(WEEKDAY(V534,2)&lt;6,MOD(V534+W534,1),0)
  - IF(WEEKDAY(B534,2)&lt;6,MOD(B534+C534,1),0)
)
&amp; ":" &amp;
TEXT(HOUR(
  NETWORKDAYS(B534,V534)-1
  + IF(WEEKDAY(V534,2)&lt;6,MOD(V534+W534,1),0)
  - IF(WEEKDAY(B534,2)&lt;6,MOD(B534+C534,1),0)
),"00")
&amp; ":" &amp;
TEXT(MINUTE(
  NETWORKDAYS(B534,V534)-1
  + IF(WEEKDAY(V534,2)&lt;6,MOD(V534+W534,1),0)
  - IF(WEEKDAY(B534,2)&lt;6,MOD(B534+C534,1),0)
),"00")</f>
        <v>-1:00:00</v>
      </c>
      <c r="AQ534" s="0" t="n">
        <f aca="false">IFERROR(
LEFT(AP534,FIND(":",AP534)-1)
+ MID(AP534,FIND(":",AP534)+1,2)/24
+ RIGHT(AP534,2)/1440,
"")</f>
        <v>-1</v>
      </c>
      <c r="AR534" s="0" t="n">
        <f aca="false">WEEKNUM(B534,1)</f>
        <v>52</v>
      </c>
      <c r="AS534" s="17" t="str">
        <f aca="false">IF(B534&gt;0, (B534+C534)-TIME(13,30,0), "")</f>
        <v/>
      </c>
      <c r="AT534" s="18" t="str">
        <f aca="false">IF(B534&gt;0, (B534+C534)-TIME(13,30,0), "")</f>
        <v/>
      </c>
      <c r="AU534" s="17" t="str">
        <f aca="false">IF(V534&gt;0, (V534+W534)-TIME(13,30,0), "")</f>
        <v/>
      </c>
      <c r="AV534" s="18" t="str">
        <f aca="false">IF(V534&gt;0, (V534+W534)-TIME(13,30,0), "")</f>
        <v/>
      </c>
    </row>
    <row r="535" customFormat="false" ht="15" hidden="false" customHeight="false" outlineLevel="0" collapsed="false">
      <c r="AB535" s="2" t="e">
        <f aca="false">U535-#REF!</f>
        <v>#REF!</v>
      </c>
      <c r="AC535" s="14" t="n">
        <f aca="false">(V535+W535)-(B535+C535)</f>
        <v>0</v>
      </c>
      <c r="AD535" s="4" t="str">
        <f aca="false">INT((V535+W535)-(B535+C535)) &amp; ":" &amp;
TEXT(HOUR((V535+W535)-(B535+C535)), "00") &amp; ":" &amp;
TEXT(MINUTE((V535+W535)-(B535+C535)), "00")</f>
        <v>0:00:00</v>
      </c>
      <c r="AE535" s="1" t="n">
        <f aca="false">IFERROR(
LEFT(AD535,FIND(":",AD535)-1)
+ MID(AD535,FIND(":",AD535)+1,2)/24
+ RIGHT(AD535,2)/1440,
"")</f>
        <v>0</v>
      </c>
      <c r="AF535" s="4" t="str">
        <f aca="false">INT((X535+Y535)-(B535+C535)) &amp; ":" &amp;
TEXT(HOUR((X535+Y535)-(B535+C535)), "00") &amp; ":" &amp;
TEXT(MINUTE((X535+Y535)-(B535+C535)), "00")</f>
        <v>0:00:00</v>
      </c>
      <c r="AG535" s="4" t="e">
        <f aca="false" t="array" ref="AG535:AG535">INT(_xlfn.XLOOKUP(J535,{"Low","Medium","High","Urgent"},{48,24,12,8})/24) &amp; ":" &amp;
TEXT(MOD(_xlfn.XLOOKUP(J535,{"Low","Medium","High","Urgent"},{48,24,12,8}),24)/24,"hh:mm")</f>
        <v>#N/A</v>
      </c>
      <c r="AH535" s="4" t="e">
        <f aca="false">IF(AD535&gt;AG535,"Not Met","Met")</f>
        <v>#N/A</v>
      </c>
      <c r="AI535" s="4" t="e">
        <f aca="false">IF(AB535&lt;TIME(0,30,0),"Met","Not Met")</f>
        <v>#REF!</v>
      </c>
      <c r="AN535" s="1" t="str">
        <f aca="false">TEXT(B535,"dd")</f>
        <v>30</v>
      </c>
      <c r="AO535" s="1" t="str">
        <f aca="false">TEXT(X535,"dd")</f>
        <v>30</v>
      </c>
      <c r="AP535" s="16" t="str">
        <f aca="false">INT(
  NETWORKDAYS(B535,V535)-1
  + IF(WEEKDAY(V535,2)&lt;6,MOD(V535+W535,1),0)
  - IF(WEEKDAY(B535,2)&lt;6,MOD(B535+C535,1),0)
)
&amp; ":" &amp;
TEXT(HOUR(
  NETWORKDAYS(B535,V535)-1
  + IF(WEEKDAY(V535,2)&lt;6,MOD(V535+W535,1),0)
  - IF(WEEKDAY(B535,2)&lt;6,MOD(B535+C535,1),0)
),"00")
&amp; ":" &amp;
TEXT(MINUTE(
  NETWORKDAYS(B535,V535)-1
  + IF(WEEKDAY(V535,2)&lt;6,MOD(V535+W535,1),0)
  - IF(WEEKDAY(B535,2)&lt;6,MOD(B535+C535,1),0)
),"00")</f>
        <v>-1:00:00</v>
      </c>
      <c r="AQ535" s="0" t="n">
        <f aca="false">IFERROR(
LEFT(AP535,FIND(":",AP535)-1)
+ MID(AP535,FIND(":",AP535)+1,2)/24
+ RIGHT(AP535,2)/1440,
"")</f>
        <v>-1</v>
      </c>
      <c r="AR535" s="0" t="n">
        <f aca="false">WEEKNUM(B535,1)</f>
        <v>52</v>
      </c>
      <c r="AS535" s="17" t="str">
        <f aca="false">IF(B535&gt;0, (B535+C535)-TIME(13,30,0), "")</f>
        <v/>
      </c>
      <c r="AT535" s="18" t="str">
        <f aca="false">IF(B535&gt;0, (B535+C535)-TIME(13,30,0), "")</f>
        <v/>
      </c>
      <c r="AU535" s="17" t="str">
        <f aca="false">IF(V535&gt;0, (V535+W535)-TIME(13,30,0), "")</f>
        <v/>
      </c>
      <c r="AV535" s="18" t="str">
        <f aca="false">IF(V535&gt;0, (V535+W535)-TIME(13,30,0), "")</f>
        <v/>
      </c>
    </row>
    <row r="536" customFormat="false" ht="15" hidden="false" customHeight="false" outlineLevel="0" collapsed="false">
      <c r="AB536" s="2" t="e">
        <f aca="false">U536-#REF!</f>
        <v>#REF!</v>
      </c>
      <c r="AC536" s="14" t="n">
        <f aca="false">(V536+W536)-(B536+C536)</f>
        <v>0</v>
      </c>
      <c r="AD536" s="4" t="str">
        <f aca="false">INT((V536+W536)-(B536+C536)) &amp; ":" &amp;
TEXT(HOUR((V536+W536)-(B536+C536)), "00") &amp; ":" &amp;
TEXT(MINUTE((V536+W536)-(B536+C536)), "00")</f>
        <v>0:00:00</v>
      </c>
      <c r="AE536" s="1" t="n">
        <f aca="false">IFERROR(
LEFT(AD536,FIND(":",AD536)-1)
+ MID(AD536,FIND(":",AD536)+1,2)/24
+ RIGHT(AD536,2)/1440,
"")</f>
        <v>0</v>
      </c>
      <c r="AF536" s="4" t="str">
        <f aca="false">INT((X536+Y536)-(B536+C536)) &amp; ":" &amp;
TEXT(HOUR((X536+Y536)-(B536+C536)), "00") &amp; ":" &amp;
TEXT(MINUTE((X536+Y536)-(B536+C536)), "00")</f>
        <v>0:00:00</v>
      </c>
      <c r="AG536" s="4" t="e">
        <f aca="false" t="array" ref="AG536:AG536">INT(_xlfn.XLOOKUP(J536,{"Low","Medium","High","Urgent"},{48,24,12,8})/24) &amp; ":" &amp;
TEXT(MOD(_xlfn.XLOOKUP(J536,{"Low","Medium","High","Urgent"},{48,24,12,8}),24)/24,"hh:mm")</f>
        <v>#N/A</v>
      </c>
      <c r="AH536" s="4" t="e">
        <f aca="false">IF(AD536&gt;AG536,"Not Met","Met")</f>
        <v>#N/A</v>
      </c>
      <c r="AI536" s="4" t="e">
        <f aca="false">IF(AB536&lt;TIME(0,30,0),"Met","Not Met")</f>
        <v>#REF!</v>
      </c>
      <c r="AN536" s="1" t="str">
        <f aca="false">TEXT(B536,"dd")</f>
        <v>30</v>
      </c>
      <c r="AO536" s="1" t="str">
        <f aca="false">TEXT(X536,"dd")</f>
        <v>30</v>
      </c>
      <c r="AP536" s="16" t="str">
        <f aca="false">INT(
  NETWORKDAYS(B536,V536)-1
  + IF(WEEKDAY(V536,2)&lt;6,MOD(V536+W536,1),0)
  - IF(WEEKDAY(B536,2)&lt;6,MOD(B536+C536,1),0)
)
&amp; ":" &amp;
TEXT(HOUR(
  NETWORKDAYS(B536,V536)-1
  + IF(WEEKDAY(V536,2)&lt;6,MOD(V536+W536,1),0)
  - IF(WEEKDAY(B536,2)&lt;6,MOD(B536+C536,1),0)
),"00")
&amp; ":" &amp;
TEXT(MINUTE(
  NETWORKDAYS(B536,V536)-1
  + IF(WEEKDAY(V536,2)&lt;6,MOD(V536+W536,1),0)
  - IF(WEEKDAY(B536,2)&lt;6,MOD(B536+C536,1),0)
),"00")</f>
        <v>-1:00:00</v>
      </c>
      <c r="AQ536" s="0" t="n">
        <f aca="false">IFERROR(
LEFT(AP536,FIND(":",AP536)-1)
+ MID(AP536,FIND(":",AP536)+1,2)/24
+ RIGHT(AP536,2)/1440,
"")</f>
        <v>-1</v>
      </c>
      <c r="AR536" s="0" t="n">
        <f aca="false">WEEKNUM(B536,1)</f>
        <v>52</v>
      </c>
      <c r="AS536" s="17" t="str">
        <f aca="false">IF(B536&gt;0, (B536+C536)-TIME(13,30,0), "")</f>
        <v/>
      </c>
      <c r="AT536" s="18" t="str">
        <f aca="false">IF(B536&gt;0, (B536+C536)-TIME(13,30,0), "")</f>
        <v/>
      </c>
      <c r="AU536" s="17" t="str">
        <f aca="false">IF(V536&gt;0, (V536+W536)-TIME(13,30,0), "")</f>
        <v/>
      </c>
      <c r="AV536" s="18" t="str">
        <f aca="false">IF(V536&gt;0, (V536+W536)-TIME(13,30,0), "")</f>
        <v/>
      </c>
    </row>
    <row r="537" customFormat="false" ht="15" hidden="false" customHeight="false" outlineLevel="0" collapsed="false">
      <c r="AB537" s="2" t="e">
        <f aca="false">U537-#REF!</f>
        <v>#REF!</v>
      </c>
      <c r="AC537" s="14" t="n">
        <f aca="false">(V537+W537)-(B537+C537)</f>
        <v>0</v>
      </c>
      <c r="AD537" s="4" t="str">
        <f aca="false">INT((V537+W537)-(B537+C537)) &amp; ":" &amp;
TEXT(HOUR((V537+W537)-(B537+C537)), "00") &amp; ":" &amp;
TEXT(MINUTE((V537+W537)-(B537+C537)), "00")</f>
        <v>0:00:00</v>
      </c>
      <c r="AE537" s="1" t="n">
        <f aca="false">IFERROR(
LEFT(AD537,FIND(":",AD537)-1)
+ MID(AD537,FIND(":",AD537)+1,2)/24
+ RIGHT(AD537,2)/1440,
"")</f>
        <v>0</v>
      </c>
      <c r="AF537" s="4" t="str">
        <f aca="false">INT((X537+Y537)-(B537+C537)) &amp; ":" &amp;
TEXT(HOUR((X537+Y537)-(B537+C537)), "00") &amp; ":" &amp;
TEXT(MINUTE((X537+Y537)-(B537+C537)), "00")</f>
        <v>0:00:00</v>
      </c>
      <c r="AG537" s="4" t="e">
        <f aca="false" t="array" ref="AG537:AG537">INT(_xlfn.XLOOKUP(J537,{"Low","Medium","High","Urgent"},{48,24,12,8})/24) &amp; ":" &amp;
TEXT(MOD(_xlfn.XLOOKUP(J537,{"Low","Medium","High","Urgent"},{48,24,12,8}),24)/24,"hh:mm")</f>
        <v>#N/A</v>
      </c>
      <c r="AH537" s="4" t="e">
        <f aca="false">IF(AD537&gt;AG537,"Not Met","Met")</f>
        <v>#N/A</v>
      </c>
      <c r="AI537" s="4" t="e">
        <f aca="false">IF(AB537&lt;TIME(0,30,0),"Met","Not Met")</f>
        <v>#REF!</v>
      </c>
      <c r="AN537" s="1" t="str">
        <f aca="false">TEXT(B537,"dd")</f>
        <v>30</v>
      </c>
      <c r="AO537" s="1" t="str">
        <f aca="false">TEXT(X537,"dd")</f>
        <v>30</v>
      </c>
      <c r="AP537" s="16" t="str">
        <f aca="false">INT(
  NETWORKDAYS(B537,V537)-1
  + IF(WEEKDAY(V537,2)&lt;6,MOD(V537+W537,1),0)
  - IF(WEEKDAY(B537,2)&lt;6,MOD(B537+C537,1),0)
)
&amp; ":" &amp;
TEXT(HOUR(
  NETWORKDAYS(B537,V537)-1
  + IF(WEEKDAY(V537,2)&lt;6,MOD(V537+W537,1),0)
  - IF(WEEKDAY(B537,2)&lt;6,MOD(B537+C537,1),0)
),"00")
&amp; ":" &amp;
TEXT(MINUTE(
  NETWORKDAYS(B537,V537)-1
  + IF(WEEKDAY(V537,2)&lt;6,MOD(V537+W537,1),0)
  - IF(WEEKDAY(B537,2)&lt;6,MOD(B537+C537,1),0)
),"00")</f>
        <v>-1:00:00</v>
      </c>
      <c r="AQ537" s="0" t="n">
        <f aca="false">IFERROR(
LEFT(AP537,FIND(":",AP537)-1)
+ MID(AP537,FIND(":",AP537)+1,2)/24
+ RIGHT(AP537,2)/1440,
"")</f>
        <v>-1</v>
      </c>
      <c r="AR537" s="0" t="n">
        <f aca="false">WEEKNUM(B537,1)</f>
        <v>52</v>
      </c>
      <c r="AS537" s="17" t="str">
        <f aca="false">IF(B537&gt;0, (B537+C537)-TIME(13,30,0), "")</f>
        <v/>
      </c>
      <c r="AT537" s="18" t="str">
        <f aca="false">IF(B537&gt;0, (B537+C537)-TIME(13,30,0), "")</f>
        <v/>
      </c>
      <c r="AU537" s="17" t="str">
        <f aca="false">IF(V537&gt;0, (V537+W537)-TIME(13,30,0), "")</f>
        <v/>
      </c>
      <c r="AV537" s="18" t="str">
        <f aca="false">IF(V537&gt;0, (V537+W537)-TIME(13,30,0), "")</f>
        <v/>
      </c>
    </row>
    <row r="538" customFormat="false" ht="15" hidden="false" customHeight="false" outlineLevel="0" collapsed="false">
      <c r="AB538" s="2" t="e">
        <f aca="false">U538-#REF!</f>
        <v>#REF!</v>
      </c>
      <c r="AC538" s="14" t="n">
        <f aca="false">(V538+W538)-(B538+C538)</f>
        <v>0</v>
      </c>
      <c r="AD538" s="4" t="str">
        <f aca="false">INT((V538+W538)-(B538+C538)) &amp; ":" &amp;
TEXT(HOUR((V538+W538)-(B538+C538)), "00") &amp; ":" &amp;
TEXT(MINUTE((V538+W538)-(B538+C538)), "00")</f>
        <v>0:00:00</v>
      </c>
      <c r="AE538" s="1" t="n">
        <f aca="false">IFERROR(
LEFT(AD538,FIND(":",AD538)-1)
+ MID(AD538,FIND(":",AD538)+1,2)/24
+ RIGHT(AD538,2)/1440,
"")</f>
        <v>0</v>
      </c>
      <c r="AF538" s="4" t="str">
        <f aca="false">INT((X538+Y538)-(B538+C538)) &amp; ":" &amp;
TEXT(HOUR((X538+Y538)-(B538+C538)), "00") &amp; ":" &amp;
TEXT(MINUTE((X538+Y538)-(B538+C538)), "00")</f>
        <v>0:00:00</v>
      </c>
      <c r="AG538" s="4" t="e">
        <f aca="false" t="array" ref="AG538:AG538">INT(_xlfn.XLOOKUP(J538,{"Low","Medium","High","Urgent"},{48,24,12,8})/24) &amp; ":" &amp;
TEXT(MOD(_xlfn.XLOOKUP(J538,{"Low","Medium","High","Urgent"},{48,24,12,8}),24)/24,"hh:mm")</f>
        <v>#N/A</v>
      </c>
      <c r="AH538" s="4" t="e">
        <f aca="false">IF(AD538&gt;AG538,"Not Met","Met")</f>
        <v>#N/A</v>
      </c>
      <c r="AI538" s="4" t="e">
        <f aca="false">IF(AB538&lt;TIME(0,30,0),"Met","Not Met")</f>
        <v>#REF!</v>
      </c>
      <c r="AN538" s="1" t="str">
        <f aca="false">TEXT(B538,"dd")</f>
        <v>30</v>
      </c>
      <c r="AO538" s="1" t="str">
        <f aca="false">TEXT(X538,"dd")</f>
        <v>30</v>
      </c>
      <c r="AP538" s="16" t="str">
        <f aca="false">INT(
  NETWORKDAYS(B538,V538)-1
  + IF(WEEKDAY(V538,2)&lt;6,MOD(V538+W538,1),0)
  - IF(WEEKDAY(B538,2)&lt;6,MOD(B538+C538,1),0)
)
&amp; ":" &amp;
TEXT(HOUR(
  NETWORKDAYS(B538,V538)-1
  + IF(WEEKDAY(V538,2)&lt;6,MOD(V538+W538,1),0)
  - IF(WEEKDAY(B538,2)&lt;6,MOD(B538+C538,1),0)
),"00")
&amp; ":" &amp;
TEXT(MINUTE(
  NETWORKDAYS(B538,V538)-1
  + IF(WEEKDAY(V538,2)&lt;6,MOD(V538+W538,1),0)
  - IF(WEEKDAY(B538,2)&lt;6,MOD(B538+C538,1),0)
),"00")</f>
        <v>-1:00:00</v>
      </c>
      <c r="AQ538" s="0" t="n">
        <f aca="false">IFERROR(
LEFT(AP538,FIND(":",AP538)-1)
+ MID(AP538,FIND(":",AP538)+1,2)/24
+ RIGHT(AP538,2)/1440,
"")</f>
        <v>-1</v>
      </c>
      <c r="AR538" s="0" t="n">
        <f aca="false">WEEKNUM(B538,1)</f>
        <v>52</v>
      </c>
      <c r="AS538" s="17" t="str">
        <f aca="false">IF(B538&gt;0, (B538+C538)-TIME(13,30,0), "")</f>
        <v/>
      </c>
      <c r="AT538" s="18" t="str">
        <f aca="false">IF(B538&gt;0, (B538+C538)-TIME(13,30,0), "")</f>
        <v/>
      </c>
      <c r="AU538" s="17" t="str">
        <f aca="false">IF(V538&gt;0, (V538+W538)-TIME(13,30,0), "")</f>
        <v/>
      </c>
      <c r="AV538" s="18" t="str">
        <f aca="false">IF(V538&gt;0, (V538+W538)-TIME(13,30,0), "")</f>
        <v/>
      </c>
    </row>
    <row r="539" customFormat="false" ht="15" hidden="false" customHeight="false" outlineLevel="0" collapsed="false">
      <c r="AB539" s="2" t="e">
        <f aca="false">U539-#REF!</f>
        <v>#REF!</v>
      </c>
      <c r="AC539" s="14" t="n">
        <f aca="false">(V539+W539)-(B539+C539)</f>
        <v>0</v>
      </c>
      <c r="AD539" s="4" t="str">
        <f aca="false">INT((V539+W539)-(B539+C539)) &amp; ":" &amp;
TEXT(HOUR((V539+W539)-(B539+C539)), "00") &amp; ":" &amp;
TEXT(MINUTE((V539+W539)-(B539+C539)), "00")</f>
        <v>0:00:00</v>
      </c>
      <c r="AE539" s="1" t="n">
        <f aca="false">IFERROR(
LEFT(AD539,FIND(":",AD539)-1)
+ MID(AD539,FIND(":",AD539)+1,2)/24
+ RIGHT(AD539,2)/1440,
"")</f>
        <v>0</v>
      </c>
      <c r="AF539" s="4" t="str">
        <f aca="false">INT((X539+Y539)-(B539+C539)) &amp; ":" &amp;
TEXT(HOUR((X539+Y539)-(B539+C539)), "00") &amp; ":" &amp;
TEXT(MINUTE((X539+Y539)-(B539+C539)), "00")</f>
        <v>0:00:00</v>
      </c>
      <c r="AG539" s="4" t="e">
        <f aca="false" t="array" ref="AG539:AG539">INT(_xlfn.XLOOKUP(J539,{"Low","Medium","High","Urgent"},{48,24,12,8})/24) &amp; ":" &amp;
TEXT(MOD(_xlfn.XLOOKUP(J539,{"Low","Medium","High","Urgent"},{48,24,12,8}),24)/24,"hh:mm")</f>
        <v>#N/A</v>
      </c>
      <c r="AH539" s="4" t="e">
        <f aca="false">IF(AD539&gt;AG539,"Not Met","Met")</f>
        <v>#N/A</v>
      </c>
      <c r="AI539" s="4" t="e">
        <f aca="false">IF(AB539&lt;TIME(0,30,0),"Met","Not Met")</f>
        <v>#REF!</v>
      </c>
      <c r="AN539" s="1" t="str">
        <f aca="false">TEXT(B539,"dd")</f>
        <v>30</v>
      </c>
      <c r="AO539" s="1" t="str">
        <f aca="false">TEXT(X539,"dd")</f>
        <v>30</v>
      </c>
      <c r="AP539" s="16" t="str">
        <f aca="false">INT(
  NETWORKDAYS(B539,V539)-1
  + IF(WEEKDAY(V539,2)&lt;6,MOD(V539+W539,1),0)
  - IF(WEEKDAY(B539,2)&lt;6,MOD(B539+C539,1),0)
)
&amp; ":" &amp;
TEXT(HOUR(
  NETWORKDAYS(B539,V539)-1
  + IF(WEEKDAY(V539,2)&lt;6,MOD(V539+W539,1),0)
  - IF(WEEKDAY(B539,2)&lt;6,MOD(B539+C539,1),0)
),"00")
&amp; ":" &amp;
TEXT(MINUTE(
  NETWORKDAYS(B539,V539)-1
  + IF(WEEKDAY(V539,2)&lt;6,MOD(V539+W539,1),0)
  - IF(WEEKDAY(B539,2)&lt;6,MOD(B539+C539,1),0)
),"00")</f>
        <v>-1:00:00</v>
      </c>
      <c r="AQ539" s="0" t="n">
        <f aca="false">IFERROR(
LEFT(AP539,FIND(":",AP539)-1)
+ MID(AP539,FIND(":",AP539)+1,2)/24
+ RIGHT(AP539,2)/1440,
"")</f>
        <v>-1</v>
      </c>
      <c r="AR539" s="0" t="n">
        <f aca="false">WEEKNUM(B539,1)</f>
        <v>52</v>
      </c>
      <c r="AS539" s="17" t="str">
        <f aca="false">IF(B539&gt;0, (B539+C539)-TIME(13,30,0), "")</f>
        <v/>
      </c>
      <c r="AT539" s="18" t="str">
        <f aca="false">IF(B539&gt;0, (B539+C539)-TIME(13,30,0), "")</f>
        <v/>
      </c>
      <c r="AU539" s="17" t="str">
        <f aca="false">IF(V539&gt;0, (V539+W539)-TIME(13,30,0), "")</f>
        <v/>
      </c>
      <c r="AV539" s="18" t="str">
        <f aca="false">IF(V539&gt;0, (V539+W539)-TIME(13,30,0), "")</f>
        <v/>
      </c>
    </row>
    <row r="540" customFormat="false" ht="15" hidden="false" customHeight="false" outlineLevel="0" collapsed="false">
      <c r="AB540" s="2" t="e">
        <f aca="false">U540-#REF!</f>
        <v>#REF!</v>
      </c>
      <c r="AC540" s="14" t="n">
        <f aca="false">(V540+W540)-(B540+C540)</f>
        <v>0</v>
      </c>
      <c r="AD540" s="4" t="str">
        <f aca="false">INT((V540+W540)-(B540+C540)) &amp; ":" &amp;
TEXT(HOUR((V540+W540)-(B540+C540)), "00") &amp; ":" &amp;
TEXT(MINUTE((V540+W540)-(B540+C540)), "00")</f>
        <v>0:00:00</v>
      </c>
      <c r="AE540" s="1" t="n">
        <f aca="false">IFERROR(
LEFT(AD540,FIND(":",AD540)-1)
+ MID(AD540,FIND(":",AD540)+1,2)/24
+ RIGHT(AD540,2)/1440,
"")</f>
        <v>0</v>
      </c>
      <c r="AF540" s="4" t="str">
        <f aca="false">INT((X540+Y540)-(B540+C540)) &amp; ":" &amp;
TEXT(HOUR((X540+Y540)-(B540+C540)), "00") &amp; ":" &amp;
TEXT(MINUTE((X540+Y540)-(B540+C540)), "00")</f>
        <v>0:00:00</v>
      </c>
      <c r="AG540" s="4" t="e">
        <f aca="false" t="array" ref="AG540:AG540">INT(_xlfn.XLOOKUP(J540,{"Low","Medium","High","Urgent"},{48,24,12,8})/24) &amp; ":" &amp;
TEXT(MOD(_xlfn.XLOOKUP(J540,{"Low","Medium","High","Urgent"},{48,24,12,8}),24)/24,"hh:mm")</f>
        <v>#N/A</v>
      </c>
      <c r="AH540" s="4" t="e">
        <f aca="false">IF(AD540&gt;AG540,"Not Met","Met")</f>
        <v>#N/A</v>
      </c>
      <c r="AI540" s="4" t="e">
        <f aca="false">IF(AB540&lt;TIME(0,30,0),"Met","Not Met")</f>
        <v>#REF!</v>
      </c>
      <c r="AN540" s="1" t="str">
        <f aca="false">TEXT(B540,"dd")</f>
        <v>30</v>
      </c>
      <c r="AO540" s="1" t="str">
        <f aca="false">TEXT(X540,"dd")</f>
        <v>30</v>
      </c>
      <c r="AP540" s="16" t="str">
        <f aca="false">INT(
  NETWORKDAYS(B540,V540)-1
  + IF(WEEKDAY(V540,2)&lt;6,MOD(V540+W540,1),0)
  - IF(WEEKDAY(B540,2)&lt;6,MOD(B540+C540,1),0)
)
&amp; ":" &amp;
TEXT(HOUR(
  NETWORKDAYS(B540,V540)-1
  + IF(WEEKDAY(V540,2)&lt;6,MOD(V540+W540,1),0)
  - IF(WEEKDAY(B540,2)&lt;6,MOD(B540+C540,1),0)
),"00")
&amp; ":" &amp;
TEXT(MINUTE(
  NETWORKDAYS(B540,V540)-1
  + IF(WEEKDAY(V540,2)&lt;6,MOD(V540+W540,1),0)
  - IF(WEEKDAY(B540,2)&lt;6,MOD(B540+C540,1),0)
),"00")</f>
        <v>-1:00:00</v>
      </c>
      <c r="AQ540" s="0" t="n">
        <f aca="false">IFERROR(
LEFT(AP540,FIND(":",AP540)-1)
+ MID(AP540,FIND(":",AP540)+1,2)/24
+ RIGHT(AP540,2)/1440,
"")</f>
        <v>-1</v>
      </c>
      <c r="AR540" s="0" t="n">
        <f aca="false">WEEKNUM(B540,1)</f>
        <v>52</v>
      </c>
      <c r="AS540" s="17" t="str">
        <f aca="false">IF(B540&gt;0, (B540+C540)-TIME(13,30,0), "")</f>
        <v/>
      </c>
      <c r="AT540" s="18" t="str">
        <f aca="false">IF(B540&gt;0, (B540+C540)-TIME(13,30,0), "")</f>
        <v/>
      </c>
      <c r="AU540" s="17" t="str">
        <f aca="false">IF(V540&gt;0, (V540+W540)-TIME(13,30,0), "")</f>
        <v/>
      </c>
      <c r="AV540" s="18" t="str">
        <f aca="false">IF(V540&gt;0, (V540+W540)-TIME(13,30,0), "")</f>
        <v/>
      </c>
    </row>
    <row r="541" customFormat="false" ht="15" hidden="false" customHeight="false" outlineLevel="0" collapsed="false">
      <c r="AB541" s="2" t="e">
        <f aca="false">U541-#REF!</f>
        <v>#REF!</v>
      </c>
      <c r="AC541" s="14" t="n">
        <f aca="false">(V541+W541)-(B541+C541)</f>
        <v>0</v>
      </c>
      <c r="AD541" s="4" t="str">
        <f aca="false">INT((V541+W541)-(B541+C541)) &amp; ":" &amp;
TEXT(HOUR((V541+W541)-(B541+C541)), "00") &amp; ":" &amp;
TEXT(MINUTE((V541+W541)-(B541+C541)), "00")</f>
        <v>0:00:00</v>
      </c>
      <c r="AE541" s="1" t="n">
        <f aca="false">IFERROR(
LEFT(AD541,FIND(":",AD541)-1)
+ MID(AD541,FIND(":",AD541)+1,2)/24
+ RIGHT(AD541,2)/1440,
"")</f>
        <v>0</v>
      </c>
      <c r="AF541" s="4" t="str">
        <f aca="false">INT((X541+Y541)-(B541+C541)) &amp; ":" &amp;
TEXT(HOUR((X541+Y541)-(B541+C541)), "00") &amp; ":" &amp;
TEXT(MINUTE((X541+Y541)-(B541+C541)), "00")</f>
        <v>0:00:00</v>
      </c>
      <c r="AG541" s="4" t="e">
        <f aca="false" t="array" ref="AG541:AG541">INT(_xlfn.XLOOKUP(J541,{"Low","Medium","High","Urgent"},{48,24,12,8})/24) &amp; ":" &amp;
TEXT(MOD(_xlfn.XLOOKUP(J541,{"Low","Medium","High","Urgent"},{48,24,12,8}),24)/24,"hh:mm")</f>
        <v>#N/A</v>
      </c>
      <c r="AH541" s="4" t="e">
        <f aca="false">IF(AD541&gt;AG541,"Not Met","Met")</f>
        <v>#N/A</v>
      </c>
      <c r="AI541" s="4" t="e">
        <f aca="false">IF(AB541&lt;TIME(0,30,0),"Met","Not Met")</f>
        <v>#REF!</v>
      </c>
      <c r="AN541" s="1" t="str">
        <f aca="false">TEXT(B541,"dd")</f>
        <v>30</v>
      </c>
      <c r="AO541" s="1" t="str">
        <f aca="false">TEXT(X541,"dd")</f>
        <v>30</v>
      </c>
      <c r="AP541" s="16" t="str">
        <f aca="false">INT(
  NETWORKDAYS(B541,V541)-1
  + IF(WEEKDAY(V541,2)&lt;6,MOD(V541+W541,1),0)
  - IF(WEEKDAY(B541,2)&lt;6,MOD(B541+C541,1),0)
)
&amp; ":" &amp;
TEXT(HOUR(
  NETWORKDAYS(B541,V541)-1
  + IF(WEEKDAY(V541,2)&lt;6,MOD(V541+W541,1),0)
  - IF(WEEKDAY(B541,2)&lt;6,MOD(B541+C541,1),0)
),"00")
&amp; ":" &amp;
TEXT(MINUTE(
  NETWORKDAYS(B541,V541)-1
  + IF(WEEKDAY(V541,2)&lt;6,MOD(V541+W541,1),0)
  - IF(WEEKDAY(B541,2)&lt;6,MOD(B541+C541,1),0)
),"00")</f>
        <v>-1:00:00</v>
      </c>
      <c r="AQ541" s="0" t="n">
        <f aca="false">IFERROR(
LEFT(AP541,FIND(":",AP541)-1)
+ MID(AP541,FIND(":",AP541)+1,2)/24
+ RIGHT(AP541,2)/1440,
"")</f>
        <v>-1</v>
      </c>
      <c r="AR541" s="0" t="n">
        <f aca="false">WEEKNUM(B541,1)</f>
        <v>52</v>
      </c>
      <c r="AS541" s="17" t="str">
        <f aca="false">IF(B541&gt;0, (B541+C541)-TIME(13,30,0), "")</f>
        <v/>
      </c>
      <c r="AT541" s="18" t="str">
        <f aca="false">IF(B541&gt;0, (B541+C541)-TIME(13,30,0), "")</f>
        <v/>
      </c>
      <c r="AU541" s="17" t="str">
        <f aca="false">IF(V541&gt;0, (V541+W541)-TIME(13,30,0), "")</f>
        <v/>
      </c>
      <c r="AV541" s="18" t="str">
        <f aca="false">IF(V541&gt;0, (V541+W541)-TIME(13,30,0), "")</f>
        <v/>
      </c>
    </row>
    <row r="542" customFormat="false" ht="15" hidden="false" customHeight="false" outlineLevel="0" collapsed="false">
      <c r="AB542" s="2" t="e">
        <f aca="false">U542-#REF!</f>
        <v>#REF!</v>
      </c>
      <c r="AC542" s="14" t="n">
        <f aca="false">(V542+W542)-(B542+C542)</f>
        <v>0</v>
      </c>
      <c r="AD542" s="4" t="str">
        <f aca="false">INT((V542+W542)-(B542+C542)) &amp; ":" &amp;
TEXT(HOUR((V542+W542)-(B542+C542)), "00") &amp; ":" &amp;
TEXT(MINUTE((V542+W542)-(B542+C542)), "00")</f>
        <v>0:00:00</v>
      </c>
      <c r="AE542" s="1" t="n">
        <f aca="false">IFERROR(
LEFT(AD542,FIND(":",AD542)-1)
+ MID(AD542,FIND(":",AD542)+1,2)/24
+ RIGHT(AD542,2)/1440,
"")</f>
        <v>0</v>
      </c>
      <c r="AF542" s="4" t="str">
        <f aca="false">INT((X542+Y542)-(B542+C542)) &amp; ":" &amp;
TEXT(HOUR((X542+Y542)-(B542+C542)), "00") &amp; ":" &amp;
TEXT(MINUTE((X542+Y542)-(B542+C542)), "00")</f>
        <v>0:00:00</v>
      </c>
      <c r="AG542" s="4" t="e">
        <f aca="false" t="array" ref="AG542:AG542">INT(_xlfn.XLOOKUP(J542,{"Low","Medium","High","Urgent"},{48,24,12,8})/24) &amp; ":" &amp;
TEXT(MOD(_xlfn.XLOOKUP(J542,{"Low","Medium","High","Urgent"},{48,24,12,8}),24)/24,"hh:mm")</f>
        <v>#N/A</v>
      </c>
      <c r="AH542" s="4" t="e">
        <f aca="false">IF(AD542&gt;AG542,"Not Met","Met")</f>
        <v>#N/A</v>
      </c>
      <c r="AI542" s="4" t="e">
        <f aca="false">IF(AB542&lt;TIME(0,30,0),"Met","Not Met")</f>
        <v>#REF!</v>
      </c>
      <c r="AN542" s="1" t="str">
        <f aca="false">TEXT(B542,"dd")</f>
        <v>30</v>
      </c>
      <c r="AO542" s="1" t="str">
        <f aca="false">TEXT(X542,"dd")</f>
        <v>30</v>
      </c>
      <c r="AP542" s="16" t="str">
        <f aca="false">INT(
  NETWORKDAYS(B542,V542)-1
  + IF(WEEKDAY(V542,2)&lt;6,MOD(V542+W542,1),0)
  - IF(WEEKDAY(B542,2)&lt;6,MOD(B542+C542,1),0)
)
&amp; ":" &amp;
TEXT(HOUR(
  NETWORKDAYS(B542,V542)-1
  + IF(WEEKDAY(V542,2)&lt;6,MOD(V542+W542,1),0)
  - IF(WEEKDAY(B542,2)&lt;6,MOD(B542+C542,1),0)
),"00")
&amp; ":" &amp;
TEXT(MINUTE(
  NETWORKDAYS(B542,V542)-1
  + IF(WEEKDAY(V542,2)&lt;6,MOD(V542+W542,1),0)
  - IF(WEEKDAY(B542,2)&lt;6,MOD(B542+C542,1),0)
),"00")</f>
        <v>-1:00:00</v>
      </c>
      <c r="AQ542" s="0" t="n">
        <f aca="false">IFERROR(
LEFT(AP542,FIND(":",AP542)-1)
+ MID(AP542,FIND(":",AP542)+1,2)/24
+ RIGHT(AP542,2)/1440,
"")</f>
        <v>-1</v>
      </c>
      <c r="AR542" s="0" t="n">
        <f aca="false">WEEKNUM(B542,1)</f>
        <v>52</v>
      </c>
      <c r="AS542" s="17" t="str">
        <f aca="false">IF(B542&gt;0, (B542+C542)-TIME(13,30,0), "")</f>
        <v/>
      </c>
      <c r="AT542" s="18" t="str">
        <f aca="false">IF(B542&gt;0, (B542+C542)-TIME(13,30,0), "")</f>
        <v/>
      </c>
      <c r="AU542" s="17" t="str">
        <f aca="false">IF(V542&gt;0, (V542+W542)-TIME(13,30,0), "")</f>
        <v/>
      </c>
      <c r="AV542" s="18" t="str">
        <f aca="false">IF(V542&gt;0, (V542+W542)-TIME(13,30,0), "")</f>
        <v/>
      </c>
    </row>
    <row r="543" customFormat="false" ht="15" hidden="false" customHeight="false" outlineLevel="0" collapsed="false">
      <c r="AB543" s="2" t="e">
        <f aca="false">U543-#REF!</f>
        <v>#REF!</v>
      </c>
      <c r="AC543" s="14" t="n">
        <f aca="false">(V543+W543)-(B543+C543)</f>
        <v>0</v>
      </c>
      <c r="AD543" s="4" t="str">
        <f aca="false">INT((V543+W543)-(B543+C543)) &amp; ":" &amp;
TEXT(HOUR((V543+W543)-(B543+C543)), "00") &amp; ":" &amp;
TEXT(MINUTE((V543+W543)-(B543+C543)), "00")</f>
        <v>0:00:00</v>
      </c>
      <c r="AE543" s="1" t="n">
        <f aca="false">IFERROR(
LEFT(AD543,FIND(":",AD543)-1)
+ MID(AD543,FIND(":",AD543)+1,2)/24
+ RIGHT(AD543,2)/1440,
"")</f>
        <v>0</v>
      </c>
      <c r="AF543" s="4" t="str">
        <f aca="false">INT((X543+Y543)-(B543+C543)) &amp; ":" &amp;
TEXT(HOUR((X543+Y543)-(B543+C543)), "00") &amp; ":" &amp;
TEXT(MINUTE((X543+Y543)-(B543+C543)), "00")</f>
        <v>0:00:00</v>
      </c>
      <c r="AG543" s="4" t="e">
        <f aca="false" t="array" ref="AG543:AG543">INT(_xlfn.XLOOKUP(J543,{"Low","Medium","High","Urgent"},{48,24,12,8})/24) &amp; ":" &amp;
TEXT(MOD(_xlfn.XLOOKUP(J543,{"Low","Medium","High","Urgent"},{48,24,12,8}),24)/24,"hh:mm")</f>
        <v>#N/A</v>
      </c>
      <c r="AH543" s="4" t="e">
        <f aca="false">IF(AD543&gt;AG543,"Not Met","Met")</f>
        <v>#N/A</v>
      </c>
      <c r="AI543" s="4" t="e">
        <f aca="false">IF(AB543&lt;TIME(0,30,0),"Met","Not Met")</f>
        <v>#REF!</v>
      </c>
      <c r="AN543" s="1" t="str">
        <f aca="false">TEXT(B543,"dd")</f>
        <v>30</v>
      </c>
      <c r="AO543" s="1" t="str">
        <f aca="false">TEXT(X543,"dd")</f>
        <v>30</v>
      </c>
      <c r="AP543" s="16" t="str">
        <f aca="false">INT(
  NETWORKDAYS(B543,V543)-1
  + IF(WEEKDAY(V543,2)&lt;6,MOD(V543+W543,1),0)
  - IF(WEEKDAY(B543,2)&lt;6,MOD(B543+C543,1),0)
)
&amp; ":" &amp;
TEXT(HOUR(
  NETWORKDAYS(B543,V543)-1
  + IF(WEEKDAY(V543,2)&lt;6,MOD(V543+W543,1),0)
  - IF(WEEKDAY(B543,2)&lt;6,MOD(B543+C543,1),0)
),"00")
&amp; ":" &amp;
TEXT(MINUTE(
  NETWORKDAYS(B543,V543)-1
  + IF(WEEKDAY(V543,2)&lt;6,MOD(V543+W543,1),0)
  - IF(WEEKDAY(B543,2)&lt;6,MOD(B543+C543,1),0)
),"00")</f>
        <v>-1:00:00</v>
      </c>
      <c r="AQ543" s="0" t="n">
        <f aca="false">IFERROR(
LEFT(AP543,FIND(":",AP543)-1)
+ MID(AP543,FIND(":",AP543)+1,2)/24
+ RIGHT(AP543,2)/1440,
"")</f>
        <v>-1</v>
      </c>
      <c r="AR543" s="0" t="n">
        <f aca="false">WEEKNUM(B543,1)</f>
        <v>52</v>
      </c>
      <c r="AS543" s="17" t="str">
        <f aca="false">IF(B543&gt;0, (B543+C543)-TIME(13,30,0), "")</f>
        <v/>
      </c>
      <c r="AT543" s="18" t="str">
        <f aca="false">IF(B543&gt;0, (B543+C543)-TIME(13,30,0), "")</f>
        <v/>
      </c>
      <c r="AU543" s="17" t="str">
        <f aca="false">IF(V543&gt;0, (V543+W543)-TIME(13,30,0), "")</f>
        <v/>
      </c>
      <c r="AV543" s="18" t="str">
        <f aca="false">IF(V543&gt;0, (V543+W543)-TIME(13,30,0), "")</f>
        <v/>
      </c>
    </row>
    <row r="544" customFormat="false" ht="15" hidden="false" customHeight="false" outlineLevel="0" collapsed="false">
      <c r="AB544" s="2" t="e">
        <f aca="false">U544-#REF!</f>
        <v>#REF!</v>
      </c>
      <c r="AC544" s="14" t="n">
        <f aca="false">(V544+W544)-(B544+C544)</f>
        <v>0</v>
      </c>
      <c r="AD544" s="4" t="str">
        <f aca="false">INT((V544+W544)-(B544+C544)) &amp; ":" &amp;
TEXT(HOUR((V544+W544)-(B544+C544)), "00") &amp; ":" &amp;
TEXT(MINUTE((V544+W544)-(B544+C544)), "00")</f>
        <v>0:00:00</v>
      </c>
      <c r="AE544" s="1" t="n">
        <f aca="false">IFERROR(
LEFT(AD544,FIND(":",AD544)-1)
+ MID(AD544,FIND(":",AD544)+1,2)/24
+ RIGHT(AD544,2)/1440,
"")</f>
        <v>0</v>
      </c>
      <c r="AF544" s="4" t="str">
        <f aca="false">INT((X544+Y544)-(B544+C544)) &amp; ":" &amp;
TEXT(HOUR((X544+Y544)-(B544+C544)), "00") &amp; ":" &amp;
TEXT(MINUTE((X544+Y544)-(B544+C544)), "00")</f>
        <v>0:00:00</v>
      </c>
      <c r="AG544" s="4" t="e">
        <f aca="false" t="array" ref="AG544:AG544">INT(_xlfn.XLOOKUP(J544,{"Low","Medium","High","Urgent"},{48,24,12,8})/24) &amp; ":" &amp;
TEXT(MOD(_xlfn.XLOOKUP(J544,{"Low","Medium","High","Urgent"},{48,24,12,8}),24)/24,"hh:mm")</f>
        <v>#N/A</v>
      </c>
      <c r="AH544" s="4" t="e">
        <f aca="false">IF(AD544&gt;AG544,"Not Met","Met")</f>
        <v>#N/A</v>
      </c>
      <c r="AI544" s="4" t="e">
        <f aca="false">IF(AB544&lt;TIME(0,30,0),"Met","Not Met")</f>
        <v>#REF!</v>
      </c>
      <c r="AN544" s="1" t="str">
        <f aca="false">TEXT(B544,"dd")</f>
        <v>30</v>
      </c>
      <c r="AO544" s="1" t="str">
        <f aca="false">TEXT(X544,"dd")</f>
        <v>30</v>
      </c>
      <c r="AP544" s="16" t="str">
        <f aca="false">INT(
  NETWORKDAYS(B544,V544)-1
  + IF(WEEKDAY(V544,2)&lt;6,MOD(V544+W544,1),0)
  - IF(WEEKDAY(B544,2)&lt;6,MOD(B544+C544,1),0)
)
&amp; ":" &amp;
TEXT(HOUR(
  NETWORKDAYS(B544,V544)-1
  + IF(WEEKDAY(V544,2)&lt;6,MOD(V544+W544,1),0)
  - IF(WEEKDAY(B544,2)&lt;6,MOD(B544+C544,1),0)
),"00")
&amp; ":" &amp;
TEXT(MINUTE(
  NETWORKDAYS(B544,V544)-1
  + IF(WEEKDAY(V544,2)&lt;6,MOD(V544+W544,1),0)
  - IF(WEEKDAY(B544,2)&lt;6,MOD(B544+C544,1),0)
),"00")</f>
        <v>-1:00:00</v>
      </c>
      <c r="AQ544" s="0" t="n">
        <f aca="false">IFERROR(
LEFT(AP544,FIND(":",AP544)-1)
+ MID(AP544,FIND(":",AP544)+1,2)/24
+ RIGHT(AP544,2)/1440,
"")</f>
        <v>-1</v>
      </c>
      <c r="AR544" s="0" t="n">
        <f aca="false">WEEKNUM(B544,1)</f>
        <v>52</v>
      </c>
      <c r="AS544" s="17" t="str">
        <f aca="false">IF(B544&gt;0, (B544+C544)-TIME(13,30,0), "")</f>
        <v/>
      </c>
      <c r="AT544" s="18" t="str">
        <f aca="false">IF(B544&gt;0, (B544+C544)-TIME(13,30,0), "")</f>
        <v/>
      </c>
      <c r="AU544" s="17" t="str">
        <f aca="false">IF(V544&gt;0, (V544+W544)-TIME(13,30,0), "")</f>
        <v/>
      </c>
      <c r="AV544" s="18" t="str">
        <f aca="false">IF(V544&gt;0, (V544+W544)-TIME(13,30,0), "")</f>
        <v/>
      </c>
    </row>
    <row r="545" customFormat="false" ht="15" hidden="false" customHeight="false" outlineLevel="0" collapsed="false">
      <c r="AB545" s="2" t="e">
        <f aca="false">U545-#REF!</f>
        <v>#REF!</v>
      </c>
      <c r="AC545" s="14" t="n">
        <f aca="false">(V545+W545)-(B545+C545)</f>
        <v>0</v>
      </c>
      <c r="AD545" s="4" t="str">
        <f aca="false">INT((V545+W545)-(B545+C545)) &amp; ":" &amp;
TEXT(HOUR((V545+W545)-(B545+C545)), "00") &amp; ":" &amp;
TEXT(MINUTE((V545+W545)-(B545+C545)), "00")</f>
        <v>0:00:00</v>
      </c>
      <c r="AE545" s="1" t="n">
        <f aca="false">IFERROR(
LEFT(AD545,FIND(":",AD545)-1)
+ MID(AD545,FIND(":",AD545)+1,2)/24
+ RIGHT(AD545,2)/1440,
"")</f>
        <v>0</v>
      </c>
      <c r="AF545" s="4" t="str">
        <f aca="false">INT((X545+Y545)-(B545+C545)) &amp; ":" &amp;
TEXT(HOUR((X545+Y545)-(B545+C545)), "00") &amp; ":" &amp;
TEXT(MINUTE((X545+Y545)-(B545+C545)), "00")</f>
        <v>0:00:00</v>
      </c>
      <c r="AG545" s="4" t="e">
        <f aca="false" t="array" ref="AG545:AG545">INT(_xlfn.XLOOKUP(J545,{"Low","Medium","High","Urgent"},{48,24,12,8})/24) &amp; ":" &amp;
TEXT(MOD(_xlfn.XLOOKUP(J545,{"Low","Medium","High","Urgent"},{48,24,12,8}),24)/24,"hh:mm")</f>
        <v>#N/A</v>
      </c>
      <c r="AH545" s="4" t="e">
        <f aca="false">IF(AD545&gt;AG545,"Not Met","Met")</f>
        <v>#N/A</v>
      </c>
      <c r="AI545" s="4" t="e">
        <f aca="false">IF(AB545&lt;TIME(0,30,0),"Met","Not Met")</f>
        <v>#REF!</v>
      </c>
      <c r="AN545" s="1" t="str">
        <f aca="false">TEXT(B545,"dd")</f>
        <v>30</v>
      </c>
      <c r="AO545" s="1" t="str">
        <f aca="false">TEXT(X545,"dd")</f>
        <v>30</v>
      </c>
      <c r="AP545" s="16" t="str">
        <f aca="false">INT(
  NETWORKDAYS(B545,V545)-1
  + IF(WEEKDAY(V545,2)&lt;6,MOD(V545+W545,1),0)
  - IF(WEEKDAY(B545,2)&lt;6,MOD(B545+C545,1),0)
)
&amp; ":" &amp;
TEXT(HOUR(
  NETWORKDAYS(B545,V545)-1
  + IF(WEEKDAY(V545,2)&lt;6,MOD(V545+W545,1),0)
  - IF(WEEKDAY(B545,2)&lt;6,MOD(B545+C545,1),0)
),"00")
&amp; ":" &amp;
TEXT(MINUTE(
  NETWORKDAYS(B545,V545)-1
  + IF(WEEKDAY(V545,2)&lt;6,MOD(V545+W545,1),0)
  - IF(WEEKDAY(B545,2)&lt;6,MOD(B545+C545,1),0)
),"00")</f>
        <v>-1:00:00</v>
      </c>
      <c r="AQ545" s="0" t="n">
        <f aca="false">IFERROR(
LEFT(AP545,FIND(":",AP545)-1)
+ MID(AP545,FIND(":",AP545)+1,2)/24
+ RIGHT(AP545,2)/1440,
"")</f>
        <v>-1</v>
      </c>
      <c r="AR545" s="0" t="n">
        <f aca="false">WEEKNUM(B545,1)</f>
        <v>52</v>
      </c>
      <c r="AS545" s="17" t="str">
        <f aca="false">IF(B545&gt;0, (B545+C545)-TIME(13,30,0), "")</f>
        <v/>
      </c>
      <c r="AT545" s="18" t="str">
        <f aca="false">IF(B545&gt;0, (B545+C545)-TIME(13,30,0), "")</f>
        <v/>
      </c>
      <c r="AU545" s="17" t="str">
        <f aca="false">IF(V545&gt;0, (V545+W545)-TIME(13,30,0), "")</f>
        <v/>
      </c>
      <c r="AV545" s="18" t="str">
        <f aca="false">IF(V545&gt;0, (V545+W545)-TIME(13,30,0), "")</f>
        <v/>
      </c>
    </row>
    <row r="546" customFormat="false" ht="15" hidden="false" customHeight="false" outlineLevel="0" collapsed="false">
      <c r="AB546" s="2" t="e">
        <f aca="false">U546-#REF!</f>
        <v>#REF!</v>
      </c>
      <c r="AC546" s="14" t="n">
        <f aca="false">(V546+W546)-(B546+C546)</f>
        <v>0</v>
      </c>
      <c r="AD546" s="4" t="str">
        <f aca="false">INT((V546+W546)-(B546+C546)) &amp; ":" &amp;
TEXT(HOUR((V546+W546)-(B546+C546)), "00") &amp; ":" &amp;
TEXT(MINUTE((V546+W546)-(B546+C546)), "00")</f>
        <v>0:00:00</v>
      </c>
      <c r="AE546" s="1" t="n">
        <f aca="false">IFERROR(
LEFT(AD546,FIND(":",AD546)-1)
+ MID(AD546,FIND(":",AD546)+1,2)/24
+ RIGHT(AD546,2)/1440,
"")</f>
        <v>0</v>
      </c>
      <c r="AF546" s="4" t="str">
        <f aca="false">INT((X546+Y546)-(B546+C546)) &amp; ":" &amp;
TEXT(HOUR((X546+Y546)-(B546+C546)), "00") &amp; ":" &amp;
TEXT(MINUTE((X546+Y546)-(B546+C546)), "00")</f>
        <v>0:00:00</v>
      </c>
      <c r="AG546" s="4" t="e">
        <f aca="false" t="array" ref="AG546:AG546">INT(_xlfn.XLOOKUP(J546,{"Low","Medium","High","Urgent"},{48,24,12,8})/24) &amp; ":" &amp;
TEXT(MOD(_xlfn.XLOOKUP(J546,{"Low","Medium","High","Urgent"},{48,24,12,8}),24)/24,"hh:mm")</f>
        <v>#N/A</v>
      </c>
      <c r="AH546" s="4" t="e">
        <f aca="false">IF(AD546&gt;AG546,"Not Met","Met")</f>
        <v>#N/A</v>
      </c>
      <c r="AI546" s="4" t="e">
        <f aca="false">IF(AB546&lt;TIME(0,30,0),"Met","Not Met")</f>
        <v>#REF!</v>
      </c>
      <c r="AN546" s="1" t="str">
        <f aca="false">TEXT(B546,"dd")</f>
        <v>30</v>
      </c>
      <c r="AO546" s="1" t="str">
        <f aca="false">TEXT(X546,"dd")</f>
        <v>30</v>
      </c>
      <c r="AP546" s="16" t="str">
        <f aca="false">INT(
  NETWORKDAYS(B546,V546)-1
  + IF(WEEKDAY(V546,2)&lt;6,MOD(V546+W546,1),0)
  - IF(WEEKDAY(B546,2)&lt;6,MOD(B546+C546,1),0)
)
&amp; ":" &amp;
TEXT(HOUR(
  NETWORKDAYS(B546,V546)-1
  + IF(WEEKDAY(V546,2)&lt;6,MOD(V546+W546,1),0)
  - IF(WEEKDAY(B546,2)&lt;6,MOD(B546+C546,1),0)
),"00")
&amp; ":" &amp;
TEXT(MINUTE(
  NETWORKDAYS(B546,V546)-1
  + IF(WEEKDAY(V546,2)&lt;6,MOD(V546+W546,1),0)
  - IF(WEEKDAY(B546,2)&lt;6,MOD(B546+C546,1),0)
),"00")</f>
        <v>-1:00:00</v>
      </c>
      <c r="AQ546" s="0" t="n">
        <f aca="false">IFERROR(
LEFT(AP546,FIND(":",AP546)-1)
+ MID(AP546,FIND(":",AP546)+1,2)/24
+ RIGHT(AP546,2)/1440,
"")</f>
        <v>-1</v>
      </c>
      <c r="AR546" s="0" t="n">
        <f aca="false">WEEKNUM(B546,1)</f>
        <v>52</v>
      </c>
      <c r="AS546" s="17" t="str">
        <f aca="false">IF(B546&gt;0, (B546+C546)-TIME(13,30,0), "")</f>
        <v/>
      </c>
      <c r="AT546" s="18" t="str">
        <f aca="false">IF(B546&gt;0, (B546+C546)-TIME(13,30,0), "")</f>
        <v/>
      </c>
      <c r="AU546" s="17" t="str">
        <f aca="false">IF(V546&gt;0, (V546+W546)-TIME(13,30,0), "")</f>
        <v/>
      </c>
      <c r="AV546" s="18" t="str">
        <f aca="false">IF(V546&gt;0, (V546+W546)-TIME(13,30,0), "")</f>
        <v/>
      </c>
    </row>
    <row r="547" customFormat="false" ht="15" hidden="false" customHeight="false" outlineLevel="0" collapsed="false">
      <c r="AB547" s="2" t="e">
        <f aca="false">U547-#REF!</f>
        <v>#REF!</v>
      </c>
      <c r="AC547" s="14" t="n">
        <f aca="false">(V547+W547)-(B547+C547)</f>
        <v>0</v>
      </c>
      <c r="AD547" s="4" t="str">
        <f aca="false">INT((V547+W547)-(B547+C547)) &amp; ":" &amp;
TEXT(HOUR((V547+W547)-(B547+C547)), "00") &amp; ":" &amp;
TEXT(MINUTE((V547+W547)-(B547+C547)), "00")</f>
        <v>0:00:00</v>
      </c>
      <c r="AE547" s="1" t="n">
        <f aca="false">IFERROR(
LEFT(AD547,FIND(":",AD547)-1)
+ MID(AD547,FIND(":",AD547)+1,2)/24
+ RIGHT(AD547,2)/1440,
"")</f>
        <v>0</v>
      </c>
      <c r="AF547" s="4" t="str">
        <f aca="false">INT((X547+Y547)-(B547+C547)) &amp; ":" &amp;
TEXT(HOUR((X547+Y547)-(B547+C547)), "00") &amp; ":" &amp;
TEXT(MINUTE((X547+Y547)-(B547+C547)), "00")</f>
        <v>0:00:00</v>
      </c>
      <c r="AG547" s="4" t="e">
        <f aca="false" t="array" ref="AG547:AG547">INT(_xlfn.XLOOKUP(J547,{"Low","Medium","High","Urgent"},{48,24,12,8})/24) &amp; ":" &amp;
TEXT(MOD(_xlfn.XLOOKUP(J547,{"Low","Medium","High","Urgent"},{48,24,12,8}),24)/24,"hh:mm")</f>
        <v>#N/A</v>
      </c>
      <c r="AH547" s="4" t="e">
        <f aca="false">IF(AD547&gt;AG547,"Not Met","Met")</f>
        <v>#N/A</v>
      </c>
      <c r="AI547" s="4" t="e">
        <f aca="false">IF(AB547&lt;TIME(0,30,0),"Met","Not Met")</f>
        <v>#REF!</v>
      </c>
      <c r="AN547" s="1" t="str">
        <f aca="false">TEXT(B547,"dd")</f>
        <v>30</v>
      </c>
      <c r="AO547" s="1" t="str">
        <f aca="false">TEXT(X547,"dd")</f>
        <v>30</v>
      </c>
      <c r="AP547" s="16" t="str">
        <f aca="false">INT(
  NETWORKDAYS(B547,V547)-1
  + IF(WEEKDAY(V547,2)&lt;6,MOD(V547+W547,1),0)
  - IF(WEEKDAY(B547,2)&lt;6,MOD(B547+C547,1),0)
)
&amp; ":" &amp;
TEXT(HOUR(
  NETWORKDAYS(B547,V547)-1
  + IF(WEEKDAY(V547,2)&lt;6,MOD(V547+W547,1),0)
  - IF(WEEKDAY(B547,2)&lt;6,MOD(B547+C547,1),0)
),"00")
&amp; ":" &amp;
TEXT(MINUTE(
  NETWORKDAYS(B547,V547)-1
  + IF(WEEKDAY(V547,2)&lt;6,MOD(V547+W547,1),0)
  - IF(WEEKDAY(B547,2)&lt;6,MOD(B547+C547,1),0)
),"00")</f>
        <v>-1:00:00</v>
      </c>
      <c r="AQ547" s="0" t="n">
        <f aca="false">IFERROR(
LEFT(AP547,FIND(":",AP547)-1)
+ MID(AP547,FIND(":",AP547)+1,2)/24
+ RIGHT(AP547,2)/1440,
"")</f>
        <v>-1</v>
      </c>
      <c r="AR547" s="0" t="n">
        <f aca="false">WEEKNUM(B547,1)</f>
        <v>52</v>
      </c>
      <c r="AS547" s="17" t="str">
        <f aca="false">IF(B547&gt;0, (B547+C547)-TIME(13,30,0), "")</f>
        <v/>
      </c>
      <c r="AT547" s="18" t="str">
        <f aca="false">IF(B547&gt;0, (B547+C547)-TIME(13,30,0), "")</f>
        <v/>
      </c>
      <c r="AU547" s="17" t="str">
        <f aca="false">IF(V547&gt;0, (V547+W547)-TIME(13,30,0), "")</f>
        <v/>
      </c>
      <c r="AV547" s="18" t="str">
        <f aca="false">IF(V547&gt;0, (V547+W547)-TIME(13,30,0), "")</f>
        <v/>
      </c>
    </row>
    <row r="548" customFormat="false" ht="15" hidden="false" customHeight="false" outlineLevel="0" collapsed="false">
      <c r="AB548" s="2" t="e">
        <f aca="false">U548-#REF!</f>
        <v>#REF!</v>
      </c>
      <c r="AC548" s="14" t="n">
        <f aca="false">(V548+W548)-(B548+C548)</f>
        <v>0</v>
      </c>
      <c r="AD548" s="4" t="str">
        <f aca="false">INT((V548+W548)-(B548+C548)) &amp; ":" &amp;
TEXT(HOUR((V548+W548)-(B548+C548)), "00") &amp; ":" &amp;
TEXT(MINUTE((V548+W548)-(B548+C548)), "00")</f>
        <v>0:00:00</v>
      </c>
      <c r="AE548" s="1" t="n">
        <f aca="false">IFERROR(
LEFT(AD548,FIND(":",AD548)-1)
+ MID(AD548,FIND(":",AD548)+1,2)/24
+ RIGHT(AD548,2)/1440,
"")</f>
        <v>0</v>
      </c>
      <c r="AF548" s="4" t="str">
        <f aca="false">INT((X548+Y548)-(B548+C548)) &amp; ":" &amp;
TEXT(HOUR((X548+Y548)-(B548+C548)), "00") &amp; ":" &amp;
TEXT(MINUTE((X548+Y548)-(B548+C548)), "00")</f>
        <v>0:00:00</v>
      </c>
      <c r="AG548" s="4" t="e">
        <f aca="false" t="array" ref="AG548:AG548">INT(_xlfn.XLOOKUP(J548,{"Low","Medium","High","Urgent"},{48,24,12,8})/24) &amp; ":" &amp;
TEXT(MOD(_xlfn.XLOOKUP(J548,{"Low","Medium","High","Urgent"},{48,24,12,8}),24)/24,"hh:mm")</f>
        <v>#N/A</v>
      </c>
      <c r="AH548" s="4" t="e">
        <f aca="false">IF(AD548&gt;AG548,"Not Met","Met")</f>
        <v>#N/A</v>
      </c>
      <c r="AI548" s="4" t="e">
        <f aca="false">IF(AB548&lt;TIME(0,30,0),"Met","Not Met")</f>
        <v>#REF!</v>
      </c>
      <c r="AN548" s="1" t="str">
        <f aca="false">TEXT(B548,"dd")</f>
        <v>30</v>
      </c>
      <c r="AO548" s="1" t="str">
        <f aca="false">TEXT(X548,"dd")</f>
        <v>30</v>
      </c>
      <c r="AP548" s="16" t="str">
        <f aca="false">INT(
  NETWORKDAYS(B548,V548)-1
  + IF(WEEKDAY(V548,2)&lt;6,MOD(V548+W548,1),0)
  - IF(WEEKDAY(B548,2)&lt;6,MOD(B548+C548,1),0)
)
&amp; ":" &amp;
TEXT(HOUR(
  NETWORKDAYS(B548,V548)-1
  + IF(WEEKDAY(V548,2)&lt;6,MOD(V548+W548,1),0)
  - IF(WEEKDAY(B548,2)&lt;6,MOD(B548+C548,1),0)
),"00")
&amp; ":" &amp;
TEXT(MINUTE(
  NETWORKDAYS(B548,V548)-1
  + IF(WEEKDAY(V548,2)&lt;6,MOD(V548+W548,1),0)
  - IF(WEEKDAY(B548,2)&lt;6,MOD(B548+C548,1),0)
),"00")</f>
        <v>-1:00:00</v>
      </c>
      <c r="AQ548" s="0" t="n">
        <f aca="false">IFERROR(
LEFT(AP548,FIND(":",AP548)-1)
+ MID(AP548,FIND(":",AP548)+1,2)/24
+ RIGHT(AP548,2)/1440,
"")</f>
        <v>-1</v>
      </c>
      <c r="AR548" s="0" t="n">
        <f aca="false">WEEKNUM(B548,1)</f>
        <v>52</v>
      </c>
      <c r="AS548" s="17" t="str">
        <f aca="false">IF(B548&gt;0, (B548+C548)-TIME(13,30,0), "")</f>
        <v/>
      </c>
      <c r="AT548" s="18" t="str">
        <f aca="false">IF(B548&gt;0, (B548+C548)-TIME(13,30,0), "")</f>
        <v/>
      </c>
      <c r="AU548" s="17" t="str">
        <f aca="false">IF(V548&gt;0, (V548+W548)-TIME(13,30,0), "")</f>
        <v/>
      </c>
      <c r="AV548" s="18" t="str">
        <f aca="false">IF(V548&gt;0, (V548+W548)-TIME(13,30,0), "")</f>
        <v/>
      </c>
    </row>
    <row r="549" customFormat="false" ht="15" hidden="false" customHeight="false" outlineLevel="0" collapsed="false">
      <c r="AB549" s="2" t="e">
        <f aca="false">U549-#REF!</f>
        <v>#REF!</v>
      </c>
      <c r="AC549" s="14" t="n">
        <f aca="false">(V549+W549)-(B549+C549)</f>
        <v>0</v>
      </c>
      <c r="AD549" s="4" t="str">
        <f aca="false">INT((V549+W549)-(B549+C549)) &amp; ":" &amp;
TEXT(HOUR((V549+W549)-(B549+C549)), "00") &amp; ":" &amp;
TEXT(MINUTE((V549+W549)-(B549+C549)), "00")</f>
        <v>0:00:00</v>
      </c>
      <c r="AE549" s="1" t="n">
        <f aca="false">IFERROR(
LEFT(AD549,FIND(":",AD549)-1)
+ MID(AD549,FIND(":",AD549)+1,2)/24
+ RIGHT(AD549,2)/1440,
"")</f>
        <v>0</v>
      </c>
      <c r="AF549" s="4" t="str">
        <f aca="false">INT((X549+Y549)-(B549+C549)) &amp; ":" &amp;
TEXT(HOUR((X549+Y549)-(B549+C549)), "00") &amp; ":" &amp;
TEXT(MINUTE((X549+Y549)-(B549+C549)), "00")</f>
        <v>0:00:00</v>
      </c>
      <c r="AG549" s="4" t="e">
        <f aca="false" t="array" ref="AG549:AG549">INT(_xlfn.XLOOKUP(J549,{"Low","Medium","High","Urgent"},{48,24,12,8})/24) &amp; ":" &amp;
TEXT(MOD(_xlfn.XLOOKUP(J549,{"Low","Medium","High","Urgent"},{48,24,12,8}),24)/24,"hh:mm")</f>
        <v>#N/A</v>
      </c>
      <c r="AH549" s="4" t="e">
        <f aca="false">IF(AD549&gt;AG549,"Not Met","Met")</f>
        <v>#N/A</v>
      </c>
      <c r="AI549" s="4" t="e">
        <f aca="false">IF(AB549&lt;TIME(0,30,0),"Met","Not Met")</f>
        <v>#REF!</v>
      </c>
      <c r="AN549" s="1" t="str">
        <f aca="false">TEXT(B549,"dd")</f>
        <v>30</v>
      </c>
      <c r="AO549" s="1" t="str">
        <f aca="false">TEXT(X549,"dd")</f>
        <v>30</v>
      </c>
      <c r="AP549" s="16" t="str">
        <f aca="false">INT(
  NETWORKDAYS(B549,V549)-1
  + IF(WEEKDAY(V549,2)&lt;6,MOD(V549+W549,1),0)
  - IF(WEEKDAY(B549,2)&lt;6,MOD(B549+C549,1),0)
)
&amp; ":" &amp;
TEXT(HOUR(
  NETWORKDAYS(B549,V549)-1
  + IF(WEEKDAY(V549,2)&lt;6,MOD(V549+W549,1),0)
  - IF(WEEKDAY(B549,2)&lt;6,MOD(B549+C549,1),0)
),"00")
&amp; ":" &amp;
TEXT(MINUTE(
  NETWORKDAYS(B549,V549)-1
  + IF(WEEKDAY(V549,2)&lt;6,MOD(V549+W549,1),0)
  - IF(WEEKDAY(B549,2)&lt;6,MOD(B549+C549,1),0)
),"00")</f>
        <v>-1:00:00</v>
      </c>
      <c r="AQ549" s="0" t="n">
        <f aca="false">IFERROR(
LEFT(AP549,FIND(":",AP549)-1)
+ MID(AP549,FIND(":",AP549)+1,2)/24
+ RIGHT(AP549,2)/1440,
"")</f>
        <v>-1</v>
      </c>
      <c r="AR549" s="0" t="n">
        <f aca="false">WEEKNUM(B549,1)</f>
        <v>52</v>
      </c>
      <c r="AS549" s="17" t="str">
        <f aca="false">IF(B549&gt;0, (B549+C549)-TIME(13,30,0), "")</f>
        <v/>
      </c>
      <c r="AT549" s="18" t="str">
        <f aca="false">IF(B549&gt;0, (B549+C549)-TIME(13,30,0), "")</f>
        <v/>
      </c>
      <c r="AU549" s="17" t="str">
        <f aca="false">IF(V549&gt;0, (V549+W549)-TIME(13,30,0), "")</f>
        <v/>
      </c>
      <c r="AV549" s="18" t="str">
        <f aca="false">IF(V549&gt;0, (V549+W549)-TIME(13,30,0), "")</f>
        <v/>
      </c>
    </row>
    <row r="550" customFormat="false" ht="15" hidden="false" customHeight="false" outlineLevel="0" collapsed="false">
      <c r="AB550" s="2" t="e">
        <f aca="false">U550-#REF!</f>
        <v>#REF!</v>
      </c>
      <c r="AC550" s="14" t="n">
        <f aca="false">(V550+W550)-(B550+C550)</f>
        <v>0</v>
      </c>
      <c r="AD550" s="4" t="str">
        <f aca="false">INT((V550+W550)-(B550+C550)) &amp; ":" &amp;
TEXT(HOUR((V550+W550)-(B550+C550)), "00") &amp; ":" &amp;
TEXT(MINUTE((V550+W550)-(B550+C550)), "00")</f>
        <v>0:00:00</v>
      </c>
      <c r="AE550" s="1" t="n">
        <f aca="false">IFERROR(
LEFT(AD550,FIND(":",AD550)-1)
+ MID(AD550,FIND(":",AD550)+1,2)/24
+ RIGHT(AD550,2)/1440,
"")</f>
        <v>0</v>
      </c>
      <c r="AF550" s="4" t="str">
        <f aca="false">INT((X550+Y550)-(B550+C550)) &amp; ":" &amp;
TEXT(HOUR((X550+Y550)-(B550+C550)), "00") &amp; ":" &amp;
TEXT(MINUTE((X550+Y550)-(B550+C550)), "00")</f>
        <v>0:00:00</v>
      </c>
      <c r="AG550" s="4" t="e">
        <f aca="false" t="array" ref="AG550:AG550">INT(_xlfn.XLOOKUP(J550,{"Low","Medium","High","Urgent"},{48,24,12,8})/24) &amp; ":" &amp;
TEXT(MOD(_xlfn.XLOOKUP(J550,{"Low","Medium","High","Urgent"},{48,24,12,8}),24)/24,"hh:mm")</f>
        <v>#N/A</v>
      </c>
      <c r="AH550" s="4" t="e">
        <f aca="false">IF(AD550&gt;AG550,"Not Met","Met")</f>
        <v>#N/A</v>
      </c>
      <c r="AI550" s="4" t="e">
        <f aca="false">IF(AB550&lt;TIME(0,30,0),"Met","Not Met")</f>
        <v>#REF!</v>
      </c>
      <c r="AN550" s="1" t="str">
        <f aca="false">TEXT(B550,"dd")</f>
        <v>30</v>
      </c>
      <c r="AO550" s="1" t="str">
        <f aca="false">TEXT(X550,"dd")</f>
        <v>30</v>
      </c>
      <c r="AP550" s="16" t="str">
        <f aca="false">INT(
  NETWORKDAYS(B550,V550)-1
  + IF(WEEKDAY(V550,2)&lt;6,MOD(V550+W550,1),0)
  - IF(WEEKDAY(B550,2)&lt;6,MOD(B550+C550,1),0)
)
&amp; ":" &amp;
TEXT(HOUR(
  NETWORKDAYS(B550,V550)-1
  + IF(WEEKDAY(V550,2)&lt;6,MOD(V550+W550,1),0)
  - IF(WEEKDAY(B550,2)&lt;6,MOD(B550+C550,1),0)
),"00")
&amp; ":" &amp;
TEXT(MINUTE(
  NETWORKDAYS(B550,V550)-1
  + IF(WEEKDAY(V550,2)&lt;6,MOD(V550+W550,1),0)
  - IF(WEEKDAY(B550,2)&lt;6,MOD(B550+C550,1),0)
),"00")</f>
        <v>-1:00:00</v>
      </c>
      <c r="AQ550" s="0" t="n">
        <f aca="false">IFERROR(
LEFT(AP550,FIND(":",AP550)-1)
+ MID(AP550,FIND(":",AP550)+1,2)/24
+ RIGHT(AP550,2)/1440,
"")</f>
        <v>-1</v>
      </c>
      <c r="AR550" s="0" t="n">
        <f aca="false">WEEKNUM(B550,1)</f>
        <v>52</v>
      </c>
      <c r="AS550" s="17" t="str">
        <f aca="false">IF(B550&gt;0, (B550+C550)-TIME(13,30,0), "")</f>
        <v/>
      </c>
      <c r="AT550" s="18" t="str">
        <f aca="false">IF(B550&gt;0, (B550+C550)-TIME(13,30,0), "")</f>
        <v/>
      </c>
      <c r="AU550" s="17" t="str">
        <f aca="false">IF(V550&gt;0, (V550+W550)-TIME(13,30,0), "")</f>
        <v/>
      </c>
      <c r="AV550" s="18" t="str">
        <f aca="false">IF(V550&gt;0, (V550+W550)-TIME(13,30,0), "")</f>
        <v/>
      </c>
    </row>
    <row r="551" customFormat="false" ht="15" hidden="false" customHeight="false" outlineLevel="0" collapsed="false">
      <c r="AB551" s="2" t="e">
        <f aca="false">U551-#REF!</f>
        <v>#REF!</v>
      </c>
      <c r="AC551" s="14" t="n">
        <f aca="false">(V551+W551)-(B551+C551)</f>
        <v>0</v>
      </c>
      <c r="AD551" s="4" t="str">
        <f aca="false">INT((V551+W551)-(B551+C551)) &amp; ":" &amp;
TEXT(HOUR((V551+W551)-(B551+C551)), "00") &amp; ":" &amp;
TEXT(MINUTE((V551+W551)-(B551+C551)), "00")</f>
        <v>0:00:00</v>
      </c>
      <c r="AE551" s="1" t="n">
        <f aca="false">IFERROR(
LEFT(AD551,FIND(":",AD551)-1)
+ MID(AD551,FIND(":",AD551)+1,2)/24
+ RIGHT(AD551,2)/1440,
"")</f>
        <v>0</v>
      </c>
      <c r="AF551" s="4" t="str">
        <f aca="false">INT((X551+Y551)-(B551+C551)) &amp; ":" &amp;
TEXT(HOUR((X551+Y551)-(B551+C551)), "00") &amp; ":" &amp;
TEXT(MINUTE((X551+Y551)-(B551+C551)), "00")</f>
        <v>0:00:00</v>
      </c>
      <c r="AG551" s="4" t="e">
        <f aca="false" t="array" ref="AG551:AG551">INT(_xlfn.XLOOKUP(J551,{"Low","Medium","High","Urgent"},{48,24,12,8})/24) &amp; ":" &amp;
TEXT(MOD(_xlfn.XLOOKUP(J551,{"Low","Medium","High","Urgent"},{48,24,12,8}),24)/24,"hh:mm")</f>
        <v>#N/A</v>
      </c>
      <c r="AH551" s="4" t="e">
        <f aca="false">IF(AD551&gt;AG551,"Not Met","Met")</f>
        <v>#N/A</v>
      </c>
      <c r="AI551" s="4" t="e">
        <f aca="false">IF(AB551&lt;TIME(0,30,0),"Met","Not Met")</f>
        <v>#REF!</v>
      </c>
      <c r="AN551" s="1" t="str">
        <f aca="false">TEXT(B551,"dd")</f>
        <v>30</v>
      </c>
      <c r="AO551" s="1" t="str">
        <f aca="false">TEXT(X551,"dd")</f>
        <v>30</v>
      </c>
      <c r="AP551" s="16" t="str">
        <f aca="false">INT(
  NETWORKDAYS(B551,V551)-1
  + IF(WEEKDAY(V551,2)&lt;6,MOD(V551+W551,1),0)
  - IF(WEEKDAY(B551,2)&lt;6,MOD(B551+C551,1),0)
)
&amp; ":" &amp;
TEXT(HOUR(
  NETWORKDAYS(B551,V551)-1
  + IF(WEEKDAY(V551,2)&lt;6,MOD(V551+W551,1),0)
  - IF(WEEKDAY(B551,2)&lt;6,MOD(B551+C551,1),0)
),"00")
&amp; ":" &amp;
TEXT(MINUTE(
  NETWORKDAYS(B551,V551)-1
  + IF(WEEKDAY(V551,2)&lt;6,MOD(V551+W551,1),0)
  - IF(WEEKDAY(B551,2)&lt;6,MOD(B551+C551,1),0)
),"00")</f>
        <v>-1:00:00</v>
      </c>
      <c r="AQ551" s="0" t="n">
        <f aca="false">IFERROR(
LEFT(AP551,FIND(":",AP551)-1)
+ MID(AP551,FIND(":",AP551)+1,2)/24
+ RIGHT(AP551,2)/1440,
"")</f>
        <v>-1</v>
      </c>
      <c r="AR551" s="0" t="n">
        <f aca="false">WEEKNUM(B551,1)</f>
        <v>52</v>
      </c>
      <c r="AS551" s="17" t="str">
        <f aca="false">IF(B551&gt;0, (B551+C551)-TIME(13,30,0), "")</f>
        <v/>
      </c>
      <c r="AT551" s="18" t="str">
        <f aca="false">IF(B551&gt;0, (B551+C551)-TIME(13,30,0), "")</f>
        <v/>
      </c>
      <c r="AU551" s="17" t="str">
        <f aca="false">IF(V551&gt;0, (V551+W551)-TIME(13,30,0), "")</f>
        <v/>
      </c>
      <c r="AV551" s="18" t="str">
        <f aca="false">IF(V551&gt;0, (V551+W551)-TIME(13,30,0), "")</f>
        <v/>
      </c>
    </row>
    <row r="552" customFormat="false" ht="15" hidden="false" customHeight="false" outlineLevel="0" collapsed="false">
      <c r="AB552" s="2" t="e">
        <f aca="false">U552-#REF!</f>
        <v>#REF!</v>
      </c>
      <c r="AC552" s="14" t="n">
        <f aca="false">(V552+W552)-(B552+C552)</f>
        <v>0</v>
      </c>
      <c r="AD552" s="4" t="str">
        <f aca="false">INT((V552+W552)-(B552+C552)) &amp; ":" &amp;
TEXT(HOUR((V552+W552)-(B552+C552)), "00") &amp; ":" &amp;
TEXT(MINUTE((V552+W552)-(B552+C552)), "00")</f>
        <v>0:00:00</v>
      </c>
      <c r="AE552" s="1" t="n">
        <f aca="false">IFERROR(
LEFT(AD552,FIND(":",AD552)-1)
+ MID(AD552,FIND(":",AD552)+1,2)/24
+ RIGHT(AD552,2)/1440,
"")</f>
        <v>0</v>
      </c>
      <c r="AF552" s="4" t="str">
        <f aca="false">INT((X552+Y552)-(B552+C552)) &amp; ":" &amp;
TEXT(HOUR((X552+Y552)-(B552+C552)), "00") &amp; ":" &amp;
TEXT(MINUTE((X552+Y552)-(B552+C552)), "00")</f>
        <v>0:00:00</v>
      </c>
      <c r="AG552" s="4" t="e">
        <f aca="false" t="array" ref="AG552:AG552">INT(_xlfn.XLOOKUP(J552,{"Low","Medium","High","Urgent"},{48,24,12,8})/24) &amp; ":" &amp;
TEXT(MOD(_xlfn.XLOOKUP(J552,{"Low","Medium","High","Urgent"},{48,24,12,8}),24)/24,"hh:mm")</f>
        <v>#N/A</v>
      </c>
      <c r="AH552" s="4" t="e">
        <f aca="false">IF(AD552&gt;AG552,"Not Met","Met")</f>
        <v>#N/A</v>
      </c>
      <c r="AI552" s="4" t="e">
        <f aca="false">IF(AB552&lt;TIME(0,30,0),"Met","Not Met")</f>
        <v>#REF!</v>
      </c>
      <c r="AN552" s="1" t="str">
        <f aca="false">TEXT(B552,"dd")</f>
        <v>30</v>
      </c>
      <c r="AO552" s="1" t="str">
        <f aca="false">TEXT(X552,"dd")</f>
        <v>30</v>
      </c>
      <c r="AP552" s="16" t="str">
        <f aca="false">INT(
  NETWORKDAYS(B552,V552)-1
  + IF(WEEKDAY(V552,2)&lt;6,MOD(V552+W552,1),0)
  - IF(WEEKDAY(B552,2)&lt;6,MOD(B552+C552,1),0)
)
&amp; ":" &amp;
TEXT(HOUR(
  NETWORKDAYS(B552,V552)-1
  + IF(WEEKDAY(V552,2)&lt;6,MOD(V552+W552,1),0)
  - IF(WEEKDAY(B552,2)&lt;6,MOD(B552+C552,1),0)
),"00")
&amp; ":" &amp;
TEXT(MINUTE(
  NETWORKDAYS(B552,V552)-1
  + IF(WEEKDAY(V552,2)&lt;6,MOD(V552+W552,1),0)
  - IF(WEEKDAY(B552,2)&lt;6,MOD(B552+C552,1),0)
),"00")</f>
        <v>-1:00:00</v>
      </c>
      <c r="AQ552" s="0" t="n">
        <f aca="false">IFERROR(
LEFT(AP552,FIND(":",AP552)-1)
+ MID(AP552,FIND(":",AP552)+1,2)/24
+ RIGHT(AP552,2)/1440,
"")</f>
        <v>-1</v>
      </c>
      <c r="AR552" s="0" t="n">
        <f aca="false">WEEKNUM(B552,1)</f>
        <v>52</v>
      </c>
      <c r="AS552" s="17" t="str">
        <f aca="false">IF(B552&gt;0, (B552+C552)-TIME(13,30,0), "")</f>
        <v/>
      </c>
      <c r="AT552" s="18" t="str">
        <f aca="false">IF(B552&gt;0, (B552+C552)-TIME(13,30,0), "")</f>
        <v/>
      </c>
      <c r="AU552" s="17" t="str">
        <f aca="false">IF(V552&gt;0, (V552+W552)-TIME(13,30,0), "")</f>
        <v/>
      </c>
      <c r="AV552" s="18" t="str">
        <f aca="false">IF(V552&gt;0, (V552+W552)-TIME(13,30,0), "")</f>
        <v/>
      </c>
    </row>
    <row r="553" customFormat="false" ht="15" hidden="false" customHeight="false" outlineLevel="0" collapsed="false">
      <c r="AB553" s="2" t="e">
        <f aca="false">U553-#REF!</f>
        <v>#REF!</v>
      </c>
      <c r="AC553" s="14" t="n">
        <f aca="false">(V553+W553)-(B553+C553)</f>
        <v>0</v>
      </c>
      <c r="AD553" s="4" t="str">
        <f aca="false">INT((V553+W553)-(B553+C553)) &amp; ":" &amp;
TEXT(HOUR((V553+W553)-(B553+C553)), "00") &amp; ":" &amp;
TEXT(MINUTE((V553+W553)-(B553+C553)), "00")</f>
        <v>0:00:00</v>
      </c>
      <c r="AE553" s="1" t="n">
        <f aca="false">IFERROR(
LEFT(AD553,FIND(":",AD553)-1)
+ MID(AD553,FIND(":",AD553)+1,2)/24
+ RIGHT(AD553,2)/1440,
"")</f>
        <v>0</v>
      </c>
      <c r="AF553" s="4" t="str">
        <f aca="false">INT((X553+Y553)-(B553+C553)) &amp; ":" &amp;
TEXT(HOUR((X553+Y553)-(B553+C553)), "00") &amp; ":" &amp;
TEXT(MINUTE((X553+Y553)-(B553+C553)), "00")</f>
        <v>0:00:00</v>
      </c>
      <c r="AG553" s="4" t="e">
        <f aca="false" t="array" ref="AG553:AG553">INT(_xlfn.XLOOKUP(J553,{"Low","Medium","High","Urgent"},{48,24,12,8})/24) &amp; ":" &amp;
TEXT(MOD(_xlfn.XLOOKUP(J553,{"Low","Medium","High","Urgent"},{48,24,12,8}),24)/24,"hh:mm")</f>
        <v>#N/A</v>
      </c>
      <c r="AH553" s="4" t="e">
        <f aca="false">IF(AD553&gt;AG553,"Not Met","Met")</f>
        <v>#N/A</v>
      </c>
      <c r="AI553" s="4" t="e">
        <f aca="false">IF(AB553&lt;TIME(0,30,0),"Met","Not Met")</f>
        <v>#REF!</v>
      </c>
      <c r="AN553" s="1" t="str">
        <f aca="false">TEXT(B553,"dd")</f>
        <v>30</v>
      </c>
      <c r="AO553" s="1" t="str">
        <f aca="false">TEXT(X553,"dd")</f>
        <v>30</v>
      </c>
      <c r="AP553" s="16" t="str">
        <f aca="false">INT(
  NETWORKDAYS(B553,V553)-1
  + IF(WEEKDAY(V553,2)&lt;6,MOD(V553+W553,1),0)
  - IF(WEEKDAY(B553,2)&lt;6,MOD(B553+C553,1),0)
)
&amp; ":" &amp;
TEXT(HOUR(
  NETWORKDAYS(B553,V553)-1
  + IF(WEEKDAY(V553,2)&lt;6,MOD(V553+W553,1),0)
  - IF(WEEKDAY(B553,2)&lt;6,MOD(B553+C553,1),0)
),"00")
&amp; ":" &amp;
TEXT(MINUTE(
  NETWORKDAYS(B553,V553)-1
  + IF(WEEKDAY(V553,2)&lt;6,MOD(V553+W553,1),0)
  - IF(WEEKDAY(B553,2)&lt;6,MOD(B553+C553,1),0)
),"00")</f>
        <v>-1:00:00</v>
      </c>
      <c r="AQ553" s="0" t="n">
        <f aca="false">IFERROR(
LEFT(AP553,FIND(":",AP553)-1)
+ MID(AP553,FIND(":",AP553)+1,2)/24
+ RIGHT(AP553,2)/1440,
"")</f>
        <v>-1</v>
      </c>
      <c r="AR553" s="0" t="n">
        <f aca="false">WEEKNUM(B553,1)</f>
        <v>52</v>
      </c>
      <c r="AS553" s="17" t="str">
        <f aca="false">IF(B553&gt;0, (B553+C553)-TIME(13,30,0), "")</f>
        <v/>
      </c>
      <c r="AT553" s="18" t="str">
        <f aca="false">IF(B553&gt;0, (B553+C553)-TIME(13,30,0), "")</f>
        <v/>
      </c>
      <c r="AU553" s="17" t="str">
        <f aca="false">IF(V553&gt;0, (V553+W553)-TIME(13,30,0), "")</f>
        <v/>
      </c>
      <c r="AV553" s="18" t="str">
        <f aca="false">IF(V553&gt;0, (V553+W553)-TIME(13,30,0), "")</f>
        <v/>
      </c>
    </row>
    <row r="554" customFormat="false" ht="15" hidden="false" customHeight="false" outlineLevel="0" collapsed="false">
      <c r="AB554" s="2" t="e">
        <f aca="false">U554-#REF!</f>
        <v>#REF!</v>
      </c>
      <c r="AC554" s="14" t="n">
        <f aca="false">(V554+W554)-(B554+C554)</f>
        <v>0</v>
      </c>
      <c r="AD554" s="4" t="str">
        <f aca="false">INT((V554+W554)-(B554+C554)) &amp; ":" &amp;
TEXT(HOUR((V554+W554)-(B554+C554)), "00") &amp; ":" &amp;
TEXT(MINUTE((V554+W554)-(B554+C554)), "00")</f>
        <v>0:00:00</v>
      </c>
      <c r="AE554" s="1" t="n">
        <f aca="false">IFERROR(
LEFT(AD554,FIND(":",AD554)-1)
+ MID(AD554,FIND(":",AD554)+1,2)/24
+ RIGHT(AD554,2)/1440,
"")</f>
        <v>0</v>
      </c>
      <c r="AF554" s="4" t="str">
        <f aca="false">INT((X554+Y554)-(B554+C554)) &amp; ":" &amp;
TEXT(HOUR((X554+Y554)-(B554+C554)), "00") &amp; ":" &amp;
TEXT(MINUTE((X554+Y554)-(B554+C554)), "00")</f>
        <v>0:00:00</v>
      </c>
      <c r="AG554" s="4" t="e">
        <f aca="false" t="array" ref="AG554:AG554">INT(_xlfn.XLOOKUP(J554,{"Low","Medium","High","Urgent"},{48,24,12,8})/24) &amp; ":" &amp;
TEXT(MOD(_xlfn.XLOOKUP(J554,{"Low","Medium","High","Urgent"},{48,24,12,8}),24)/24,"hh:mm")</f>
        <v>#N/A</v>
      </c>
      <c r="AH554" s="4" t="e">
        <f aca="false">IF(AD554&gt;AG554,"Not Met","Met")</f>
        <v>#N/A</v>
      </c>
      <c r="AI554" s="4" t="e">
        <f aca="false">IF(AB554&lt;TIME(0,30,0),"Met","Not Met")</f>
        <v>#REF!</v>
      </c>
      <c r="AN554" s="1" t="str">
        <f aca="false">TEXT(B554,"dd")</f>
        <v>30</v>
      </c>
      <c r="AO554" s="1" t="str">
        <f aca="false">TEXT(X554,"dd")</f>
        <v>30</v>
      </c>
      <c r="AP554" s="16" t="str">
        <f aca="false">INT(
  NETWORKDAYS(B554,V554)-1
  + IF(WEEKDAY(V554,2)&lt;6,MOD(V554+W554,1),0)
  - IF(WEEKDAY(B554,2)&lt;6,MOD(B554+C554,1),0)
)
&amp; ":" &amp;
TEXT(HOUR(
  NETWORKDAYS(B554,V554)-1
  + IF(WEEKDAY(V554,2)&lt;6,MOD(V554+W554,1),0)
  - IF(WEEKDAY(B554,2)&lt;6,MOD(B554+C554,1),0)
),"00")
&amp; ":" &amp;
TEXT(MINUTE(
  NETWORKDAYS(B554,V554)-1
  + IF(WEEKDAY(V554,2)&lt;6,MOD(V554+W554,1),0)
  - IF(WEEKDAY(B554,2)&lt;6,MOD(B554+C554,1),0)
),"00")</f>
        <v>-1:00:00</v>
      </c>
      <c r="AQ554" s="0" t="n">
        <f aca="false">IFERROR(
LEFT(AP554,FIND(":",AP554)-1)
+ MID(AP554,FIND(":",AP554)+1,2)/24
+ RIGHT(AP554,2)/1440,
"")</f>
        <v>-1</v>
      </c>
      <c r="AR554" s="0" t="n">
        <f aca="false">WEEKNUM(B554,1)</f>
        <v>52</v>
      </c>
      <c r="AS554" s="17" t="str">
        <f aca="false">IF(B554&gt;0, (B554+C554)-TIME(13,30,0), "")</f>
        <v/>
      </c>
      <c r="AT554" s="18" t="str">
        <f aca="false">IF(B554&gt;0, (B554+C554)-TIME(13,30,0), "")</f>
        <v/>
      </c>
      <c r="AU554" s="17" t="str">
        <f aca="false">IF(V554&gt;0, (V554+W554)-TIME(13,30,0), "")</f>
        <v/>
      </c>
      <c r="AV554" s="18" t="str">
        <f aca="false">IF(V554&gt;0, (V554+W554)-TIME(13,30,0), "")</f>
        <v/>
      </c>
    </row>
    <row r="555" customFormat="false" ht="15" hidden="false" customHeight="false" outlineLevel="0" collapsed="false">
      <c r="AB555" s="2" t="e">
        <f aca="false">U555-#REF!</f>
        <v>#REF!</v>
      </c>
      <c r="AC555" s="14" t="n">
        <f aca="false">(V555+W555)-(B555+C555)</f>
        <v>0</v>
      </c>
      <c r="AD555" s="4" t="str">
        <f aca="false">INT((V555+W555)-(B555+C555)) &amp; ":" &amp;
TEXT(HOUR((V555+W555)-(B555+C555)), "00") &amp; ":" &amp;
TEXT(MINUTE((V555+W555)-(B555+C555)), "00")</f>
        <v>0:00:00</v>
      </c>
      <c r="AE555" s="1" t="n">
        <f aca="false">IFERROR(
LEFT(AD555,FIND(":",AD555)-1)
+ MID(AD555,FIND(":",AD555)+1,2)/24
+ RIGHT(AD555,2)/1440,
"")</f>
        <v>0</v>
      </c>
      <c r="AF555" s="4" t="str">
        <f aca="false">INT((X555+Y555)-(B555+C555)) &amp; ":" &amp;
TEXT(HOUR((X555+Y555)-(B555+C555)), "00") &amp; ":" &amp;
TEXT(MINUTE((X555+Y555)-(B555+C555)), "00")</f>
        <v>0:00:00</v>
      </c>
      <c r="AG555" s="4" t="e">
        <f aca="false" t="array" ref="AG555:AG555">INT(_xlfn.XLOOKUP(J555,{"Low","Medium","High","Urgent"},{48,24,12,8})/24) &amp; ":" &amp;
TEXT(MOD(_xlfn.XLOOKUP(J555,{"Low","Medium","High","Urgent"},{48,24,12,8}),24)/24,"hh:mm")</f>
        <v>#N/A</v>
      </c>
      <c r="AH555" s="4" t="e">
        <f aca="false">IF(AD555&gt;AG555,"Not Met","Met")</f>
        <v>#N/A</v>
      </c>
      <c r="AI555" s="4" t="e">
        <f aca="false">IF(AB555&lt;TIME(0,30,0),"Met","Not Met")</f>
        <v>#REF!</v>
      </c>
      <c r="AN555" s="1" t="str">
        <f aca="false">TEXT(B555,"dd")</f>
        <v>30</v>
      </c>
      <c r="AO555" s="1" t="str">
        <f aca="false">TEXT(X555,"dd")</f>
        <v>30</v>
      </c>
      <c r="AP555" s="16" t="str">
        <f aca="false">INT(
  NETWORKDAYS(B555,V555)-1
  + IF(WEEKDAY(V555,2)&lt;6,MOD(V555+W555,1),0)
  - IF(WEEKDAY(B555,2)&lt;6,MOD(B555+C555,1),0)
)
&amp; ":" &amp;
TEXT(HOUR(
  NETWORKDAYS(B555,V555)-1
  + IF(WEEKDAY(V555,2)&lt;6,MOD(V555+W555,1),0)
  - IF(WEEKDAY(B555,2)&lt;6,MOD(B555+C555,1),0)
),"00")
&amp; ":" &amp;
TEXT(MINUTE(
  NETWORKDAYS(B555,V555)-1
  + IF(WEEKDAY(V555,2)&lt;6,MOD(V555+W555,1),0)
  - IF(WEEKDAY(B555,2)&lt;6,MOD(B555+C555,1),0)
),"00")</f>
        <v>-1:00:00</v>
      </c>
      <c r="AQ555" s="0" t="n">
        <f aca="false">IFERROR(
LEFT(AP555,FIND(":",AP555)-1)
+ MID(AP555,FIND(":",AP555)+1,2)/24
+ RIGHT(AP555,2)/1440,
"")</f>
        <v>-1</v>
      </c>
      <c r="AR555" s="0" t="n">
        <f aca="false">WEEKNUM(B555,1)</f>
        <v>52</v>
      </c>
      <c r="AS555" s="17" t="str">
        <f aca="false">IF(B555&gt;0, (B555+C555)-TIME(13,30,0), "")</f>
        <v/>
      </c>
      <c r="AT555" s="18" t="str">
        <f aca="false">IF(B555&gt;0, (B555+C555)-TIME(13,30,0), "")</f>
        <v/>
      </c>
      <c r="AU555" s="17" t="str">
        <f aca="false">IF(V555&gt;0, (V555+W555)-TIME(13,30,0), "")</f>
        <v/>
      </c>
      <c r="AV555" s="18" t="str">
        <f aca="false">IF(V555&gt;0, (V555+W555)-TIME(13,30,0), "")</f>
        <v/>
      </c>
    </row>
    <row r="556" customFormat="false" ht="15" hidden="false" customHeight="false" outlineLevel="0" collapsed="false">
      <c r="AB556" s="2" t="e">
        <f aca="false">U556-#REF!</f>
        <v>#REF!</v>
      </c>
      <c r="AC556" s="14" t="n">
        <f aca="false">(V556+W556)-(B556+C556)</f>
        <v>0</v>
      </c>
      <c r="AD556" s="4" t="str">
        <f aca="false">INT((V556+W556)-(B556+C556)) &amp; ":" &amp;
TEXT(HOUR((V556+W556)-(B556+C556)), "00") &amp; ":" &amp;
TEXT(MINUTE((V556+W556)-(B556+C556)), "00")</f>
        <v>0:00:00</v>
      </c>
      <c r="AE556" s="1" t="n">
        <f aca="false">IFERROR(
LEFT(AD556,FIND(":",AD556)-1)
+ MID(AD556,FIND(":",AD556)+1,2)/24
+ RIGHT(AD556,2)/1440,
"")</f>
        <v>0</v>
      </c>
      <c r="AF556" s="4" t="str">
        <f aca="false">INT((X556+Y556)-(B556+C556)) &amp; ":" &amp;
TEXT(HOUR((X556+Y556)-(B556+C556)), "00") &amp; ":" &amp;
TEXT(MINUTE((X556+Y556)-(B556+C556)), "00")</f>
        <v>0:00:00</v>
      </c>
      <c r="AG556" s="4" t="e">
        <f aca="false" t="array" ref="AG556:AG556">INT(_xlfn.XLOOKUP(J556,{"Low","Medium","High","Urgent"},{48,24,12,8})/24) &amp; ":" &amp;
TEXT(MOD(_xlfn.XLOOKUP(J556,{"Low","Medium","High","Urgent"},{48,24,12,8}),24)/24,"hh:mm")</f>
        <v>#N/A</v>
      </c>
      <c r="AH556" s="4" t="e">
        <f aca="false">IF(AD556&gt;AG556,"Not Met","Met")</f>
        <v>#N/A</v>
      </c>
      <c r="AI556" s="4" t="e">
        <f aca="false">IF(AB556&lt;TIME(0,30,0),"Met","Not Met")</f>
        <v>#REF!</v>
      </c>
      <c r="AN556" s="1" t="str">
        <f aca="false">TEXT(B556,"dd")</f>
        <v>30</v>
      </c>
      <c r="AO556" s="1" t="str">
        <f aca="false">TEXT(X556,"dd")</f>
        <v>30</v>
      </c>
      <c r="AP556" s="16" t="str">
        <f aca="false">INT(
  NETWORKDAYS(B556,V556)-1
  + IF(WEEKDAY(V556,2)&lt;6,MOD(V556+W556,1),0)
  - IF(WEEKDAY(B556,2)&lt;6,MOD(B556+C556,1),0)
)
&amp; ":" &amp;
TEXT(HOUR(
  NETWORKDAYS(B556,V556)-1
  + IF(WEEKDAY(V556,2)&lt;6,MOD(V556+W556,1),0)
  - IF(WEEKDAY(B556,2)&lt;6,MOD(B556+C556,1),0)
),"00")
&amp; ":" &amp;
TEXT(MINUTE(
  NETWORKDAYS(B556,V556)-1
  + IF(WEEKDAY(V556,2)&lt;6,MOD(V556+W556,1),0)
  - IF(WEEKDAY(B556,2)&lt;6,MOD(B556+C556,1),0)
),"00")</f>
        <v>-1:00:00</v>
      </c>
      <c r="AQ556" s="0" t="n">
        <f aca="false">IFERROR(
LEFT(AP556,FIND(":",AP556)-1)
+ MID(AP556,FIND(":",AP556)+1,2)/24
+ RIGHT(AP556,2)/1440,
"")</f>
        <v>-1</v>
      </c>
      <c r="AR556" s="0" t="n">
        <f aca="false">WEEKNUM(B556,1)</f>
        <v>52</v>
      </c>
      <c r="AS556" s="17" t="str">
        <f aca="false">IF(B556&gt;0, (B556+C556)-TIME(13,30,0), "")</f>
        <v/>
      </c>
      <c r="AT556" s="18" t="str">
        <f aca="false">IF(B556&gt;0, (B556+C556)-TIME(13,30,0), "")</f>
        <v/>
      </c>
      <c r="AU556" s="17" t="str">
        <f aca="false">IF(V556&gt;0, (V556+W556)-TIME(13,30,0), "")</f>
        <v/>
      </c>
      <c r="AV556" s="18" t="str">
        <f aca="false">IF(V556&gt;0, (V556+W556)-TIME(13,30,0), "")</f>
        <v/>
      </c>
    </row>
    <row r="557" customFormat="false" ht="15" hidden="false" customHeight="false" outlineLevel="0" collapsed="false">
      <c r="AB557" s="2" t="e">
        <f aca="false">U557-#REF!</f>
        <v>#REF!</v>
      </c>
      <c r="AC557" s="14" t="n">
        <f aca="false">(V557+W557)-(B557+C557)</f>
        <v>0</v>
      </c>
      <c r="AD557" s="4" t="str">
        <f aca="false">INT((V557+W557)-(B557+C557)) &amp; ":" &amp;
TEXT(HOUR((V557+W557)-(B557+C557)), "00") &amp; ":" &amp;
TEXT(MINUTE((V557+W557)-(B557+C557)), "00")</f>
        <v>0:00:00</v>
      </c>
      <c r="AE557" s="1" t="n">
        <f aca="false">IFERROR(
LEFT(AD557,FIND(":",AD557)-1)
+ MID(AD557,FIND(":",AD557)+1,2)/24
+ RIGHT(AD557,2)/1440,
"")</f>
        <v>0</v>
      </c>
      <c r="AF557" s="4" t="str">
        <f aca="false">INT((X557+Y557)-(B557+C557)) &amp; ":" &amp;
TEXT(HOUR((X557+Y557)-(B557+C557)), "00") &amp; ":" &amp;
TEXT(MINUTE((X557+Y557)-(B557+C557)), "00")</f>
        <v>0:00:00</v>
      </c>
      <c r="AG557" s="4" t="e">
        <f aca="false" t="array" ref="AG557:AG557">INT(_xlfn.XLOOKUP(J557,{"Low","Medium","High","Urgent"},{48,24,12,8})/24) &amp; ":" &amp;
TEXT(MOD(_xlfn.XLOOKUP(J557,{"Low","Medium","High","Urgent"},{48,24,12,8}),24)/24,"hh:mm")</f>
        <v>#N/A</v>
      </c>
      <c r="AH557" s="4" t="e">
        <f aca="false">IF(AD557&gt;AG557,"Not Met","Met")</f>
        <v>#N/A</v>
      </c>
      <c r="AI557" s="4" t="e">
        <f aca="false">IF(AB557&lt;TIME(0,30,0),"Met","Not Met")</f>
        <v>#REF!</v>
      </c>
      <c r="AN557" s="1" t="str">
        <f aca="false">TEXT(B557,"dd")</f>
        <v>30</v>
      </c>
      <c r="AO557" s="1" t="str">
        <f aca="false">TEXT(X557,"dd")</f>
        <v>30</v>
      </c>
      <c r="AP557" s="16" t="str">
        <f aca="false">INT(
  NETWORKDAYS(B557,V557)-1
  + IF(WEEKDAY(V557,2)&lt;6,MOD(V557+W557,1),0)
  - IF(WEEKDAY(B557,2)&lt;6,MOD(B557+C557,1),0)
)
&amp; ":" &amp;
TEXT(HOUR(
  NETWORKDAYS(B557,V557)-1
  + IF(WEEKDAY(V557,2)&lt;6,MOD(V557+W557,1),0)
  - IF(WEEKDAY(B557,2)&lt;6,MOD(B557+C557,1),0)
),"00")
&amp; ":" &amp;
TEXT(MINUTE(
  NETWORKDAYS(B557,V557)-1
  + IF(WEEKDAY(V557,2)&lt;6,MOD(V557+W557,1),0)
  - IF(WEEKDAY(B557,2)&lt;6,MOD(B557+C557,1),0)
),"00")</f>
        <v>-1:00:00</v>
      </c>
      <c r="AQ557" s="0" t="n">
        <f aca="false">IFERROR(
LEFT(AP557,FIND(":",AP557)-1)
+ MID(AP557,FIND(":",AP557)+1,2)/24
+ RIGHT(AP557,2)/1440,
"")</f>
        <v>-1</v>
      </c>
      <c r="AR557" s="0" t="n">
        <f aca="false">WEEKNUM(B557,1)</f>
        <v>52</v>
      </c>
      <c r="AS557" s="17" t="str">
        <f aca="false">IF(B557&gt;0, (B557+C557)-TIME(13,30,0), "")</f>
        <v/>
      </c>
      <c r="AT557" s="18" t="str">
        <f aca="false">IF(B557&gt;0, (B557+C557)-TIME(13,30,0), "")</f>
        <v/>
      </c>
      <c r="AU557" s="17" t="str">
        <f aca="false">IF(V557&gt;0, (V557+W557)-TIME(13,30,0), "")</f>
        <v/>
      </c>
      <c r="AV557" s="18" t="str">
        <f aca="false">IF(V557&gt;0, (V557+W557)-TIME(13,30,0), "")</f>
        <v/>
      </c>
    </row>
    <row r="558" customFormat="false" ht="15" hidden="false" customHeight="false" outlineLevel="0" collapsed="false">
      <c r="AB558" s="2" t="e">
        <f aca="false">U558-#REF!</f>
        <v>#REF!</v>
      </c>
      <c r="AC558" s="14" t="n">
        <f aca="false">(V558+W558)-(B558+C558)</f>
        <v>0</v>
      </c>
      <c r="AD558" s="4" t="str">
        <f aca="false">INT((V558+W558)-(B558+C558)) &amp; ":" &amp;
TEXT(HOUR((V558+W558)-(B558+C558)), "00") &amp; ":" &amp;
TEXT(MINUTE((V558+W558)-(B558+C558)), "00")</f>
        <v>0:00:00</v>
      </c>
      <c r="AE558" s="1" t="n">
        <f aca="false">IFERROR(
LEFT(AD558,FIND(":",AD558)-1)
+ MID(AD558,FIND(":",AD558)+1,2)/24
+ RIGHT(AD558,2)/1440,
"")</f>
        <v>0</v>
      </c>
      <c r="AF558" s="4" t="str">
        <f aca="false">INT((X558+Y558)-(B558+C558)) &amp; ":" &amp;
TEXT(HOUR((X558+Y558)-(B558+C558)), "00") &amp; ":" &amp;
TEXT(MINUTE((X558+Y558)-(B558+C558)), "00")</f>
        <v>0:00:00</v>
      </c>
      <c r="AG558" s="4" t="e">
        <f aca="false" t="array" ref="AG558:AG558">INT(_xlfn.XLOOKUP(J558,{"Low","Medium","High","Urgent"},{48,24,12,8})/24) &amp; ":" &amp;
TEXT(MOD(_xlfn.XLOOKUP(J558,{"Low","Medium","High","Urgent"},{48,24,12,8}),24)/24,"hh:mm")</f>
        <v>#N/A</v>
      </c>
      <c r="AH558" s="4" t="e">
        <f aca="false">IF(AD558&gt;AG558,"Not Met","Met")</f>
        <v>#N/A</v>
      </c>
      <c r="AI558" s="4" t="e">
        <f aca="false">IF(AB558&lt;TIME(0,30,0),"Met","Not Met")</f>
        <v>#REF!</v>
      </c>
      <c r="AN558" s="1" t="str">
        <f aca="false">TEXT(B558,"dd")</f>
        <v>30</v>
      </c>
      <c r="AO558" s="1" t="str">
        <f aca="false">TEXT(X558,"dd")</f>
        <v>30</v>
      </c>
      <c r="AP558" s="16" t="str">
        <f aca="false">INT(
  NETWORKDAYS(B558,V558)-1
  + IF(WEEKDAY(V558,2)&lt;6,MOD(V558+W558,1),0)
  - IF(WEEKDAY(B558,2)&lt;6,MOD(B558+C558,1),0)
)
&amp; ":" &amp;
TEXT(HOUR(
  NETWORKDAYS(B558,V558)-1
  + IF(WEEKDAY(V558,2)&lt;6,MOD(V558+W558,1),0)
  - IF(WEEKDAY(B558,2)&lt;6,MOD(B558+C558,1),0)
),"00")
&amp; ":" &amp;
TEXT(MINUTE(
  NETWORKDAYS(B558,V558)-1
  + IF(WEEKDAY(V558,2)&lt;6,MOD(V558+W558,1),0)
  - IF(WEEKDAY(B558,2)&lt;6,MOD(B558+C558,1),0)
),"00")</f>
        <v>-1:00:00</v>
      </c>
      <c r="AQ558" s="0" t="n">
        <f aca="false">IFERROR(
LEFT(AP558,FIND(":",AP558)-1)
+ MID(AP558,FIND(":",AP558)+1,2)/24
+ RIGHT(AP558,2)/1440,
"")</f>
        <v>-1</v>
      </c>
      <c r="AR558" s="0" t="n">
        <f aca="false">WEEKNUM(B558,1)</f>
        <v>52</v>
      </c>
      <c r="AS558" s="17" t="str">
        <f aca="false">IF(B558&gt;0, (B558+C558)-TIME(13,30,0), "")</f>
        <v/>
      </c>
      <c r="AT558" s="18" t="str">
        <f aca="false">IF(B558&gt;0, (B558+C558)-TIME(13,30,0), "")</f>
        <v/>
      </c>
      <c r="AU558" s="17" t="str">
        <f aca="false">IF(V558&gt;0, (V558+W558)-TIME(13,30,0), "")</f>
        <v/>
      </c>
      <c r="AV558" s="18" t="str">
        <f aca="false">IF(V558&gt;0, (V558+W558)-TIME(13,30,0), "")</f>
        <v/>
      </c>
    </row>
    <row r="559" customFormat="false" ht="15" hidden="false" customHeight="false" outlineLevel="0" collapsed="false">
      <c r="AB559" s="2" t="e">
        <f aca="false">U559-#REF!</f>
        <v>#REF!</v>
      </c>
      <c r="AC559" s="14" t="n">
        <f aca="false">(V559+W559)-(B559+C559)</f>
        <v>0</v>
      </c>
      <c r="AD559" s="4" t="str">
        <f aca="false">INT((V559+W559)-(B559+C559)) &amp; ":" &amp;
TEXT(HOUR((V559+W559)-(B559+C559)), "00") &amp; ":" &amp;
TEXT(MINUTE((V559+W559)-(B559+C559)), "00")</f>
        <v>0:00:00</v>
      </c>
      <c r="AE559" s="1" t="n">
        <f aca="false">IFERROR(
LEFT(AD559,FIND(":",AD559)-1)
+ MID(AD559,FIND(":",AD559)+1,2)/24
+ RIGHT(AD559,2)/1440,
"")</f>
        <v>0</v>
      </c>
      <c r="AF559" s="4" t="str">
        <f aca="false">INT((X559+Y559)-(B559+C559)) &amp; ":" &amp;
TEXT(HOUR((X559+Y559)-(B559+C559)), "00") &amp; ":" &amp;
TEXT(MINUTE((X559+Y559)-(B559+C559)), "00")</f>
        <v>0:00:00</v>
      </c>
      <c r="AG559" s="4" t="e">
        <f aca="false" t="array" ref="AG559:AG559">INT(_xlfn.XLOOKUP(J559,{"Low","Medium","High","Urgent"},{48,24,12,8})/24) &amp; ":" &amp;
TEXT(MOD(_xlfn.XLOOKUP(J559,{"Low","Medium","High","Urgent"},{48,24,12,8}),24)/24,"hh:mm")</f>
        <v>#N/A</v>
      </c>
      <c r="AH559" s="4" t="e">
        <f aca="false">IF(AD559&gt;AG559,"Not Met","Met")</f>
        <v>#N/A</v>
      </c>
      <c r="AI559" s="4" t="e">
        <f aca="false">IF(AB559&lt;TIME(0,30,0),"Met","Not Met")</f>
        <v>#REF!</v>
      </c>
      <c r="AN559" s="1" t="str">
        <f aca="false">TEXT(B559,"dd")</f>
        <v>30</v>
      </c>
      <c r="AO559" s="1" t="str">
        <f aca="false">TEXT(X559,"dd")</f>
        <v>30</v>
      </c>
      <c r="AP559" s="16" t="str">
        <f aca="false">INT(
  NETWORKDAYS(B559,V559)-1
  + IF(WEEKDAY(V559,2)&lt;6,MOD(V559+W559,1),0)
  - IF(WEEKDAY(B559,2)&lt;6,MOD(B559+C559,1),0)
)
&amp; ":" &amp;
TEXT(HOUR(
  NETWORKDAYS(B559,V559)-1
  + IF(WEEKDAY(V559,2)&lt;6,MOD(V559+W559,1),0)
  - IF(WEEKDAY(B559,2)&lt;6,MOD(B559+C559,1),0)
),"00")
&amp; ":" &amp;
TEXT(MINUTE(
  NETWORKDAYS(B559,V559)-1
  + IF(WEEKDAY(V559,2)&lt;6,MOD(V559+W559,1),0)
  - IF(WEEKDAY(B559,2)&lt;6,MOD(B559+C559,1),0)
),"00")</f>
        <v>-1:00:00</v>
      </c>
      <c r="AQ559" s="0" t="n">
        <f aca="false">IFERROR(
LEFT(AP559,FIND(":",AP559)-1)
+ MID(AP559,FIND(":",AP559)+1,2)/24
+ RIGHT(AP559,2)/1440,
"")</f>
        <v>-1</v>
      </c>
      <c r="AR559" s="0" t="n">
        <f aca="false">WEEKNUM(B559,1)</f>
        <v>52</v>
      </c>
      <c r="AS559" s="17" t="str">
        <f aca="false">IF(B559&gt;0, (B559+C559)-TIME(13,30,0), "")</f>
        <v/>
      </c>
      <c r="AT559" s="18" t="str">
        <f aca="false">IF(B559&gt;0, (B559+C559)-TIME(13,30,0), "")</f>
        <v/>
      </c>
      <c r="AU559" s="17" t="str">
        <f aca="false">IF(V559&gt;0, (V559+W559)-TIME(13,30,0), "")</f>
        <v/>
      </c>
      <c r="AV559" s="18" t="str">
        <f aca="false">IF(V559&gt;0, (V559+W559)-TIME(13,30,0), "")</f>
        <v/>
      </c>
    </row>
    <row r="560" customFormat="false" ht="15" hidden="false" customHeight="false" outlineLevel="0" collapsed="false">
      <c r="AB560" s="2" t="e">
        <f aca="false">U560-#REF!</f>
        <v>#REF!</v>
      </c>
      <c r="AC560" s="14" t="n">
        <f aca="false">(V560+W560)-(B560+C560)</f>
        <v>0</v>
      </c>
      <c r="AD560" s="4" t="str">
        <f aca="false">INT((V560+W560)-(B560+C560)) &amp; ":" &amp;
TEXT(HOUR((V560+W560)-(B560+C560)), "00") &amp; ":" &amp;
TEXT(MINUTE((V560+W560)-(B560+C560)), "00")</f>
        <v>0:00:00</v>
      </c>
      <c r="AE560" s="1" t="n">
        <f aca="false">IFERROR(
LEFT(AD560,FIND(":",AD560)-1)
+ MID(AD560,FIND(":",AD560)+1,2)/24
+ RIGHT(AD560,2)/1440,
"")</f>
        <v>0</v>
      </c>
      <c r="AF560" s="4" t="str">
        <f aca="false">INT((X560+Y560)-(B560+C560)) &amp; ":" &amp;
TEXT(HOUR((X560+Y560)-(B560+C560)), "00") &amp; ":" &amp;
TEXT(MINUTE((X560+Y560)-(B560+C560)), "00")</f>
        <v>0:00:00</v>
      </c>
      <c r="AG560" s="4" t="e">
        <f aca="false" t="array" ref="AG560:AG560">INT(_xlfn.XLOOKUP(J560,{"Low","Medium","High","Urgent"},{48,24,12,8})/24) &amp; ":" &amp;
TEXT(MOD(_xlfn.XLOOKUP(J560,{"Low","Medium","High","Urgent"},{48,24,12,8}),24)/24,"hh:mm")</f>
        <v>#N/A</v>
      </c>
      <c r="AH560" s="4" t="e">
        <f aca="false">IF(AD560&gt;AG560,"Not Met","Met")</f>
        <v>#N/A</v>
      </c>
      <c r="AI560" s="4" t="e">
        <f aca="false">IF(AB560&lt;TIME(0,30,0),"Met","Not Met")</f>
        <v>#REF!</v>
      </c>
      <c r="AN560" s="1" t="str">
        <f aca="false">TEXT(B560,"dd")</f>
        <v>30</v>
      </c>
      <c r="AO560" s="1" t="str">
        <f aca="false">TEXT(X560,"dd")</f>
        <v>30</v>
      </c>
      <c r="AP560" s="16" t="str">
        <f aca="false">INT(
  NETWORKDAYS(B560,V560)-1
  + IF(WEEKDAY(V560,2)&lt;6,MOD(V560+W560,1),0)
  - IF(WEEKDAY(B560,2)&lt;6,MOD(B560+C560,1),0)
)
&amp; ":" &amp;
TEXT(HOUR(
  NETWORKDAYS(B560,V560)-1
  + IF(WEEKDAY(V560,2)&lt;6,MOD(V560+W560,1),0)
  - IF(WEEKDAY(B560,2)&lt;6,MOD(B560+C560,1),0)
),"00")
&amp; ":" &amp;
TEXT(MINUTE(
  NETWORKDAYS(B560,V560)-1
  + IF(WEEKDAY(V560,2)&lt;6,MOD(V560+W560,1),0)
  - IF(WEEKDAY(B560,2)&lt;6,MOD(B560+C560,1),0)
),"00")</f>
        <v>-1:00:00</v>
      </c>
      <c r="AQ560" s="0" t="n">
        <f aca="false">IFERROR(
LEFT(AP560,FIND(":",AP560)-1)
+ MID(AP560,FIND(":",AP560)+1,2)/24
+ RIGHT(AP560,2)/1440,
"")</f>
        <v>-1</v>
      </c>
      <c r="AR560" s="0" t="n">
        <f aca="false">WEEKNUM(B560,1)</f>
        <v>52</v>
      </c>
      <c r="AS560" s="17" t="str">
        <f aca="false">IF(B560&gt;0, (B560+C560)-TIME(13,30,0), "")</f>
        <v/>
      </c>
      <c r="AT560" s="18" t="str">
        <f aca="false">IF(B560&gt;0, (B560+C560)-TIME(13,30,0), "")</f>
        <v/>
      </c>
      <c r="AU560" s="17" t="str">
        <f aca="false">IF(V560&gt;0, (V560+W560)-TIME(13,30,0), "")</f>
        <v/>
      </c>
      <c r="AV560" s="18" t="str">
        <f aca="false">IF(V560&gt;0, (V560+W560)-TIME(13,30,0), "")</f>
        <v/>
      </c>
    </row>
    <row r="561" customFormat="false" ht="15" hidden="false" customHeight="false" outlineLevel="0" collapsed="false">
      <c r="AB561" s="2" t="e">
        <f aca="false">U561-#REF!</f>
        <v>#REF!</v>
      </c>
      <c r="AC561" s="14" t="n">
        <f aca="false">(V561+W561)-(B561+C561)</f>
        <v>0</v>
      </c>
      <c r="AD561" s="4" t="str">
        <f aca="false">INT((V561+W561)-(B561+C561)) &amp; ":" &amp;
TEXT(HOUR((V561+W561)-(B561+C561)), "00") &amp; ":" &amp;
TEXT(MINUTE((V561+W561)-(B561+C561)), "00")</f>
        <v>0:00:00</v>
      </c>
      <c r="AE561" s="1" t="n">
        <f aca="false">IFERROR(
LEFT(AD561,FIND(":",AD561)-1)
+ MID(AD561,FIND(":",AD561)+1,2)/24
+ RIGHT(AD561,2)/1440,
"")</f>
        <v>0</v>
      </c>
      <c r="AF561" s="4" t="str">
        <f aca="false">INT((X561+Y561)-(B561+C561)) &amp; ":" &amp;
TEXT(HOUR((X561+Y561)-(B561+C561)), "00") &amp; ":" &amp;
TEXT(MINUTE((X561+Y561)-(B561+C561)), "00")</f>
        <v>0:00:00</v>
      </c>
      <c r="AG561" s="4" t="e">
        <f aca="false" t="array" ref="AG561:AG561">INT(_xlfn.XLOOKUP(J561,{"Low","Medium","High","Urgent"},{48,24,12,8})/24) &amp; ":" &amp;
TEXT(MOD(_xlfn.XLOOKUP(J561,{"Low","Medium","High","Urgent"},{48,24,12,8}),24)/24,"hh:mm")</f>
        <v>#N/A</v>
      </c>
      <c r="AH561" s="4" t="e">
        <f aca="false">IF(AD561&gt;AG561,"Not Met","Met")</f>
        <v>#N/A</v>
      </c>
      <c r="AI561" s="4" t="e">
        <f aca="false">IF(AB561&lt;TIME(0,30,0),"Met","Not Met")</f>
        <v>#REF!</v>
      </c>
      <c r="AN561" s="1" t="str">
        <f aca="false">TEXT(B561,"dd")</f>
        <v>30</v>
      </c>
      <c r="AO561" s="1" t="str">
        <f aca="false">TEXT(X561,"dd")</f>
        <v>30</v>
      </c>
      <c r="AP561" s="16" t="str">
        <f aca="false">INT(
  NETWORKDAYS(B561,V561)-1
  + IF(WEEKDAY(V561,2)&lt;6,MOD(V561+W561,1),0)
  - IF(WEEKDAY(B561,2)&lt;6,MOD(B561+C561,1),0)
)
&amp; ":" &amp;
TEXT(HOUR(
  NETWORKDAYS(B561,V561)-1
  + IF(WEEKDAY(V561,2)&lt;6,MOD(V561+W561,1),0)
  - IF(WEEKDAY(B561,2)&lt;6,MOD(B561+C561,1),0)
),"00")
&amp; ":" &amp;
TEXT(MINUTE(
  NETWORKDAYS(B561,V561)-1
  + IF(WEEKDAY(V561,2)&lt;6,MOD(V561+W561,1),0)
  - IF(WEEKDAY(B561,2)&lt;6,MOD(B561+C561,1),0)
),"00")</f>
        <v>-1:00:00</v>
      </c>
      <c r="AQ561" s="0" t="n">
        <f aca="false">IFERROR(
LEFT(AP561,FIND(":",AP561)-1)
+ MID(AP561,FIND(":",AP561)+1,2)/24
+ RIGHT(AP561,2)/1440,
"")</f>
        <v>-1</v>
      </c>
      <c r="AR561" s="0" t="n">
        <f aca="false">WEEKNUM(B561,1)</f>
        <v>52</v>
      </c>
      <c r="AS561" s="17" t="str">
        <f aca="false">IF(B561&gt;0, (B561+C561)-TIME(13,30,0), "")</f>
        <v/>
      </c>
      <c r="AT561" s="18" t="str">
        <f aca="false">IF(B561&gt;0, (B561+C561)-TIME(13,30,0), "")</f>
        <v/>
      </c>
      <c r="AU561" s="17" t="str">
        <f aca="false">IF(V561&gt;0, (V561+W561)-TIME(13,30,0), "")</f>
        <v/>
      </c>
      <c r="AV561" s="18" t="str">
        <f aca="false">IF(V561&gt;0, (V561+W561)-TIME(13,30,0), "")</f>
        <v/>
      </c>
    </row>
    <row r="562" customFormat="false" ht="15" hidden="false" customHeight="false" outlineLevel="0" collapsed="false">
      <c r="AB562" s="2" t="e">
        <f aca="false">U562-#REF!</f>
        <v>#REF!</v>
      </c>
      <c r="AC562" s="14" t="n">
        <f aca="false">(V562+W562)-(B562+C562)</f>
        <v>0</v>
      </c>
      <c r="AD562" s="4" t="str">
        <f aca="false">INT((V562+W562)-(B562+C562)) &amp; ":" &amp;
TEXT(HOUR((V562+W562)-(B562+C562)), "00") &amp; ":" &amp;
TEXT(MINUTE((V562+W562)-(B562+C562)), "00")</f>
        <v>0:00:00</v>
      </c>
      <c r="AE562" s="1" t="n">
        <f aca="false">IFERROR(
LEFT(AD562,FIND(":",AD562)-1)
+ MID(AD562,FIND(":",AD562)+1,2)/24
+ RIGHT(AD562,2)/1440,
"")</f>
        <v>0</v>
      </c>
      <c r="AF562" s="4" t="str">
        <f aca="false">INT((X562+Y562)-(B562+C562)) &amp; ":" &amp;
TEXT(HOUR((X562+Y562)-(B562+C562)), "00") &amp; ":" &amp;
TEXT(MINUTE((X562+Y562)-(B562+C562)), "00")</f>
        <v>0:00:00</v>
      </c>
      <c r="AG562" s="4" t="e">
        <f aca="false" t="array" ref="AG562:AG562">INT(_xlfn.XLOOKUP(J562,{"Low","Medium","High","Urgent"},{48,24,12,8})/24) &amp; ":" &amp;
TEXT(MOD(_xlfn.XLOOKUP(J562,{"Low","Medium","High","Urgent"},{48,24,12,8}),24)/24,"hh:mm")</f>
        <v>#N/A</v>
      </c>
      <c r="AH562" s="4" t="e">
        <f aca="false">IF(AD562&gt;AG562,"Not Met","Met")</f>
        <v>#N/A</v>
      </c>
      <c r="AI562" s="4" t="e">
        <f aca="false">IF(AB562&lt;TIME(0,30,0),"Met","Not Met")</f>
        <v>#REF!</v>
      </c>
      <c r="AN562" s="1" t="str">
        <f aca="false">TEXT(B562,"dd")</f>
        <v>30</v>
      </c>
      <c r="AO562" s="1" t="str">
        <f aca="false">TEXT(X562,"dd")</f>
        <v>30</v>
      </c>
      <c r="AP562" s="16" t="str">
        <f aca="false">INT(
  NETWORKDAYS(B562,V562)-1
  + IF(WEEKDAY(V562,2)&lt;6,MOD(V562+W562,1),0)
  - IF(WEEKDAY(B562,2)&lt;6,MOD(B562+C562,1),0)
)
&amp; ":" &amp;
TEXT(HOUR(
  NETWORKDAYS(B562,V562)-1
  + IF(WEEKDAY(V562,2)&lt;6,MOD(V562+W562,1),0)
  - IF(WEEKDAY(B562,2)&lt;6,MOD(B562+C562,1),0)
),"00")
&amp; ":" &amp;
TEXT(MINUTE(
  NETWORKDAYS(B562,V562)-1
  + IF(WEEKDAY(V562,2)&lt;6,MOD(V562+W562,1),0)
  - IF(WEEKDAY(B562,2)&lt;6,MOD(B562+C562,1),0)
),"00")</f>
        <v>-1:00:00</v>
      </c>
      <c r="AQ562" s="0" t="n">
        <f aca="false">IFERROR(
LEFT(AP562,FIND(":",AP562)-1)
+ MID(AP562,FIND(":",AP562)+1,2)/24
+ RIGHT(AP562,2)/1440,
"")</f>
        <v>-1</v>
      </c>
      <c r="AR562" s="0" t="n">
        <f aca="false">WEEKNUM(B562,1)</f>
        <v>52</v>
      </c>
      <c r="AS562" s="17" t="str">
        <f aca="false">IF(B562&gt;0, (B562+C562)-TIME(13,30,0), "")</f>
        <v/>
      </c>
      <c r="AT562" s="18" t="str">
        <f aca="false">IF(B562&gt;0, (B562+C562)-TIME(13,30,0), "")</f>
        <v/>
      </c>
      <c r="AU562" s="17" t="str">
        <f aca="false">IF(V562&gt;0, (V562+W562)-TIME(13,30,0), "")</f>
        <v/>
      </c>
      <c r="AV562" s="18" t="str">
        <f aca="false">IF(V562&gt;0, (V562+W562)-TIME(13,30,0), "")</f>
        <v/>
      </c>
    </row>
    <row r="563" customFormat="false" ht="15" hidden="false" customHeight="false" outlineLevel="0" collapsed="false">
      <c r="AB563" s="2" t="e">
        <f aca="false">U563-#REF!</f>
        <v>#REF!</v>
      </c>
      <c r="AC563" s="14" t="n">
        <f aca="false">(V563+W563)-(B563+C563)</f>
        <v>0</v>
      </c>
      <c r="AD563" s="4" t="str">
        <f aca="false">INT((V563+W563)-(B563+C563)) &amp; ":" &amp;
TEXT(HOUR((V563+W563)-(B563+C563)), "00") &amp; ":" &amp;
TEXT(MINUTE((V563+W563)-(B563+C563)), "00")</f>
        <v>0:00:00</v>
      </c>
      <c r="AE563" s="1" t="n">
        <f aca="false">IFERROR(
LEFT(AD563,FIND(":",AD563)-1)
+ MID(AD563,FIND(":",AD563)+1,2)/24
+ RIGHT(AD563,2)/1440,
"")</f>
        <v>0</v>
      </c>
      <c r="AF563" s="4" t="str">
        <f aca="false">INT((X563+Y563)-(B563+C563)) &amp; ":" &amp;
TEXT(HOUR((X563+Y563)-(B563+C563)), "00") &amp; ":" &amp;
TEXT(MINUTE((X563+Y563)-(B563+C563)), "00")</f>
        <v>0:00:00</v>
      </c>
      <c r="AG563" s="4" t="e">
        <f aca="false" t="array" ref="AG563:AG563">INT(_xlfn.XLOOKUP(J563,{"Low","Medium","High","Urgent"},{48,24,12,8})/24) &amp; ":" &amp;
TEXT(MOD(_xlfn.XLOOKUP(J563,{"Low","Medium","High","Urgent"},{48,24,12,8}),24)/24,"hh:mm")</f>
        <v>#N/A</v>
      </c>
      <c r="AH563" s="4" t="e">
        <f aca="false">IF(AD563&gt;AG563,"Not Met","Met")</f>
        <v>#N/A</v>
      </c>
      <c r="AI563" s="4" t="e">
        <f aca="false">IF(AB563&lt;TIME(0,30,0),"Met","Not Met")</f>
        <v>#REF!</v>
      </c>
      <c r="AN563" s="1" t="str">
        <f aca="false">TEXT(B563,"dd")</f>
        <v>30</v>
      </c>
      <c r="AO563" s="1" t="str">
        <f aca="false">TEXT(X563,"dd")</f>
        <v>30</v>
      </c>
      <c r="AP563" s="16" t="str">
        <f aca="false">INT(
  NETWORKDAYS(B563,V563)-1
  + IF(WEEKDAY(V563,2)&lt;6,MOD(V563+W563,1),0)
  - IF(WEEKDAY(B563,2)&lt;6,MOD(B563+C563,1),0)
)
&amp; ":" &amp;
TEXT(HOUR(
  NETWORKDAYS(B563,V563)-1
  + IF(WEEKDAY(V563,2)&lt;6,MOD(V563+W563,1),0)
  - IF(WEEKDAY(B563,2)&lt;6,MOD(B563+C563,1),0)
),"00")
&amp; ":" &amp;
TEXT(MINUTE(
  NETWORKDAYS(B563,V563)-1
  + IF(WEEKDAY(V563,2)&lt;6,MOD(V563+W563,1),0)
  - IF(WEEKDAY(B563,2)&lt;6,MOD(B563+C563,1),0)
),"00")</f>
        <v>-1:00:00</v>
      </c>
      <c r="AQ563" s="0" t="n">
        <f aca="false">IFERROR(
LEFT(AP563,FIND(":",AP563)-1)
+ MID(AP563,FIND(":",AP563)+1,2)/24
+ RIGHT(AP563,2)/1440,
"")</f>
        <v>-1</v>
      </c>
      <c r="AR563" s="0" t="n">
        <f aca="false">WEEKNUM(B563,1)</f>
        <v>52</v>
      </c>
      <c r="AS563" s="17" t="str">
        <f aca="false">IF(B563&gt;0, (B563+C563)-TIME(13,30,0), "")</f>
        <v/>
      </c>
      <c r="AT563" s="18" t="str">
        <f aca="false">IF(B563&gt;0, (B563+C563)-TIME(13,30,0), "")</f>
        <v/>
      </c>
      <c r="AU563" s="17" t="str">
        <f aca="false">IF(V563&gt;0, (V563+W563)-TIME(13,30,0), "")</f>
        <v/>
      </c>
      <c r="AV563" s="18" t="str">
        <f aca="false">IF(V563&gt;0, (V563+W563)-TIME(13,30,0), "")</f>
        <v/>
      </c>
    </row>
    <row r="564" customFormat="false" ht="15" hidden="false" customHeight="false" outlineLevel="0" collapsed="false">
      <c r="AB564" s="2" t="e">
        <f aca="false">U564-#REF!</f>
        <v>#REF!</v>
      </c>
      <c r="AC564" s="14" t="n">
        <f aca="false">(V564+W564)-(B564+C564)</f>
        <v>0</v>
      </c>
      <c r="AD564" s="4" t="str">
        <f aca="false">INT((V564+W564)-(B564+C564)) &amp; ":" &amp;
TEXT(HOUR((V564+W564)-(B564+C564)), "00") &amp; ":" &amp;
TEXT(MINUTE((V564+W564)-(B564+C564)), "00")</f>
        <v>0:00:00</v>
      </c>
      <c r="AE564" s="1" t="n">
        <f aca="false">IFERROR(
LEFT(AD564,FIND(":",AD564)-1)
+ MID(AD564,FIND(":",AD564)+1,2)/24
+ RIGHT(AD564,2)/1440,
"")</f>
        <v>0</v>
      </c>
      <c r="AF564" s="4" t="str">
        <f aca="false">INT((X564+Y564)-(B564+C564)) &amp; ":" &amp;
TEXT(HOUR((X564+Y564)-(B564+C564)), "00") &amp; ":" &amp;
TEXT(MINUTE((X564+Y564)-(B564+C564)), "00")</f>
        <v>0:00:00</v>
      </c>
      <c r="AG564" s="4" t="e">
        <f aca="false" t="array" ref="AG564:AG564">INT(_xlfn.XLOOKUP(J564,{"Low","Medium","High","Urgent"},{48,24,12,8})/24) &amp; ":" &amp;
TEXT(MOD(_xlfn.XLOOKUP(J564,{"Low","Medium","High","Urgent"},{48,24,12,8}),24)/24,"hh:mm")</f>
        <v>#N/A</v>
      </c>
      <c r="AH564" s="4" t="e">
        <f aca="false">IF(AD564&gt;AG564,"Not Met","Met")</f>
        <v>#N/A</v>
      </c>
      <c r="AI564" s="4" t="e">
        <f aca="false">IF(AB564&lt;TIME(0,30,0),"Met","Not Met")</f>
        <v>#REF!</v>
      </c>
      <c r="AN564" s="1" t="str">
        <f aca="false">TEXT(B564,"dd")</f>
        <v>30</v>
      </c>
      <c r="AO564" s="1" t="str">
        <f aca="false">TEXT(X564,"dd")</f>
        <v>30</v>
      </c>
      <c r="AP564" s="16" t="str">
        <f aca="false">INT(
  NETWORKDAYS(B564,V564)-1
  + IF(WEEKDAY(V564,2)&lt;6,MOD(V564+W564,1),0)
  - IF(WEEKDAY(B564,2)&lt;6,MOD(B564+C564,1),0)
)
&amp; ":" &amp;
TEXT(HOUR(
  NETWORKDAYS(B564,V564)-1
  + IF(WEEKDAY(V564,2)&lt;6,MOD(V564+W564,1),0)
  - IF(WEEKDAY(B564,2)&lt;6,MOD(B564+C564,1),0)
),"00")
&amp; ":" &amp;
TEXT(MINUTE(
  NETWORKDAYS(B564,V564)-1
  + IF(WEEKDAY(V564,2)&lt;6,MOD(V564+W564,1),0)
  - IF(WEEKDAY(B564,2)&lt;6,MOD(B564+C564,1),0)
),"00")</f>
        <v>-1:00:00</v>
      </c>
      <c r="AQ564" s="0" t="n">
        <f aca="false">IFERROR(
LEFT(AP564,FIND(":",AP564)-1)
+ MID(AP564,FIND(":",AP564)+1,2)/24
+ RIGHT(AP564,2)/1440,
"")</f>
        <v>-1</v>
      </c>
      <c r="AR564" s="0" t="n">
        <f aca="false">WEEKNUM(B564,1)</f>
        <v>52</v>
      </c>
      <c r="AS564" s="17" t="str">
        <f aca="false">IF(B564&gt;0, (B564+C564)-TIME(13,30,0), "")</f>
        <v/>
      </c>
      <c r="AT564" s="18" t="str">
        <f aca="false">IF(B564&gt;0, (B564+C564)-TIME(13,30,0), "")</f>
        <v/>
      </c>
      <c r="AU564" s="17" t="str">
        <f aca="false">IF(V564&gt;0, (V564+W564)-TIME(13,30,0), "")</f>
        <v/>
      </c>
      <c r="AV564" s="18" t="str">
        <f aca="false">IF(V564&gt;0, (V564+W564)-TIME(13,30,0), "")</f>
        <v/>
      </c>
    </row>
    <row r="565" customFormat="false" ht="15" hidden="false" customHeight="false" outlineLevel="0" collapsed="false">
      <c r="AB565" s="2" t="e">
        <f aca="false">U565-#REF!</f>
        <v>#REF!</v>
      </c>
      <c r="AC565" s="14" t="n">
        <f aca="false">(V565+W565)-(B565+C565)</f>
        <v>0</v>
      </c>
      <c r="AD565" s="4" t="str">
        <f aca="false">INT((V565+W565)-(B565+C565)) &amp; ":" &amp;
TEXT(HOUR((V565+W565)-(B565+C565)), "00") &amp; ":" &amp;
TEXT(MINUTE((V565+W565)-(B565+C565)), "00")</f>
        <v>0:00:00</v>
      </c>
      <c r="AE565" s="1" t="n">
        <f aca="false">IFERROR(
LEFT(AD565,FIND(":",AD565)-1)
+ MID(AD565,FIND(":",AD565)+1,2)/24
+ RIGHT(AD565,2)/1440,
"")</f>
        <v>0</v>
      </c>
      <c r="AF565" s="4" t="str">
        <f aca="false">INT((X565+Y565)-(B565+C565)) &amp; ":" &amp;
TEXT(HOUR((X565+Y565)-(B565+C565)), "00") &amp; ":" &amp;
TEXT(MINUTE((X565+Y565)-(B565+C565)), "00")</f>
        <v>0:00:00</v>
      </c>
      <c r="AG565" s="4" t="e">
        <f aca="false" t="array" ref="AG565:AG565">INT(_xlfn.XLOOKUP(J565,{"Low","Medium","High","Urgent"},{48,24,12,8})/24) &amp; ":" &amp;
TEXT(MOD(_xlfn.XLOOKUP(J565,{"Low","Medium","High","Urgent"},{48,24,12,8}),24)/24,"hh:mm")</f>
        <v>#N/A</v>
      </c>
      <c r="AH565" s="4" t="e">
        <f aca="false">IF(AD565&gt;AG565,"Not Met","Met")</f>
        <v>#N/A</v>
      </c>
      <c r="AI565" s="4" t="e">
        <f aca="false">IF(AB565&lt;TIME(0,30,0),"Met","Not Met")</f>
        <v>#REF!</v>
      </c>
      <c r="AN565" s="1" t="str">
        <f aca="false">TEXT(B565,"dd")</f>
        <v>30</v>
      </c>
      <c r="AO565" s="1" t="str">
        <f aca="false">TEXT(X565,"dd")</f>
        <v>30</v>
      </c>
      <c r="AP565" s="16" t="str">
        <f aca="false">INT(
  NETWORKDAYS(B565,V565)-1
  + IF(WEEKDAY(V565,2)&lt;6,MOD(V565+W565,1),0)
  - IF(WEEKDAY(B565,2)&lt;6,MOD(B565+C565,1),0)
)
&amp; ":" &amp;
TEXT(HOUR(
  NETWORKDAYS(B565,V565)-1
  + IF(WEEKDAY(V565,2)&lt;6,MOD(V565+W565,1),0)
  - IF(WEEKDAY(B565,2)&lt;6,MOD(B565+C565,1),0)
),"00")
&amp; ":" &amp;
TEXT(MINUTE(
  NETWORKDAYS(B565,V565)-1
  + IF(WEEKDAY(V565,2)&lt;6,MOD(V565+W565,1),0)
  - IF(WEEKDAY(B565,2)&lt;6,MOD(B565+C565,1),0)
),"00")</f>
        <v>-1:00:00</v>
      </c>
      <c r="AQ565" s="0" t="n">
        <f aca="false">IFERROR(
LEFT(AP565,FIND(":",AP565)-1)
+ MID(AP565,FIND(":",AP565)+1,2)/24
+ RIGHT(AP565,2)/1440,
"")</f>
        <v>-1</v>
      </c>
      <c r="AR565" s="0" t="n">
        <f aca="false">WEEKNUM(B565,1)</f>
        <v>52</v>
      </c>
      <c r="AS565" s="17" t="str">
        <f aca="false">IF(B565&gt;0, (B565+C565)-TIME(13,30,0), "")</f>
        <v/>
      </c>
      <c r="AT565" s="18" t="str">
        <f aca="false">IF(B565&gt;0, (B565+C565)-TIME(13,30,0), "")</f>
        <v/>
      </c>
      <c r="AU565" s="17" t="str">
        <f aca="false">IF(V565&gt;0, (V565+W565)-TIME(13,30,0), "")</f>
        <v/>
      </c>
      <c r="AV565" s="18" t="str">
        <f aca="false">IF(V565&gt;0, (V565+W565)-TIME(13,30,0), "")</f>
        <v/>
      </c>
    </row>
    <row r="566" customFormat="false" ht="15" hidden="false" customHeight="false" outlineLevel="0" collapsed="false">
      <c r="AB566" s="2" t="e">
        <f aca="false">U566-#REF!</f>
        <v>#REF!</v>
      </c>
      <c r="AC566" s="14" t="n">
        <f aca="false">(V566+W566)-(B566+C566)</f>
        <v>0</v>
      </c>
      <c r="AD566" s="4" t="str">
        <f aca="false">INT((V566+W566)-(B566+C566)) &amp; ":" &amp;
TEXT(HOUR((V566+W566)-(B566+C566)), "00") &amp; ":" &amp;
TEXT(MINUTE((V566+W566)-(B566+C566)), "00")</f>
        <v>0:00:00</v>
      </c>
      <c r="AE566" s="1" t="n">
        <f aca="false">IFERROR(
LEFT(AD566,FIND(":",AD566)-1)
+ MID(AD566,FIND(":",AD566)+1,2)/24
+ RIGHT(AD566,2)/1440,
"")</f>
        <v>0</v>
      </c>
      <c r="AF566" s="4" t="str">
        <f aca="false">INT((X566+Y566)-(B566+C566)) &amp; ":" &amp;
TEXT(HOUR((X566+Y566)-(B566+C566)), "00") &amp; ":" &amp;
TEXT(MINUTE((X566+Y566)-(B566+C566)), "00")</f>
        <v>0:00:00</v>
      </c>
      <c r="AG566" s="4" t="e">
        <f aca="false" t="array" ref="AG566:AG566">INT(_xlfn.XLOOKUP(J566,{"Low","Medium","High","Urgent"},{48,24,12,8})/24) &amp; ":" &amp;
TEXT(MOD(_xlfn.XLOOKUP(J566,{"Low","Medium","High","Urgent"},{48,24,12,8}),24)/24,"hh:mm")</f>
        <v>#N/A</v>
      </c>
      <c r="AH566" s="4" t="e">
        <f aca="false">IF(AD566&gt;AG566,"Not Met","Met")</f>
        <v>#N/A</v>
      </c>
      <c r="AI566" s="4" t="e">
        <f aca="false">IF(AB566&lt;TIME(0,30,0),"Met","Not Met")</f>
        <v>#REF!</v>
      </c>
      <c r="AN566" s="1" t="str">
        <f aca="false">TEXT(B566,"dd")</f>
        <v>30</v>
      </c>
      <c r="AO566" s="1" t="str">
        <f aca="false">TEXT(X566,"dd")</f>
        <v>30</v>
      </c>
      <c r="AP566" s="16" t="str">
        <f aca="false">INT(
  NETWORKDAYS(B566,V566)-1
  + IF(WEEKDAY(V566,2)&lt;6,MOD(V566+W566,1),0)
  - IF(WEEKDAY(B566,2)&lt;6,MOD(B566+C566,1),0)
)
&amp; ":" &amp;
TEXT(HOUR(
  NETWORKDAYS(B566,V566)-1
  + IF(WEEKDAY(V566,2)&lt;6,MOD(V566+W566,1),0)
  - IF(WEEKDAY(B566,2)&lt;6,MOD(B566+C566,1),0)
),"00")
&amp; ":" &amp;
TEXT(MINUTE(
  NETWORKDAYS(B566,V566)-1
  + IF(WEEKDAY(V566,2)&lt;6,MOD(V566+W566,1),0)
  - IF(WEEKDAY(B566,2)&lt;6,MOD(B566+C566,1),0)
),"00")</f>
        <v>-1:00:00</v>
      </c>
      <c r="AQ566" s="0" t="n">
        <f aca="false">IFERROR(
LEFT(AP566,FIND(":",AP566)-1)
+ MID(AP566,FIND(":",AP566)+1,2)/24
+ RIGHT(AP566,2)/1440,
"")</f>
        <v>-1</v>
      </c>
      <c r="AR566" s="0" t="n">
        <f aca="false">WEEKNUM(B566,1)</f>
        <v>52</v>
      </c>
      <c r="AS566" s="17" t="str">
        <f aca="false">IF(B566&gt;0, (B566+C566)-TIME(13,30,0), "")</f>
        <v/>
      </c>
      <c r="AT566" s="18" t="str">
        <f aca="false">IF(B566&gt;0, (B566+C566)-TIME(13,30,0), "")</f>
        <v/>
      </c>
      <c r="AU566" s="17" t="str">
        <f aca="false">IF(V566&gt;0, (V566+W566)-TIME(13,30,0), "")</f>
        <v/>
      </c>
      <c r="AV566" s="18" t="str">
        <f aca="false">IF(V566&gt;0, (V566+W566)-TIME(13,30,0), "")</f>
        <v/>
      </c>
    </row>
    <row r="567" customFormat="false" ht="15" hidden="false" customHeight="false" outlineLevel="0" collapsed="false">
      <c r="AB567" s="2" t="e">
        <f aca="false">U567-#REF!</f>
        <v>#REF!</v>
      </c>
      <c r="AC567" s="14" t="n">
        <f aca="false">(V567+W567)-(B567+C567)</f>
        <v>0</v>
      </c>
      <c r="AD567" s="4" t="str">
        <f aca="false">INT((V567+W567)-(B567+C567)) &amp; ":" &amp;
TEXT(HOUR((V567+W567)-(B567+C567)), "00") &amp; ":" &amp;
TEXT(MINUTE((V567+W567)-(B567+C567)), "00")</f>
        <v>0:00:00</v>
      </c>
      <c r="AE567" s="1" t="n">
        <f aca="false">IFERROR(
LEFT(AD567,FIND(":",AD567)-1)
+ MID(AD567,FIND(":",AD567)+1,2)/24
+ RIGHT(AD567,2)/1440,
"")</f>
        <v>0</v>
      </c>
      <c r="AF567" s="4" t="str">
        <f aca="false">INT((X567+Y567)-(B567+C567)) &amp; ":" &amp;
TEXT(HOUR((X567+Y567)-(B567+C567)), "00") &amp; ":" &amp;
TEXT(MINUTE((X567+Y567)-(B567+C567)), "00")</f>
        <v>0:00:00</v>
      </c>
      <c r="AG567" s="4" t="e">
        <f aca="false" t="array" ref="AG567:AG567">INT(_xlfn.XLOOKUP(J567,{"Low","Medium","High","Urgent"},{48,24,12,8})/24) &amp; ":" &amp;
TEXT(MOD(_xlfn.XLOOKUP(J567,{"Low","Medium","High","Urgent"},{48,24,12,8}),24)/24,"hh:mm")</f>
        <v>#N/A</v>
      </c>
      <c r="AH567" s="4" t="e">
        <f aca="false">IF(AD567&gt;AG567,"Not Met","Met")</f>
        <v>#N/A</v>
      </c>
      <c r="AI567" s="4" t="e">
        <f aca="false">IF(AB567&lt;TIME(0,30,0),"Met","Not Met")</f>
        <v>#REF!</v>
      </c>
      <c r="AN567" s="1" t="str">
        <f aca="false">TEXT(B567,"dd")</f>
        <v>30</v>
      </c>
      <c r="AO567" s="1" t="str">
        <f aca="false">TEXT(X567,"dd")</f>
        <v>30</v>
      </c>
      <c r="AP567" s="16" t="str">
        <f aca="false">INT(
  NETWORKDAYS(B567,V567)-1
  + IF(WEEKDAY(V567,2)&lt;6,MOD(V567+W567,1),0)
  - IF(WEEKDAY(B567,2)&lt;6,MOD(B567+C567,1),0)
)
&amp; ":" &amp;
TEXT(HOUR(
  NETWORKDAYS(B567,V567)-1
  + IF(WEEKDAY(V567,2)&lt;6,MOD(V567+W567,1),0)
  - IF(WEEKDAY(B567,2)&lt;6,MOD(B567+C567,1),0)
),"00")
&amp; ":" &amp;
TEXT(MINUTE(
  NETWORKDAYS(B567,V567)-1
  + IF(WEEKDAY(V567,2)&lt;6,MOD(V567+W567,1),0)
  - IF(WEEKDAY(B567,2)&lt;6,MOD(B567+C567,1),0)
),"00")</f>
        <v>-1:00:00</v>
      </c>
      <c r="AQ567" s="0" t="n">
        <f aca="false">IFERROR(
LEFT(AP567,FIND(":",AP567)-1)
+ MID(AP567,FIND(":",AP567)+1,2)/24
+ RIGHT(AP567,2)/1440,
"")</f>
        <v>-1</v>
      </c>
      <c r="AR567" s="0" t="n">
        <f aca="false">WEEKNUM(B567,1)</f>
        <v>52</v>
      </c>
      <c r="AS567" s="17" t="str">
        <f aca="false">IF(B567&gt;0, (B567+C567)-TIME(13,30,0), "")</f>
        <v/>
      </c>
      <c r="AT567" s="18" t="str">
        <f aca="false">IF(B567&gt;0, (B567+C567)-TIME(13,30,0), "")</f>
        <v/>
      </c>
      <c r="AU567" s="17" t="str">
        <f aca="false">IF(V567&gt;0, (V567+W567)-TIME(13,30,0), "")</f>
        <v/>
      </c>
      <c r="AV567" s="18" t="str">
        <f aca="false">IF(V567&gt;0, (V567+W567)-TIME(13,30,0), "")</f>
        <v/>
      </c>
    </row>
    <row r="568" customFormat="false" ht="15" hidden="false" customHeight="false" outlineLevel="0" collapsed="false">
      <c r="AB568" s="2" t="e">
        <f aca="false">U568-#REF!</f>
        <v>#REF!</v>
      </c>
      <c r="AC568" s="14" t="n">
        <f aca="false">(V568+W568)-(B568+C568)</f>
        <v>0</v>
      </c>
      <c r="AD568" s="4" t="str">
        <f aca="false">INT((V568+W568)-(B568+C568)) &amp; ":" &amp;
TEXT(HOUR((V568+W568)-(B568+C568)), "00") &amp; ":" &amp;
TEXT(MINUTE((V568+W568)-(B568+C568)), "00")</f>
        <v>0:00:00</v>
      </c>
      <c r="AE568" s="1" t="n">
        <f aca="false">IFERROR(
LEFT(AD568,FIND(":",AD568)-1)
+ MID(AD568,FIND(":",AD568)+1,2)/24
+ RIGHT(AD568,2)/1440,
"")</f>
        <v>0</v>
      </c>
      <c r="AF568" s="4" t="str">
        <f aca="false">INT((X568+Y568)-(B568+C568)) &amp; ":" &amp;
TEXT(HOUR((X568+Y568)-(B568+C568)), "00") &amp; ":" &amp;
TEXT(MINUTE((X568+Y568)-(B568+C568)), "00")</f>
        <v>0:00:00</v>
      </c>
      <c r="AG568" s="4" t="e">
        <f aca="false" t="array" ref="AG568:AG568">INT(_xlfn.XLOOKUP(J568,{"Low","Medium","High","Urgent"},{48,24,12,8})/24) &amp; ":" &amp;
TEXT(MOD(_xlfn.XLOOKUP(J568,{"Low","Medium","High","Urgent"},{48,24,12,8}),24)/24,"hh:mm")</f>
        <v>#N/A</v>
      </c>
      <c r="AH568" s="4" t="e">
        <f aca="false">IF(AD568&gt;AG568,"Not Met","Met")</f>
        <v>#N/A</v>
      </c>
      <c r="AI568" s="4" t="e">
        <f aca="false">IF(AB568&lt;TIME(0,30,0),"Met","Not Met")</f>
        <v>#REF!</v>
      </c>
      <c r="AN568" s="1" t="str">
        <f aca="false">TEXT(B568,"dd")</f>
        <v>30</v>
      </c>
      <c r="AO568" s="1" t="str">
        <f aca="false">TEXT(X568,"dd")</f>
        <v>30</v>
      </c>
      <c r="AP568" s="16" t="str">
        <f aca="false">INT(
  NETWORKDAYS(B568,V568)-1
  + IF(WEEKDAY(V568,2)&lt;6,MOD(V568+W568,1),0)
  - IF(WEEKDAY(B568,2)&lt;6,MOD(B568+C568,1),0)
)
&amp; ":" &amp;
TEXT(HOUR(
  NETWORKDAYS(B568,V568)-1
  + IF(WEEKDAY(V568,2)&lt;6,MOD(V568+W568,1),0)
  - IF(WEEKDAY(B568,2)&lt;6,MOD(B568+C568,1),0)
),"00")
&amp; ":" &amp;
TEXT(MINUTE(
  NETWORKDAYS(B568,V568)-1
  + IF(WEEKDAY(V568,2)&lt;6,MOD(V568+W568,1),0)
  - IF(WEEKDAY(B568,2)&lt;6,MOD(B568+C568,1),0)
),"00")</f>
        <v>-1:00:00</v>
      </c>
      <c r="AQ568" s="0" t="n">
        <f aca="false">IFERROR(
LEFT(AP568,FIND(":",AP568)-1)
+ MID(AP568,FIND(":",AP568)+1,2)/24
+ RIGHT(AP568,2)/1440,
"")</f>
        <v>-1</v>
      </c>
      <c r="AR568" s="0" t="n">
        <f aca="false">WEEKNUM(B568,1)</f>
        <v>52</v>
      </c>
      <c r="AS568" s="17" t="str">
        <f aca="false">IF(B568&gt;0, (B568+C568)-TIME(13,30,0), "")</f>
        <v/>
      </c>
      <c r="AT568" s="18" t="str">
        <f aca="false">IF(B568&gt;0, (B568+C568)-TIME(13,30,0), "")</f>
        <v/>
      </c>
      <c r="AU568" s="17" t="str">
        <f aca="false">IF(V568&gt;0, (V568+W568)-TIME(13,30,0), "")</f>
        <v/>
      </c>
      <c r="AV568" s="18" t="str">
        <f aca="false">IF(V568&gt;0, (V568+W568)-TIME(13,30,0), "")</f>
        <v/>
      </c>
    </row>
    <row r="569" customFormat="false" ht="15" hidden="false" customHeight="false" outlineLevel="0" collapsed="false">
      <c r="AB569" s="2" t="e">
        <f aca="false">U569-#REF!</f>
        <v>#REF!</v>
      </c>
      <c r="AC569" s="14" t="n">
        <f aca="false">(V569+W569)-(B569+C569)</f>
        <v>0</v>
      </c>
      <c r="AD569" s="4" t="str">
        <f aca="false">INT((V569+W569)-(B569+C569)) &amp; ":" &amp;
TEXT(HOUR((V569+W569)-(B569+C569)), "00") &amp; ":" &amp;
TEXT(MINUTE((V569+W569)-(B569+C569)), "00")</f>
        <v>0:00:00</v>
      </c>
      <c r="AE569" s="1" t="n">
        <f aca="false">IFERROR(
LEFT(AD569,FIND(":",AD569)-1)
+ MID(AD569,FIND(":",AD569)+1,2)/24
+ RIGHT(AD569,2)/1440,
"")</f>
        <v>0</v>
      </c>
      <c r="AF569" s="4" t="str">
        <f aca="false">INT((X569+Y569)-(B569+C569)) &amp; ":" &amp;
TEXT(HOUR((X569+Y569)-(B569+C569)), "00") &amp; ":" &amp;
TEXT(MINUTE((X569+Y569)-(B569+C569)), "00")</f>
        <v>0:00:00</v>
      </c>
      <c r="AG569" s="4" t="e">
        <f aca="false" t="array" ref="AG569:AG569">INT(_xlfn.XLOOKUP(J569,{"Low","Medium","High","Urgent"},{48,24,12,8})/24) &amp; ":" &amp;
TEXT(MOD(_xlfn.XLOOKUP(J569,{"Low","Medium","High","Urgent"},{48,24,12,8}),24)/24,"hh:mm")</f>
        <v>#N/A</v>
      </c>
      <c r="AH569" s="4" t="e">
        <f aca="false">IF(AD569&gt;AG569,"Not Met","Met")</f>
        <v>#N/A</v>
      </c>
      <c r="AI569" s="4" t="e">
        <f aca="false">IF(AB569&lt;TIME(0,30,0),"Met","Not Met")</f>
        <v>#REF!</v>
      </c>
      <c r="AN569" s="1" t="str">
        <f aca="false">TEXT(B569,"dd")</f>
        <v>30</v>
      </c>
      <c r="AO569" s="1" t="str">
        <f aca="false">TEXT(X569,"dd")</f>
        <v>30</v>
      </c>
      <c r="AP569" s="16" t="str">
        <f aca="false">INT(
  NETWORKDAYS(B569,V569)-1
  + IF(WEEKDAY(V569,2)&lt;6,MOD(V569+W569,1),0)
  - IF(WEEKDAY(B569,2)&lt;6,MOD(B569+C569,1),0)
)
&amp; ":" &amp;
TEXT(HOUR(
  NETWORKDAYS(B569,V569)-1
  + IF(WEEKDAY(V569,2)&lt;6,MOD(V569+W569,1),0)
  - IF(WEEKDAY(B569,2)&lt;6,MOD(B569+C569,1),0)
),"00")
&amp; ":" &amp;
TEXT(MINUTE(
  NETWORKDAYS(B569,V569)-1
  + IF(WEEKDAY(V569,2)&lt;6,MOD(V569+W569,1),0)
  - IF(WEEKDAY(B569,2)&lt;6,MOD(B569+C569,1),0)
),"00")</f>
        <v>-1:00:00</v>
      </c>
      <c r="AQ569" s="0" t="n">
        <f aca="false">IFERROR(
LEFT(AP569,FIND(":",AP569)-1)
+ MID(AP569,FIND(":",AP569)+1,2)/24
+ RIGHT(AP569,2)/1440,
"")</f>
        <v>-1</v>
      </c>
      <c r="AR569" s="0" t="n">
        <f aca="false">WEEKNUM(B569,1)</f>
        <v>52</v>
      </c>
      <c r="AS569" s="17" t="str">
        <f aca="false">IF(B569&gt;0, (B569+C569)-TIME(13,30,0), "")</f>
        <v/>
      </c>
      <c r="AT569" s="18" t="str">
        <f aca="false">IF(B569&gt;0, (B569+C569)-TIME(13,30,0), "")</f>
        <v/>
      </c>
      <c r="AU569" s="17" t="str">
        <f aca="false">IF(V569&gt;0, (V569+W569)-TIME(13,30,0), "")</f>
        <v/>
      </c>
      <c r="AV569" s="18" t="str">
        <f aca="false">IF(V569&gt;0, (V569+W569)-TIME(13,30,0), "")</f>
        <v/>
      </c>
    </row>
    <row r="570" customFormat="false" ht="15" hidden="false" customHeight="false" outlineLevel="0" collapsed="false">
      <c r="AB570" s="2" t="e">
        <f aca="false">U570-#REF!</f>
        <v>#REF!</v>
      </c>
      <c r="AC570" s="14" t="n">
        <f aca="false">(V570+W570)-(B570+C570)</f>
        <v>0</v>
      </c>
      <c r="AD570" s="4" t="str">
        <f aca="false">INT((V570+W570)-(B570+C570)) &amp; ":" &amp;
TEXT(HOUR((V570+W570)-(B570+C570)), "00") &amp; ":" &amp;
TEXT(MINUTE((V570+W570)-(B570+C570)), "00")</f>
        <v>0:00:00</v>
      </c>
      <c r="AE570" s="1" t="n">
        <f aca="false">IFERROR(
LEFT(AD570,FIND(":",AD570)-1)
+ MID(AD570,FIND(":",AD570)+1,2)/24
+ RIGHT(AD570,2)/1440,
"")</f>
        <v>0</v>
      </c>
      <c r="AF570" s="4" t="str">
        <f aca="false">INT((X570+Y570)-(B570+C570)) &amp; ":" &amp;
TEXT(HOUR((X570+Y570)-(B570+C570)), "00") &amp; ":" &amp;
TEXT(MINUTE((X570+Y570)-(B570+C570)), "00")</f>
        <v>0:00:00</v>
      </c>
      <c r="AG570" s="4" t="e">
        <f aca="false" t="array" ref="AG570:AG570">INT(_xlfn.XLOOKUP(J570,{"Low","Medium","High","Urgent"},{48,24,12,8})/24) &amp; ":" &amp;
TEXT(MOD(_xlfn.XLOOKUP(J570,{"Low","Medium","High","Urgent"},{48,24,12,8}),24)/24,"hh:mm")</f>
        <v>#N/A</v>
      </c>
      <c r="AH570" s="4" t="e">
        <f aca="false">IF(AD570&gt;AG570,"Not Met","Met")</f>
        <v>#N/A</v>
      </c>
      <c r="AI570" s="4" t="e">
        <f aca="false">IF(AB570&lt;TIME(0,30,0),"Met","Not Met")</f>
        <v>#REF!</v>
      </c>
      <c r="AN570" s="1" t="str">
        <f aca="false">TEXT(B570,"dd")</f>
        <v>30</v>
      </c>
      <c r="AO570" s="1" t="str">
        <f aca="false">TEXT(X570,"dd")</f>
        <v>30</v>
      </c>
      <c r="AP570" s="16" t="str">
        <f aca="false">INT(
  NETWORKDAYS(B570,V570)-1
  + IF(WEEKDAY(V570,2)&lt;6,MOD(V570+W570,1),0)
  - IF(WEEKDAY(B570,2)&lt;6,MOD(B570+C570,1),0)
)
&amp; ":" &amp;
TEXT(HOUR(
  NETWORKDAYS(B570,V570)-1
  + IF(WEEKDAY(V570,2)&lt;6,MOD(V570+W570,1),0)
  - IF(WEEKDAY(B570,2)&lt;6,MOD(B570+C570,1),0)
),"00")
&amp; ":" &amp;
TEXT(MINUTE(
  NETWORKDAYS(B570,V570)-1
  + IF(WEEKDAY(V570,2)&lt;6,MOD(V570+W570,1),0)
  - IF(WEEKDAY(B570,2)&lt;6,MOD(B570+C570,1),0)
),"00")</f>
        <v>-1:00:00</v>
      </c>
      <c r="AQ570" s="0" t="n">
        <f aca="false">IFERROR(
LEFT(AP570,FIND(":",AP570)-1)
+ MID(AP570,FIND(":",AP570)+1,2)/24
+ RIGHT(AP570,2)/1440,
"")</f>
        <v>-1</v>
      </c>
      <c r="AR570" s="0" t="n">
        <f aca="false">WEEKNUM(B570,1)</f>
        <v>52</v>
      </c>
      <c r="AS570" s="17" t="str">
        <f aca="false">IF(B570&gt;0, (B570+C570)-TIME(13,30,0), "")</f>
        <v/>
      </c>
      <c r="AT570" s="18" t="str">
        <f aca="false">IF(B570&gt;0, (B570+C570)-TIME(13,30,0), "")</f>
        <v/>
      </c>
      <c r="AU570" s="17" t="str">
        <f aca="false">IF(V570&gt;0, (V570+W570)-TIME(13,30,0), "")</f>
        <v/>
      </c>
      <c r="AV570" s="18" t="str">
        <f aca="false">IF(V570&gt;0, (V570+W570)-TIME(13,30,0), "")</f>
        <v/>
      </c>
    </row>
    <row r="571" customFormat="false" ht="15" hidden="false" customHeight="false" outlineLevel="0" collapsed="false">
      <c r="AB571" s="2" t="e">
        <f aca="false">U571-#REF!</f>
        <v>#REF!</v>
      </c>
      <c r="AC571" s="14" t="n">
        <f aca="false">(V571+W571)-(B571+C571)</f>
        <v>0</v>
      </c>
      <c r="AD571" s="4" t="str">
        <f aca="false">INT((V571+W571)-(B571+C571)) &amp; ":" &amp;
TEXT(HOUR((V571+W571)-(B571+C571)), "00") &amp; ":" &amp;
TEXT(MINUTE((V571+W571)-(B571+C571)), "00")</f>
        <v>0:00:00</v>
      </c>
      <c r="AE571" s="1" t="n">
        <f aca="false">IFERROR(
LEFT(AD571,FIND(":",AD571)-1)
+ MID(AD571,FIND(":",AD571)+1,2)/24
+ RIGHT(AD571,2)/1440,
"")</f>
        <v>0</v>
      </c>
      <c r="AF571" s="4" t="str">
        <f aca="false">INT((X571+Y571)-(B571+C571)) &amp; ":" &amp;
TEXT(HOUR((X571+Y571)-(B571+C571)), "00") &amp; ":" &amp;
TEXT(MINUTE((X571+Y571)-(B571+C571)), "00")</f>
        <v>0:00:00</v>
      </c>
      <c r="AG571" s="4" t="e">
        <f aca="false" t="array" ref="AG571:AG571">INT(_xlfn.XLOOKUP(J571,{"Low","Medium","High","Urgent"},{48,24,12,8})/24) &amp; ":" &amp;
TEXT(MOD(_xlfn.XLOOKUP(J571,{"Low","Medium","High","Urgent"},{48,24,12,8}),24)/24,"hh:mm")</f>
        <v>#N/A</v>
      </c>
      <c r="AH571" s="4" t="e">
        <f aca="false">IF(AD571&gt;AG571,"Not Met","Met")</f>
        <v>#N/A</v>
      </c>
      <c r="AI571" s="4" t="e">
        <f aca="false">IF(AB571&lt;TIME(0,30,0),"Met","Not Met")</f>
        <v>#REF!</v>
      </c>
      <c r="AN571" s="1" t="str">
        <f aca="false">TEXT(B571,"dd")</f>
        <v>30</v>
      </c>
      <c r="AO571" s="1" t="str">
        <f aca="false">TEXT(X571,"dd")</f>
        <v>30</v>
      </c>
      <c r="AP571" s="16" t="str">
        <f aca="false">INT(
  NETWORKDAYS(B571,V571)-1
  + IF(WEEKDAY(V571,2)&lt;6,MOD(V571+W571,1),0)
  - IF(WEEKDAY(B571,2)&lt;6,MOD(B571+C571,1),0)
)
&amp; ":" &amp;
TEXT(HOUR(
  NETWORKDAYS(B571,V571)-1
  + IF(WEEKDAY(V571,2)&lt;6,MOD(V571+W571,1),0)
  - IF(WEEKDAY(B571,2)&lt;6,MOD(B571+C571,1),0)
),"00")
&amp; ":" &amp;
TEXT(MINUTE(
  NETWORKDAYS(B571,V571)-1
  + IF(WEEKDAY(V571,2)&lt;6,MOD(V571+W571,1),0)
  - IF(WEEKDAY(B571,2)&lt;6,MOD(B571+C571,1),0)
),"00")</f>
        <v>-1:00:00</v>
      </c>
      <c r="AQ571" s="0" t="n">
        <f aca="false">IFERROR(
LEFT(AP571,FIND(":",AP571)-1)
+ MID(AP571,FIND(":",AP571)+1,2)/24
+ RIGHT(AP571,2)/1440,
"")</f>
        <v>-1</v>
      </c>
      <c r="AR571" s="0" t="n">
        <f aca="false">WEEKNUM(B571,1)</f>
        <v>52</v>
      </c>
      <c r="AS571" s="17" t="str">
        <f aca="false">IF(B571&gt;0, (B571+C571)-TIME(13,30,0), "")</f>
        <v/>
      </c>
      <c r="AT571" s="18" t="str">
        <f aca="false">IF(B571&gt;0, (B571+C571)-TIME(13,30,0), "")</f>
        <v/>
      </c>
      <c r="AU571" s="17" t="str">
        <f aca="false">IF(V571&gt;0, (V571+W571)-TIME(13,30,0), "")</f>
        <v/>
      </c>
      <c r="AV571" s="18" t="str">
        <f aca="false">IF(V571&gt;0, (V571+W571)-TIME(13,30,0), "")</f>
        <v/>
      </c>
    </row>
    <row r="572" customFormat="false" ht="15" hidden="false" customHeight="false" outlineLevel="0" collapsed="false">
      <c r="AB572" s="2" t="e">
        <f aca="false">U572-#REF!</f>
        <v>#REF!</v>
      </c>
      <c r="AC572" s="14" t="n">
        <f aca="false">(V572+W572)-(B572+C572)</f>
        <v>0</v>
      </c>
      <c r="AD572" s="4" t="str">
        <f aca="false">INT((V572+W572)-(B572+C572)) &amp; ":" &amp;
TEXT(HOUR((V572+W572)-(B572+C572)), "00") &amp; ":" &amp;
TEXT(MINUTE((V572+W572)-(B572+C572)), "00")</f>
        <v>0:00:00</v>
      </c>
      <c r="AE572" s="1" t="n">
        <f aca="false">IFERROR(
LEFT(AD572,FIND(":",AD572)-1)
+ MID(AD572,FIND(":",AD572)+1,2)/24
+ RIGHT(AD572,2)/1440,
"")</f>
        <v>0</v>
      </c>
      <c r="AF572" s="4" t="str">
        <f aca="false">INT((X572+Y572)-(B572+C572)) &amp; ":" &amp;
TEXT(HOUR((X572+Y572)-(B572+C572)), "00") &amp; ":" &amp;
TEXT(MINUTE((X572+Y572)-(B572+C572)), "00")</f>
        <v>0:00:00</v>
      </c>
      <c r="AG572" s="4" t="e">
        <f aca="false" t="array" ref="AG572:AG572">INT(_xlfn.XLOOKUP(J572,{"Low","Medium","High","Urgent"},{48,24,12,8})/24) &amp; ":" &amp;
TEXT(MOD(_xlfn.XLOOKUP(J572,{"Low","Medium","High","Urgent"},{48,24,12,8}),24)/24,"hh:mm")</f>
        <v>#N/A</v>
      </c>
      <c r="AH572" s="4" t="e">
        <f aca="false">IF(AD572&gt;AG572,"Not Met","Met")</f>
        <v>#N/A</v>
      </c>
      <c r="AI572" s="4" t="e">
        <f aca="false">IF(AB572&lt;TIME(0,30,0),"Met","Not Met")</f>
        <v>#REF!</v>
      </c>
      <c r="AN572" s="1" t="str">
        <f aca="false">TEXT(B572,"dd")</f>
        <v>30</v>
      </c>
      <c r="AO572" s="1" t="str">
        <f aca="false">TEXT(X572,"dd")</f>
        <v>30</v>
      </c>
      <c r="AP572" s="16" t="str">
        <f aca="false">INT(
  NETWORKDAYS(B572,V572)-1
  + IF(WEEKDAY(V572,2)&lt;6,MOD(V572+W572,1),0)
  - IF(WEEKDAY(B572,2)&lt;6,MOD(B572+C572,1),0)
)
&amp; ":" &amp;
TEXT(HOUR(
  NETWORKDAYS(B572,V572)-1
  + IF(WEEKDAY(V572,2)&lt;6,MOD(V572+W572,1),0)
  - IF(WEEKDAY(B572,2)&lt;6,MOD(B572+C572,1),0)
),"00")
&amp; ":" &amp;
TEXT(MINUTE(
  NETWORKDAYS(B572,V572)-1
  + IF(WEEKDAY(V572,2)&lt;6,MOD(V572+W572,1),0)
  - IF(WEEKDAY(B572,2)&lt;6,MOD(B572+C572,1),0)
),"00")</f>
        <v>-1:00:00</v>
      </c>
      <c r="AQ572" s="0" t="n">
        <f aca="false">IFERROR(
LEFT(AP572,FIND(":",AP572)-1)
+ MID(AP572,FIND(":",AP572)+1,2)/24
+ RIGHT(AP572,2)/1440,
"")</f>
        <v>-1</v>
      </c>
      <c r="AR572" s="0" t="n">
        <f aca="false">WEEKNUM(B572,1)</f>
        <v>52</v>
      </c>
      <c r="AS572" s="17" t="str">
        <f aca="false">IF(B572&gt;0, (B572+C572)-TIME(13,30,0), "")</f>
        <v/>
      </c>
      <c r="AT572" s="18" t="str">
        <f aca="false">IF(B572&gt;0, (B572+C572)-TIME(13,30,0), "")</f>
        <v/>
      </c>
      <c r="AU572" s="17" t="str">
        <f aca="false">IF(V572&gt;0, (V572+W572)-TIME(13,30,0), "")</f>
        <v/>
      </c>
      <c r="AV572" s="18" t="str">
        <f aca="false">IF(V572&gt;0, (V572+W572)-TIME(13,30,0), "")</f>
        <v/>
      </c>
    </row>
    <row r="573" customFormat="false" ht="15" hidden="false" customHeight="false" outlineLevel="0" collapsed="false">
      <c r="AB573" s="2" t="e">
        <f aca="false">U573-#REF!</f>
        <v>#REF!</v>
      </c>
      <c r="AC573" s="14" t="n">
        <f aca="false">(V573+W573)-(B573+C573)</f>
        <v>0</v>
      </c>
      <c r="AD573" s="4" t="str">
        <f aca="false">INT((V573+W573)-(B573+C573)) &amp; ":" &amp;
TEXT(HOUR((V573+W573)-(B573+C573)), "00") &amp; ":" &amp;
TEXT(MINUTE((V573+W573)-(B573+C573)), "00")</f>
        <v>0:00:00</v>
      </c>
      <c r="AE573" s="1" t="n">
        <f aca="false">IFERROR(
LEFT(AD573,FIND(":",AD573)-1)
+ MID(AD573,FIND(":",AD573)+1,2)/24
+ RIGHT(AD573,2)/1440,
"")</f>
        <v>0</v>
      </c>
      <c r="AF573" s="4" t="str">
        <f aca="false">INT((X573+Y573)-(B573+C573)) &amp; ":" &amp;
TEXT(HOUR((X573+Y573)-(B573+C573)), "00") &amp; ":" &amp;
TEXT(MINUTE((X573+Y573)-(B573+C573)), "00")</f>
        <v>0:00:00</v>
      </c>
      <c r="AG573" s="4" t="e">
        <f aca="false" t="array" ref="AG573:AG573">INT(_xlfn.XLOOKUP(J573,{"Low","Medium","High","Urgent"},{48,24,12,8})/24) &amp; ":" &amp;
TEXT(MOD(_xlfn.XLOOKUP(J573,{"Low","Medium","High","Urgent"},{48,24,12,8}),24)/24,"hh:mm")</f>
        <v>#N/A</v>
      </c>
      <c r="AH573" s="4" t="e">
        <f aca="false">IF(AD573&gt;AG573,"Not Met","Met")</f>
        <v>#N/A</v>
      </c>
      <c r="AI573" s="4" t="e">
        <f aca="false">IF(AB573&lt;TIME(0,30,0),"Met","Not Met")</f>
        <v>#REF!</v>
      </c>
      <c r="AN573" s="1" t="str">
        <f aca="false">TEXT(B573,"dd")</f>
        <v>30</v>
      </c>
      <c r="AO573" s="1" t="str">
        <f aca="false">TEXT(X573,"dd")</f>
        <v>30</v>
      </c>
      <c r="AP573" s="16" t="str">
        <f aca="false">INT(
  NETWORKDAYS(B573,V573)-1
  + IF(WEEKDAY(V573,2)&lt;6,MOD(V573+W573,1),0)
  - IF(WEEKDAY(B573,2)&lt;6,MOD(B573+C573,1),0)
)
&amp; ":" &amp;
TEXT(HOUR(
  NETWORKDAYS(B573,V573)-1
  + IF(WEEKDAY(V573,2)&lt;6,MOD(V573+W573,1),0)
  - IF(WEEKDAY(B573,2)&lt;6,MOD(B573+C573,1),0)
),"00")
&amp; ":" &amp;
TEXT(MINUTE(
  NETWORKDAYS(B573,V573)-1
  + IF(WEEKDAY(V573,2)&lt;6,MOD(V573+W573,1),0)
  - IF(WEEKDAY(B573,2)&lt;6,MOD(B573+C573,1),0)
),"00")</f>
        <v>-1:00:00</v>
      </c>
      <c r="AQ573" s="0" t="n">
        <f aca="false">IFERROR(
LEFT(AP573,FIND(":",AP573)-1)
+ MID(AP573,FIND(":",AP573)+1,2)/24
+ RIGHT(AP573,2)/1440,
"")</f>
        <v>-1</v>
      </c>
      <c r="AR573" s="0" t="n">
        <f aca="false">WEEKNUM(B573,1)</f>
        <v>52</v>
      </c>
      <c r="AS573" s="17" t="str">
        <f aca="false">IF(B573&gt;0, (B573+C573)-TIME(13,30,0), "")</f>
        <v/>
      </c>
      <c r="AT573" s="18" t="str">
        <f aca="false">IF(B573&gt;0, (B573+C573)-TIME(13,30,0), "")</f>
        <v/>
      </c>
      <c r="AU573" s="17" t="str">
        <f aca="false">IF(V573&gt;0, (V573+W573)-TIME(13,30,0), "")</f>
        <v/>
      </c>
      <c r="AV573" s="18" t="str">
        <f aca="false">IF(V573&gt;0, (V573+W573)-TIME(13,30,0), "")</f>
        <v/>
      </c>
    </row>
    <row r="574" customFormat="false" ht="15" hidden="false" customHeight="false" outlineLevel="0" collapsed="false">
      <c r="AB574" s="2" t="e">
        <f aca="false">U574-#REF!</f>
        <v>#REF!</v>
      </c>
      <c r="AC574" s="14" t="n">
        <f aca="false">(V574+W574)-(B574+C574)</f>
        <v>0</v>
      </c>
      <c r="AD574" s="4" t="str">
        <f aca="false">INT((V574+W574)-(B574+C574)) &amp; ":" &amp;
TEXT(HOUR((V574+W574)-(B574+C574)), "00") &amp; ":" &amp;
TEXT(MINUTE((V574+W574)-(B574+C574)), "00")</f>
        <v>0:00:00</v>
      </c>
      <c r="AE574" s="1" t="n">
        <f aca="false">IFERROR(
LEFT(AD574,FIND(":",AD574)-1)
+ MID(AD574,FIND(":",AD574)+1,2)/24
+ RIGHT(AD574,2)/1440,
"")</f>
        <v>0</v>
      </c>
      <c r="AF574" s="4" t="str">
        <f aca="false">INT((X574+Y574)-(B574+C574)) &amp; ":" &amp;
TEXT(HOUR((X574+Y574)-(B574+C574)), "00") &amp; ":" &amp;
TEXT(MINUTE((X574+Y574)-(B574+C574)), "00")</f>
        <v>0:00:00</v>
      </c>
      <c r="AG574" s="4" t="e">
        <f aca="false" t="array" ref="AG574:AG574">INT(_xlfn.XLOOKUP(J574,{"Low","Medium","High","Urgent"},{48,24,12,8})/24) &amp; ":" &amp;
TEXT(MOD(_xlfn.XLOOKUP(J574,{"Low","Medium","High","Urgent"},{48,24,12,8}),24)/24,"hh:mm")</f>
        <v>#N/A</v>
      </c>
      <c r="AH574" s="4" t="e">
        <f aca="false">IF(AD574&gt;AG574,"Not Met","Met")</f>
        <v>#N/A</v>
      </c>
      <c r="AI574" s="4" t="e">
        <f aca="false">IF(AB574&lt;TIME(0,30,0),"Met","Not Met")</f>
        <v>#REF!</v>
      </c>
      <c r="AN574" s="1" t="str">
        <f aca="false">TEXT(B574,"dd")</f>
        <v>30</v>
      </c>
      <c r="AO574" s="1" t="str">
        <f aca="false">TEXT(X574,"dd")</f>
        <v>30</v>
      </c>
      <c r="AP574" s="16" t="str">
        <f aca="false">INT(
  NETWORKDAYS(B574,V574)-1
  + IF(WEEKDAY(V574,2)&lt;6,MOD(V574+W574,1),0)
  - IF(WEEKDAY(B574,2)&lt;6,MOD(B574+C574,1),0)
)
&amp; ":" &amp;
TEXT(HOUR(
  NETWORKDAYS(B574,V574)-1
  + IF(WEEKDAY(V574,2)&lt;6,MOD(V574+W574,1),0)
  - IF(WEEKDAY(B574,2)&lt;6,MOD(B574+C574,1),0)
),"00")
&amp; ":" &amp;
TEXT(MINUTE(
  NETWORKDAYS(B574,V574)-1
  + IF(WEEKDAY(V574,2)&lt;6,MOD(V574+W574,1),0)
  - IF(WEEKDAY(B574,2)&lt;6,MOD(B574+C574,1),0)
),"00")</f>
        <v>-1:00:00</v>
      </c>
      <c r="AQ574" s="0" t="n">
        <f aca="false">IFERROR(
LEFT(AP574,FIND(":",AP574)-1)
+ MID(AP574,FIND(":",AP574)+1,2)/24
+ RIGHT(AP574,2)/1440,
"")</f>
        <v>-1</v>
      </c>
      <c r="AR574" s="0" t="n">
        <f aca="false">WEEKNUM(B574,1)</f>
        <v>52</v>
      </c>
      <c r="AS574" s="17" t="str">
        <f aca="false">IF(B574&gt;0, (B574+C574)-TIME(13,30,0), "")</f>
        <v/>
      </c>
      <c r="AT574" s="18" t="str">
        <f aca="false">IF(B574&gt;0, (B574+C574)-TIME(13,30,0), "")</f>
        <v/>
      </c>
      <c r="AU574" s="17" t="str">
        <f aca="false">IF(V574&gt;0, (V574+W574)-TIME(13,30,0), "")</f>
        <v/>
      </c>
      <c r="AV574" s="18" t="str">
        <f aca="false">IF(V574&gt;0, (V574+W574)-TIME(13,30,0), "")</f>
        <v/>
      </c>
    </row>
    <row r="575" customFormat="false" ht="15" hidden="false" customHeight="false" outlineLevel="0" collapsed="false">
      <c r="AB575" s="2" t="e">
        <f aca="false">U575-#REF!</f>
        <v>#REF!</v>
      </c>
      <c r="AC575" s="14" t="n">
        <f aca="false">(V575+W575)-(B575+C575)</f>
        <v>0</v>
      </c>
      <c r="AD575" s="4" t="str">
        <f aca="false">INT((V575+W575)-(B575+C575)) &amp; ":" &amp;
TEXT(HOUR((V575+W575)-(B575+C575)), "00") &amp; ":" &amp;
TEXT(MINUTE((V575+W575)-(B575+C575)), "00")</f>
        <v>0:00:00</v>
      </c>
      <c r="AE575" s="1" t="n">
        <f aca="false">IFERROR(
LEFT(AD575,FIND(":",AD575)-1)
+ MID(AD575,FIND(":",AD575)+1,2)/24
+ RIGHT(AD575,2)/1440,
"")</f>
        <v>0</v>
      </c>
      <c r="AF575" s="4" t="str">
        <f aca="false">INT((X575+Y575)-(B575+C575)) &amp; ":" &amp;
TEXT(HOUR((X575+Y575)-(B575+C575)), "00") &amp; ":" &amp;
TEXT(MINUTE((X575+Y575)-(B575+C575)), "00")</f>
        <v>0:00:00</v>
      </c>
      <c r="AG575" s="4" t="e">
        <f aca="false" t="array" ref="AG575:AG575">INT(_xlfn.XLOOKUP(J575,{"Low","Medium","High","Urgent"},{48,24,12,8})/24) &amp; ":" &amp;
TEXT(MOD(_xlfn.XLOOKUP(J575,{"Low","Medium","High","Urgent"},{48,24,12,8}),24)/24,"hh:mm")</f>
        <v>#N/A</v>
      </c>
      <c r="AH575" s="4" t="e">
        <f aca="false">IF(AD575&gt;AG575,"Not Met","Met")</f>
        <v>#N/A</v>
      </c>
      <c r="AI575" s="4" t="e">
        <f aca="false">IF(AB575&lt;TIME(0,30,0),"Met","Not Met")</f>
        <v>#REF!</v>
      </c>
      <c r="AN575" s="1" t="str">
        <f aca="false">TEXT(B575,"dd")</f>
        <v>30</v>
      </c>
      <c r="AO575" s="1" t="str">
        <f aca="false">TEXT(X575,"dd")</f>
        <v>30</v>
      </c>
      <c r="AP575" s="16" t="str">
        <f aca="false">INT(
  NETWORKDAYS(B575,V575)-1
  + IF(WEEKDAY(V575,2)&lt;6,MOD(V575+W575,1),0)
  - IF(WEEKDAY(B575,2)&lt;6,MOD(B575+C575,1),0)
)
&amp; ":" &amp;
TEXT(HOUR(
  NETWORKDAYS(B575,V575)-1
  + IF(WEEKDAY(V575,2)&lt;6,MOD(V575+W575,1),0)
  - IF(WEEKDAY(B575,2)&lt;6,MOD(B575+C575,1),0)
),"00")
&amp; ":" &amp;
TEXT(MINUTE(
  NETWORKDAYS(B575,V575)-1
  + IF(WEEKDAY(V575,2)&lt;6,MOD(V575+W575,1),0)
  - IF(WEEKDAY(B575,2)&lt;6,MOD(B575+C575,1),0)
),"00")</f>
        <v>-1:00:00</v>
      </c>
      <c r="AQ575" s="0" t="n">
        <f aca="false">IFERROR(
LEFT(AP575,FIND(":",AP575)-1)
+ MID(AP575,FIND(":",AP575)+1,2)/24
+ RIGHT(AP575,2)/1440,
"")</f>
        <v>-1</v>
      </c>
      <c r="AR575" s="0" t="n">
        <f aca="false">WEEKNUM(B575,1)</f>
        <v>52</v>
      </c>
      <c r="AS575" s="17" t="str">
        <f aca="false">IF(B575&gt;0, (B575+C575)-TIME(13,30,0), "")</f>
        <v/>
      </c>
      <c r="AT575" s="18" t="str">
        <f aca="false">IF(B575&gt;0, (B575+C575)-TIME(13,30,0), "")</f>
        <v/>
      </c>
      <c r="AU575" s="17" t="str">
        <f aca="false">IF(V575&gt;0, (V575+W575)-TIME(13,30,0), "")</f>
        <v/>
      </c>
      <c r="AV575" s="18" t="str">
        <f aca="false">IF(V575&gt;0, (V575+W575)-TIME(13,30,0), "")</f>
        <v/>
      </c>
    </row>
    <row r="576" customFormat="false" ht="15" hidden="false" customHeight="false" outlineLevel="0" collapsed="false">
      <c r="AB576" s="2" t="e">
        <f aca="false">U576-#REF!</f>
        <v>#REF!</v>
      </c>
      <c r="AC576" s="14" t="n">
        <f aca="false">(V576+W576)-(B576+C576)</f>
        <v>0</v>
      </c>
      <c r="AD576" s="4" t="str">
        <f aca="false">INT((V576+W576)-(B576+C576)) &amp; ":" &amp;
TEXT(HOUR((V576+W576)-(B576+C576)), "00") &amp; ":" &amp;
TEXT(MINUTE((V576+W576)-(B576+C576)), "00")</f>
        <v>0:00:00</v>
      </c>
      <c r="AE576" s="1" t="n">
        <f aca="false">IFERROR(
LEFT(AD576,FIND(":",AD576)-1)
+ MID(AD576,FIND(":",AD576)+1,2)/24
+ RIGHT(AD576,2)/1440,
"")</f>
        <v>0</v>
      </c>
      <c r="AF576" s="4" t="str">
        <f aca="false">INT((X576+Y576)-(B576+C576)) &amp; ":" &amp;
TEXT(HOUR((X576+Y576)-(B576+C576)), "00") &amp; ":" &amp;
TEXT(MINUTE((X576+Y576)-(B576+C576)), "00")</f>
        <v>0:00:00</v>
      </c>
      <c r="AG576" s="4" t="e">
        <f aca="false" t="array" ref="AG576:AG576">INT(_xlfn.XLOOKUP(J576,{"Low","Medium","High","Urgent"},{48,24,12,8})/24) &amp; ":" &amp;
TEXT(MOD(_xlfn.XLOOKUP(J576,{"Low","Medium","High","Urgent"},{48,24,12,8}),24)/24,"hh:mm")</f>
        <v>#N/A</v>
      </c>
      <c r="AH576" s="4" t="e">
        <f aca="false">IF(AD576&gt;AG576,"Not Met","Met")</f>
        <v>#N/A</v>
      </c>
      <c r="AI576" s="4" t="e">
        <f aca="false">IF(AB576&lt;TIME(0,30,0),"Met","Not Met")</f>
        <v>#REF!</v>
      </c>
      <c r="AN576" s="1" t="str">
        <f aca="false">TEXT(B576,"dd")</f>
        <v>30</v>
      </c>
      <c r="AO576" s="1" t="str">
        <f aca="false">TEXT(X576,"dd")</f>
        <v>30</v>
      </c>
      <c r="AP576" s="16" t="str">
        <f aca="false">INT(
  NETWORKDAYS(B576,V576)-1
  + IF(WEEKDAY(V576,2)&lt;6,MOD(V576+W576,1),0)
  - IF(WEEKDAY(B576,2)&lt;6,MOD(B576+C576,1),0)
)
&amp; ":" &amp;
TEXT(HOUR(
  NETWORKDAYS(B576,V576)-1
  + IF(WEEKDAY(V576,2)&lt;6,MOD(V576+W576,1),0)
  - IF(WEEKDAY(B576,2)&lt;6,MOD(B576+C576,1),0)
),"00")
&amp; ":" &amp;
TEXT(MINUTE(
  NETWORKDAYS(B576,V576)-1
  + IF(WEEKDAY(V576,2)&lt;6,MOD(V576+W576,1),0)
  - IF(WEEKDAY(B576,2)&lt;6,MOD(B576+C576,1),0)
),"00")</f>
        <v>-1:00:00</v>
      </c>
      <c r="AQ576" s="0" t="n">
        <f aca="false">IFERROR(
LEFT(AP576,FIND(":",AP576)-1)
+ MID(AP576,FIND(":",AP576)+1,2)/24
+ RIGHT(AP576,2)/1440,
"")</f>
        <v>-1</v>
      </c>
      <c r="AR576" s="0" t="n">
        <f aca="false">WEEKNUM(B576,1)</f>
        <v>52</v>
      </c>
      <c r="AS576" s="17" t="str">
        <f aca="false">IF(B576&gt;0, (B576+C576)-TIME(13,30,0), "")</f>
        <v/>
      </c>
      <c r="AT576" s="18" t="str">
        <f aca="false">IF(B576&gt;0, (B576+C576)-TIME(13,30,0), "")</f>
        <v/>
      </c>
      <c r="AU576" s="17" t="str">
        <f aca="false">IF(V576&gt;0, (V576+W576)-TIME(13,30,0), "")</f>
        <v/>
      </c>
      <c r="AV576" s="18" t="str">
        <f aca="false">IF(V576&gt;0, (V576+W576)-TIME(13,30,0), "")</f>
        <v/>
      </c>
    </row>
    <row r="577" customFormat="false" ht="15" hidden="false" customHeight="false" outlineLevel="0" collapsed="false">
      <c r="AB577" s="2" t="e">
        <f aca="false">U577-#REF!</f>
        <v>#REF!</v>
      </c>
      <c r="AC577" s="14" t="n">
        <f aca="false">(V577+W577)-(B577+C577)</f>
        <v>0</v>
      </c>
      <c r="AD577" s="4" t="str">
        <f aca="false">INT((V577+W577)-(B577+C577)) &amp; ":" &amp;
TEXT(HOUR((V577+W577)-(B577+C577)), "00") &amp; ":" &amp;
TEXT(MINUTE((V577+W577)-(B577+C577)), "00")</f>
        <v>0:00:00</v>
      </c>
      <c r="AE577" s="1" t="n">
        <f aca="false">IFERROR(
LEFT(AD577,FIND(":",AD577)-1)
+ MID(AD577,FIND(":",AD577)+1,2)/24
+ RIGHT(AD577,2)/1440,
"")</f>
        <v>0</v>
      </c>
      <c r="AF577" s="4" t="str">
        <f aca="false">INT((X577+Y577)-(B577+C577)) &amp; ":" &amp;
TEXT(HOUR((X577+Y577)-(B577+C577)), "00") &amp; ":" &amp;
TEXT(MINUTE((X577+Y577)-(B577+C577)), "00")</f>
        <v>0:00:00</v>
      </c>
      <c r="AG577" s="4" t="e">
        <f aca="false" t="array" ref="AG577:AG577">INT(_xlfn.XLOOKUP(J577,{"Low","Medium","High","Urgent"},{48,24,12,8})/24) &amp; ":" &amp;
TEXT(MOD(_xlfn.XLOOKUP(J577,{"Low","Medium","High","Urgent"},{48,24,12,8}),24)/24,"hh:mm")</f>
        <v>#N/A</v>
      </c>
      <c r="AH577" s="4" t="e">
        <f aca="false">IF(AD577&gt;AG577,"Not Met","Met")</f>
        <v>#N/A</v>
      </c>
      <c r="AI577" s="4" t="e">
        <f aca="false">IF(AB577&lt;TIME(0,30,0),"Met","Not Met")</f>
        <v>#REF!</v>
      </c>
      <c r="AN577" s="1" t="str">
        <f aca="false">TEXT(B577,"dd")</f>
        <v>30</v>
      </c>
      <c r="AO577" s="1" t="str">
        <f aca="false">TEXT(X577,"dd")</f>
        <v>30</v>
      </c>
      <c r="AP577" s="16" t="str">
        <f aca="false">INT(
  NETWORKDAYS(B577,V577)-1
  + IF(WEEKDAY(V577,2)&lt;6,MOD(V577+W577,1),0)
  - IF(WEEKDAY(B577,2)&lt;6,MOD(B577+C577,1),0)
)
&amp; ":" &amp;
TEXT(HOUR(
  NETWORKDAYS(B577,V577)-1
  + IF(WEEKDAY(V577,2)&lt;6,MOD(V577+W577,1),0)
  - IF(WEEKDAY(B577,2)&lt;6,MOD(B577+C577,1),0)
),"00")
&amp; ":" &amp;
TEXT(MINUTE(
  NETWORKDAYS(B577,V577)-1
  + IF(WEEKDAY(V577,2)&lt;6,MOD(V577+W577,1),0)
  - IF(WEEKDAY(B577,2)&lt;6,MOD(B577+C577,1),0)
),"00")</f>
        <v>-1:00:00</v>
      </c>
      <c r="AQ577" s="0" t="n">
        <f aca="false">IFERROR(
LEFT(AP577,FIND(":",AP577)-1)
+ MID(AP577,FIND(":",AP577)+1,2)/24
+ RIGHT(AP577,2)/1440,
"")</f>
        <v>-1</v>
      </c>
      <c r="AR577" s="0" t="n">
        <f aca="false">WEEKNUM(B577,1)</f>
        <v>52</v>
      </c>
      <c r="AS577" s="17" t="str">
        <f aca="false">IF(B577&gt;0, (B577+C577)-TIME(13,30,0), "")</f>
        <v/>
      </c>
      <c r="AT577" s="18" t="str">
        <f aca="false">IF(B577&gt;0, (B577+C577)-TIME(13,30,0), "")</f>
        <v/>
      </c>
      <c r="AU577" s="17" t="str">
        <f aca="false">IF(V577&gt;0, (V577+W577)-TIME(13,30,0), "")</f>
        <v/>
      </c>
      <c r="AV577" s="18" t="str">
        <f aca="false">IF(V577&gt;0, (V577+W577)-TIME(13,30,0), "")</f>
        <v/>
      </c>
    </row>
    <row r="578" customFormat="false" ht="15" hidden="false" customHeight="false" outlineLevel="0" collapsed="false">
      <c r="AB578" s="2" t="e">
        <f aca="false">U578-#REF!</f>
        <v>#REF!</v>
      </c>
      <c r="AC578" s="14" t="n">
        <f aca="false">(V578+W578)-(B578+C578)</f>
        <v>0</v>
      </c>
      <c r="AD578" s="4" t="str">
        <f aca="false">INT((V578+W578)-(B578+C578)) &amp; ":" &amp;
TEXT(HOUR((V578+W578)-(B578+C578)), "00") &amp; ":" &amp;
TEXT(MINUTE((V578+W578)-(B578+C578)), "00")</f>
        <v>0:00:00</v>
      </c>
      <c r="AE578" s="1" t="n">
        <f aca="false">IFERROR(
LEFT(AD578,FIND(":",AD578)-1)
+ MID(AD578,FIND(":",AD578)+1,2)/24
+ RIGHT(AD578,2)/1440,
"")</f>
        <v>0</v>
      </c>
      <c r="AF578" s="4" t="str">
        <f aca="false">INT((X578+Y578)-(B578+C578)) &amp; ":" &amp;
TEXT(HOUR((X578+Y578)-(B578+C578)), "00") &amp; ":" &amp;
TEXT(MINUTE((X578+Y578)-(B578+C578)), "00")</f>
        <v>0:00:00</v>
      </c>
      <c r="AG578" s="4" t="e">
        <f aca="false" t="array" ref="AG578:AG578">INT(_xlfn.XLOOKUP(J578,{"Low","Medium","High","Urgent"},{48,24,12,8})/24) &amp; ":" &amp;
TEXT(MOD(_xlfn.XLOOKUP(J578,{"Low","Medium","High","Urgent"},{48,24,12,8}),24)/24,"hh:mm")</f>
        <v>#N/A</v>
      </c>
      <c r="AH578" s="4" t="e">
        <f aca="false">IF(AD578&gt;AG578,"Not Met","Met")</f>
        <v>#N/A</v>
      </c>
      <c r="AI578" s="4" t="e">
        <f aca="false">IF(AB578&lt;TIME(0,30,0),"Met","Not Met")</f>
        <v>#REF!</v>
      </c>
      <c r="AN578" s="1" t="str">
        <f aca="false">TEXT(B578,"dd")</f>
        <v>30</v>
      </c>
      <c r="AO578" s="1" t="str">
        <f aca="false">TEXT(X578,"dd")</f>
        <v>30</v>
      </c>
      <c r="AP578" s="16" t="str">
        <f aca="false">INT(
  NETWORKDAYS(B578,V578)-1
  + IF(WEEKDAY(V578,2)&lt;6,MOD(V578+W578,1),0)
  - IF(WEEKDAY(B578,2)&lt;6,MOD(B578+C578,1),0)
)
&amp; ":" &amp;
TEXT(HOUR(
  NETWORKDAYS(B578,V578)-1
  + IF(WEEKDAY(V578,2)&lt;6,MOD(V578+W578,1),0)
  - IF(WEEKDAY(B578,2)&lt;6,MOD(B578+C578,1),0)
),"00")
&amp; ":" &amp;
TEXT(MINUTE(
  NETWORKDAYS(B578,V578)-1
  + IF(WEEKDAY(V578,2)&lt;6,MOD(V578+W578,1),0)
  - IF(WEEKDAY(B578,2)&lt;6,MOD(B578+C578,1),0)
),"00")</f>
        <v>-1:00:00</v>
      </c>
      <c r="AQ578" s="0" t="n">
        <f aca="false">IFERROR(
LEFT(AP578,FIND(":",AP578)-1)
+ MID(AP578,FIND(":",AP578)+1,2)/24
+ RIGHT(AP578,2)/1440,
"")</f>
        <v>-1</v>
      </c>
      <c r="AR578" s="0" t="n">
        <f aca="false">WEEKNUM(B578,1)</f>
        <v>52</v>
      </c>
      <c r="AS578" s="17" t="str">
        <f aca="false">IF(B578&gt;0, (B578+C578)-TIME(13,30,0), "")</f>
        <v/>
      </c>
      <c r="AT578" s="18" t="str">
        <f aca="false">IF(B578&gt;0, (B578+C578)-TIME(13,30,0), "")</f>
        <v/>
      </c>
      <c r="AU578" s="17" t="str">
        <f aca="false">IF(V578&gt;0, (V578+W578)-TIME(13,30,0), "")</f>
        <v/>
      </c>
      <c r="AV578" s="18" t="str">
        <f aca="false">IF(V578&gt;0, (V578+W578)-TIME(13,30,0), "")</f>
        <v/>
      </c>
    </row>
    <row r="579" customFormat="false" ht="15" hidden="false" customHeight="false" outlineLevel="0" collapsed="false">
      <c r="AB579" s="2" t="e">
        <f aca="false">U579-#REF!</f>
        <v>#REF!</v>
      </c>
      <c r="AC579" s="14" t="n">
        <f aca="false">(V579+W579)-(B579+C579)</f>
        <v>0</v>
      </c>
      <c r="AD579" s="4" t="str">
        <f aca="false">INT((V579+W579)-(B579+C579)) &amp; ":" &amp;
TEXT(HOUR((V579+W579)-(B579+C579)), "00") &amp; ":" &amp;
TEXT(MINUTE((V579+W579)-(B579+C579)), "00")</f>
        <v>0:00:00</v>
      </c>
      <c r="AE579" s="1" t="n">
        <f aca="false">IFERROR(
LEFT(AD579,FIND(":",AD579)-1)
+ MID(AD579,FIND(":",AD579)+1,2)/24
+ RIGHT(AD579,2)/1440,
"")</f>
        <v>0</v>
      </c>
      <c r="AF579" s="4" t="str">
        <f aca="false">INT((X579+Y579)-(B579+C579)) &amp; ":" &amp;
TEXT(HOUR((X579+Y579)-(B579+C579)), "00") &amp; ":" &amp;
TEXT(MINUTE((X579+Y579)-(B579+C579)), "00")</f>
        <v>0:00:00</v>
      </c>
      <c r="AG579" s="4" t="e">
        <f aca="false" t="array" ref="AG579:AG579">INT(_xlfn.XLOOKUP(J579,{"Low","Medium","High","Urgent"},{48,24,12,8})/24) &amp; ":" &amp;
TEXT(MOD(_xlfn.XLOOKUP(J579,{"Low","Medium","High","Urgent"},{48,24,12,8}),24)/24,"hh:mm")</f>
        <v>#N/A</v>
      </c>
      <c r="AH579" s="4" t="e">
        <f aca="false">IF(AD579&gt;AG579,"Not Met","Met")</f>
        <v>#N/A</v>
      </c>
      <c r="AI579" s="4" t="e">
        <f aca="false">IF(AB579&lt;TIME(0,30,0),"Met","Not Met")</f>
        <v>#REF!</v>
      </c>
      <c r="AN579" s="1" t="str">
        <f aca="false">TEXT(B579,"dd")</f>
        <v>30</v>
      </c>
      <c r="AO579" s="1" t="str">
        <f aca="false">TEXT(X579,"dd")</f>
        <v>30</v>
      </c>
      <c r="AP579" s="16" t="str">
        <f aca="false">INT(
  NETWORKDAYS(B579,V579)-1
  + IF(WEEKDAY(V579,2)&lt;6,MOD(V579+W579,1),0)
  - IF(WEEKDAY(B579,2)&lt;6,MOD(B579+C579,1),0)
)
&amp; ":" &amp;
TEXT(HOUR(
  NETWORKDAYS(B579,V579)-1
  + IF(WEEKDAY(V579,2)&lt;6,MOD(V579+W579,1),0)
  - IF(WEEKDAY(B579,2)&lt;6,MOD(B579+C579,1),0)
),"00")
&amp; ":" &amp;
TEXT(MINUTE(
  NETWORKDAYS(B579,V579)-1
  + IF(WEEKDAY(V579,2)&lt;6,MOD(V579+W579,1),0)
  - IF(WEEKDAY(B579,2)&lt;6,MOD(B579+C579,1),0)
),"00")</f>
        <v>-1:00:00</v>
      </c>
      <c r="AQ579" s="0" t="n">
        <f aca="false">IFERROR(
LEFT(AP579,FIND(":",AP579)-1)
+ MID(AP579,FIND(":",AP579)+1,2)/24
+ RIGHT(AP579,2)/1440,
"")</f>
        <v>-1</v>
      </c>
      <c r="AR579" s="0" t="n">
        <f aca="false">WEEKNUM(B579,1)</f>
        <v>52</v>
      </c>
      <c r="AS579" s="17" t="str">
        <f aca="false">IF(B579&gt;0, (B579+C579)-TIME(13,30,0), "")</f>
        <v/>
      </c>
      <c r="AT579" s="18" t="str">
        <f aca="false">IF(B579&gt;0, (B579+C579)-TIME(13,30,0), "")</f>
        <v/>
      </c>
      <c r="AU579" s="17" t="str">
        <f aca="false">IF(V579&gt;0, (V579+W579)-TIME(13,30,0), "")</f>
        <v/>
      </c>
      <c r="AV579" s="18" t="str">
        <f aca="false">IF(V579&gt;0, (V579+W579)-TIME(13,30,0), "")</f>
        <v/>
      </c>
    </row>
    <row r="580" customFormat="false" ht="15" hidden="false" customHeight="false" outlineLevel="0" collapsed="false">
      <c r="AB580" s="2" t="e">
        <f aca="false">U580-#REF!</f>
        <v>#REF!</v>
      </c>
      <c r="AC580" s="14" t="n">
        <f aca="false">(V580+W580)-(B580+C580)</f>
        <v>0</v>
      </c>
      <c r="AD580" s="4" t="str">
        <f aca="false">INT((V580+W580)-(B580+C580)) &amp; ":" &amp;
TEXT(HOUR((V580+W580)-(B580+C580)), "00") &amp; ":" &amp;
TEXT(MINUTE((V580+W580)-(B580+C580)), "00")</f>
        <v>0:00:00</v>
      </c>
      <c r="AE580" s="1" t="n">
        <f aca="false">IFERROR(
LEFT(AD580,FIND(":",AD580)-1)
+ MID(AD580,FIND(":",AD580)+1,2)/24
+ RIGHT(AD580,2)/1440,
"")</f>
        <v>0</v>
      </c>
      <c r="AF580" s="4" t="str">
        <f aca="false">INT((X580+Y580)-(B580+C580)) &amp; ":" &amp;
TEXT(HOUR((X580+Y580)-(B580+C580)), "00") &amp; ":" &amp;
TEXT(MINUTE((X580+Y580)-(B580+C580)), "00")</f>
        <v>0:00:00</v>
      </c>
      <c r="AG580" s="4" t="e">
        <f aca="false" t="array" ref="AG580:AG580">INT(_xlfn.XLOOKUP(J580,{"Low","Medium","High","Urgent"},{48,24,12,8})/24) &amp; ":" &amp;
TEXT(MOD(_xlfn.XLOOKUP(J580,{"Low","Medium","High","Urgent"},{48,24,12,8}),24)/24,"hh:mm")</f>
        <v>#N/A</v>
      </c>
      <c r="AH580" s="4" t="e">
        <f aca="false">IF(AD580&gt;AG580,"Not Met","Met")</f>
        <v>#N/A</v>
      </c>
      <c r="AI580" s="4" t="e">
        <f aca="false">IF(AB580&lt;TIME(0,30,0),"Met","Not Met")</f>
        <v>#REF!</v>
      </c>
      <c r="AN580" s="1" t="str">
        <f aca="false">TEXT(B580,"dd")</f>
        <v>30</v>
      </c>
      <c r="AO580" s="1" t="str">
        <f aca="false">TEXT(X580,"dd")</f>
        <v>30</v>
      </c>
      <c r="AP580" s="16" t="str">
        <f aca="false">INT(
  NETWORKDAYS(B580,V580)-1
  + IF(WEEKDAY(V580,2)&lt;6,MOD(V580+W580,1),0)
  - IF(WEEKDAY(B580,2)&lt;6,MOD(B580+C580,1),0)
)
&amp; ":" &amp;
TEXT(HOUR(
  NETWORKDAYS(B580,V580)-1
  + IF(WEEKDAY(V580,2)&lt;6,MOD(V580+W580,1),0)
  - IF(WEEKDAY(B580,2)&lt;6,MOD(B580+C580,1),0)
),"00")
&amp; ":" &amp;
TEXT(MINUTE(
  NETWORKDAYS(B580,V580)-1
  + IF(WEEKDAY(V580,2)&lt;6,MOD(V580+W580,1),0)
  - IF(WEEKDAY(B580,2)&lt;6,MOD(B580+C580,1),0)
),"00")</f>
        <v>-1:00:00</v>
      </c>
      <c r="AQ580" s="0" t="n">
        <f aca="false">IFERROR(
LEFT(AP580,FIND(":",AP580)-1)
+ MID(AP580,FIND(":",AP580)+1,2)/24
+ RIGHT(AP580,2)/1440,
"")</f>
        <v>-1</v>
      </c>
      <c r="AR580" s="0" t="n">
        <f aca="false">WEEKNUM(B580,1)</f>
        <v>52</v>
      </c>
      <c r="AS580" s="17" t="str">
        <f aca="false">IF(B580&gt;0, (B580+C580)-TIME(13,30,0), "")</f>
        <v/>
      </c>
      <c r="AT580" s="18" t="str">
        <f aca="false">IF(B580&gt;0, (B580+C580)-TIME(13,30,0), "")</f>
        <v/>
      </c>
      <c r="AU580" s="17" t="str">
        <f aca="false">IF(V580&gt;0, (V580+W580)-TIME(13,30,0), "")</f>
        <v/>
      </c>
      <c r="AV580" s="18" t="str">
        <f aca="false">IF(V580&gt;0, (V580+W580)-TIME(13,30,0), "")</f>
        <v/>
      </c>
    </row>
    <row r="581" customFormat="false" ht="15" hidden="false" customHeight="false" outlineLevel="0" collapsed="false">
      <c r="AB581" s="2" t="e">
        <f aca="false">U581-#REF!</f>
        <v>#REF!</v>
      </c>
      <c r="AC581" s="14" t="n">
        <f aca="false">(V581+W581)-(B581+C581)</f>
        <v>0</v>
      </c>
      <c r="AD581" s="4" t="str">
        <f aca="false">INT((V581+W581)-(B581+C581)) &amp; ":" &amp;
TEXT(HOUR((V581+W581)-(B581+C581)), "00") &amp; ":" &amp;
TEXT(MINUTE((V581+W581)-(B581+C581)), "00")</f>
        <v>0:00:00</v>
      </c>
      <c r="AE581" s="1" t="n">
        <f aca="false">IFERROR(
LEFT(AD581,FIND(":",AD581)-1)
+ MID(AD581,FIND(":",AD581)+1,2)/24
+ RIGHT(AD581,2)/1440,
"")</f>
        <v>0</v>
      </c>
      <c r="AF581" s="4" t="str">
        <f aca="false">INT((X581+Y581)-(B581+C581)) &amp; ":" &amp;
TEXT(HOUR((X581+Y581)-(B581+C581)), "00") &amp; ":" &amp;
TEXT(MINUTE((X581+Y581)-(B581+C581)), "00")</f>
        <v>0:00:00</v>
      </c>
      <c r="AG581" s="4" t="e">
        <f aca="false" t="array" ref="AG581:AG581">INT(_xlfn.XLOOKUP(J581,{"Low","Medium","High","Urgent"},{48,24,12,8})/24) &amp; ":" &amp;
TEXT(MOD(_xlfn.XLOOKUP(J581,{"Low","Medium","High","Urgent"},{48,24,12,8}),24)/24,"hh:mm")</f>
        <v>#N/A</v>
      </c>
      <c r="AH581" s="4" t="e">
        <f aca="false">IF(AD581&gt;AG581,"Not Met","Met")</f>
        <v>#N/A</v>
      </c>
      <c r="AI581" s="4" t="e">
        <f aca="false">IF(AB581&lt;TIME(0,30,0),"Met","Not Met")</f>
        <v>#REF!</v>
      </c>
      <c r="AN581" s="1" t="str">
        <f aca="false">TEXT(B581,"dd")</f>
        <v>30</v>
      </c>
      <c r="AO581" s="1" t="str">
        <f aca="false">TEXT(X581,"dd")</f>
        <v>30</v>
      </c>
      <c r="AP581" s="16" t="str">
        <f aca="false">INT(
  NETWORKDAYS(B581,V581)-1
  + IF(WEEKDAY(V581,2)&lt;6,MOD(V581+W581,1),0)
  - IF(WEEKDAY(B581,2)&lt;6,MOD(B581+C581,1),0)
)
&amp; ":" &amp;
TEXT(HOUR(
  NETWORKDAYS(B581,V581)-1
  + IF(WEEKDAY(V581,2)&lt;6,MOD(V581+W581,1),0)
  - IF(WEEKDAY(B581,2)&lt;6,MOD(B581+C581,1),0)
),"00")
&amp; ":" &amp;
TEXT(MINUTE(
  NETWORKDAYS(B581,V581)-1
  + IF(WEEKDAY(V581,2)&lt;6,MOD(V581+W581,1),0)
  - IF(WEEKDAY(B581,2)&lt;6,MOD(B581+C581,1),0)
),"00")</f>
        <v>-1:00:00</v>
      </c>
      <c r="AQ581" s="0" t="n">
        <f aca="false">IFERROR(
LEFT(AP581,FIND(":",AP581)-1)
+ MID(AP581,FIND(":",AP581)+1,2)/24
+ RIGHT(AP581,2)/1440,
"")</f>
        <v>-1</v>
      </c>
      <c r="AR581" s="0" t="n">
        <f aca="false">WEEKNUM(B581,1)</f>
        <v>52</v>
      </c>
      <c r="AS581" s="17" t="str">
        <f aca="false">IF(B581&gt;0, (B581+C581)-TIME(13,30,0), "")</f>
        <v/>
      </c>
      <c r="AT581" s="18" t="str">
        <f aca="false">IF(B581&gt;0, (B581+C581)-TIME(13,30,0), "")</f>
        <v/>
      </c>
      <c r="AU581" s="17" t="str">
        <f aca="false">IF(V581&gt;0, (V581+W581)-TIME(13,30,0), "")</f>
        <v/>
      </c>
      <c r="AV581" s="18" t="str">
        <f aca="false">IF(V581&gt;0, (V581+W581)-TIME(13,30,0), "")</f>
        <v/>
      </c>
    </row>
    <row r="582" customFormat="false" ht="15" hidden="false" customHeight="false" outlineLevel="0" collapsed="false">
      <c r="AB582" s="2" t="e">
        <f aca="false">U582-#REF!</f>
        <v>#REF!</v>
      </c>
      <c r="AC582" s="14" t="n">
        <f aca="false">(V582+W582)-(B582+C582)</f>
        <v>0</v>
      </c>
      <c r="AD582" s="4" t="str">
        <f aca="false">INT((V582+W582)-(B582+C582)) &amp; ":" &amp;
TEXT(HOUR((V582+W582)-(B582+C582)), "00") &amp; ":" &amp;
TEXT(MINUTE((V582+W582)-(B582+C582)), "00")</f>
        <v>0:00:00</v>
      </c>
      <c r="AE582" s="1" t="n">
        <f aca="false">IFERROR(
LEFT(AD582,FIND(":",AD582)-1)
+ MID(AD582,FIND(":",AD582)+1,2)/24
+ RIGHT(AD582,2)/1440,
"")</f>
        <v>0</v>
      </c>
      <c r="AF582" s="4" t="str">
        <f aca="false">INT((X582+Y582)-(B582+C582)) &amp; ":" &amp;
TEXT(HOUR((X582+Y582)-(B582+C582)), "00") &amp; ":" &amp;
TEXT(MINUTE((X582+Y582)-(B582+C582)), "00")</f>
        <v>0:00:00</v>
      </c>
      <c r="AG582" s="4" t="e">
        <f aca="false" t="array" ref="AG582:AG582">INT(_xlfn.XLOOKUP(J582,{"Low","Medium","High","Urgent"},{48,24,12,8})/24) &amp; ":" &amp;
TEXT(MOD(_xlfn.XLOOKUP(J582,{"Low","Medium","High","Urgent"},{48,24,12,8}),24)/24,"hh:mm")</f>
        <v>#N/A</v>
      </c>
      <c r="AH582" s="4" t="e">
        <f aca="false">IF(AD582&gt;AG582,"Not Met","Met")</f>
        <v>#N/A</v>
      </c>
      <c r="AI582" s="4" t="e">
        <f aca="false">IF(AB582&lt;TIME(0,30,0),"Met","Not Met")</f>
        <v>#REF!</v>
      </c>
      <c r="AN582" s="1" t="str">
        <f aca="false">TEXT(B582,"dd")</f>
        <v>30</v>
      </c>
      <c r="AO582" s="1" t="str">
        <f aca="false">TEXT(X582,"dd")</f>
        <v>30</v>
      </c>
      <c r="AP582" s="16" t="str">
        <f aca="false">INT(
  NETWORKDAYS(B582,V582)-1
  + IF(WEEKDAY(V582,2)&lt;6,MOD(V582+W582,1),0)
  - IF(WEEKDAY(B582,2)&lt;6,MOD(B582+C582,1),0)
)
&amp; ":" &amp;
TEXT(HOUR(
  NETWORKDAYS(B582,V582)-1
  + IF(WEEKDAY(V582,2)&lt;6,MOD(V582+W582,1),0)
  - IF(WEEKDAY(B582,2)&lt;6,MOD(B582+C582,1),0)
),"00")
&amp; ":" &amp;
TEXT(MINUTE(
  NETWORKDAYS(B582,V582)-1
  + IF(WEEKDAY(V582,2)&lt;6,MOD(V582+W582,1),0)
  - IF(WEEKDAY(B582,2)&lt;6,MOD(B582+C582,1),0)
),"00")</f>
        <v>-1:00:00</v>
      </c>
      <c r="AQ582" s="0" t="n">
        <f aca="false">IFERROR(
LEFT(AP582,FIND(":",AP582)-1)
+ MID(AP582,FIND(":",AP582)+1,2)/24
+ RIGHT(AP582,2)/1440,
"")</f>
        <v>-1</v>
      </c>
      <c r="AR582" s="0" t="n">
        <f aca="false">WEEKNUM(B582,1)</f>
        <v>52</v>
      </c>
      <c r="AS582" s="17" t="str">
        <f aca="false">IF(B582&gt;0, (B582+C582)-TIME(13,30,0), "")</f>
        <v/>
      </c>
      <c r="AT582" s="18" t="str">
        <f aca="false">IF(B582&gt;0, (B582+C582)-TIME(13,30,0), "")</f>
        <v/>
      </c>
      <c r="AU582" s="17" t="str">
        <f aca="false">IF(V582&gt;0, (V582+W582)-TIME(13,30,0), "")</f>
        <v/>
      </c>
      <c r="AV582" s="18" t="str">
        <f aca="false">IF(V582&gt;0, (V582+W582)-TIME(13,30,0), "")</f>
        <v/>
      </c>
    </row>
    <row r="583" customFormat="false" ht="15" hidden="false" customHeight="false" outlineLevel="0" collapsed="false">
      <c r="AB583" s="2" t="e">
        <f aca="false">U583-#REF!</f>
        <v>#REF!</v>
      </c>
      <c r="AC583" s="14" t="n">
        <f aca="false">(V583+W583)-(B583+C583)</f>
        <v>0</v>
      </c>
      <c r="AD583" s="4" t="str">
        <f aca="false">INT((V583+W583)-(B583+C583)) &amp; ":" &amp;
TEXT(HOUR((V583+W583)-(B583+C583)), "00") &amp; ":" &amp;
TEXT(MINUTE((V583+W583)-(B583+C583)), "00")</f>
        <v>0:00:00</v>
      </c>
      <c r="AE583" s="1" t="n">
        <f aca="false">IFERROR(
LEFT(AD583,FIND(":",AD583)-1)
+ MID(AD583,FIND(":",AD583)+1,2)/24
+ RIGHT(AD583,2)/1440,
"")</f>
        <v>0</v>
      </c>
      <c r="AF583" s="4" t="str">
        <f aca="false">INT((X583+Y583)-(B583+C583)) &amp; ":" &amp;
TEXT(HOUR((X583+Y583)-(B583+C583)), "00") &amp; ":" &amp;
TEXT(MINUTE((X583+Y583)-(B583+C583)), "00")</f>
        <v>0:00:00</v>
      </c>
      <c r="AG583" s="4" t="e">
        <f aca="false" t="array" ref="AG583:AG583">INT(_xlfn.XLOOKUP(J583,{"Low","Medium","High","Urgent"},{48,24,12,8})/24) &amp; ":" &amp;
TEXT(MOD(_xlfn.XLOOKUP(J583,{"Low","Medium","High","Urgent"},{48,24,12,8}),24)/24,"hh:mm")</f>
        <v>#N/A</v>
      </c>
      <c r="AH583" s="4" t="e">
        <f aca="false">IF(AD583&gt;AG583,"Not Met","Met")</f>
        <v>#N/A</v>
      </c>
      <c r="AI583" s="4" t="e">
        <f aca="false">IF(AB583&lt;TIME(0,30,0),"Met","Not Met")</f>
        <v>#REF!</v>
      </c>
      <c r="AN583" s="1" t="str">
        <f aca="false">TEXT(B583,"dd")</f>
        <v>30</v>
      </c>
      <c r="AO583" s="1" t="str">
        <f aca="false">TEXT(X583,"dd")</f>
        <v>30</v>
      </c>
      <c r="AP583" s="16" t="str">
        <f aca="false">INT(
  NETWORKDAYS(B583,V583)-1
  + IF(WEEKDAY(V583,2)&lt;6,MOD(V583+W583,1),0)
  - IF(WEEKDAY(B583,2)&lt;6,MOD(B583+C583,1),0)
)
&amp; ":" &amp;
TEXT(HOUR(
  NETWORKDAYS(B583,V583)-1
  + IF(WEEKDAY(V583,2)&lt;6,MOD(V583+W583,1),0)
  - IF(WEEKDAY(B583,2)&lt;6,MOD(B583+C583,1),0)
),"00")
&amp; ":" &amp;
TEXT(MINUTE(
  NETWORKDAYS(B583,V583)-1
  + IF(WEEKDAY(V583,2)&lt;6,MOD(V583+W583,1),0)
  - IF(WEEKDAY(B583,2)&lt;6,MOD(B583+C583,1),0)
),"00")</f>
        <v>-1:00:00</v>
      </c>
      <c r="AQ583" s="0" t="n">
        <f aca="false">IFERROR(
LEFT(AP583,FIND(":",AP583)-1)
+ MID(AP583,FIND(":",AP583)+1,2)/24
+ RIGHT(AP583,2)/1440,
"")</f>
        <v>-1</v>
      </c>
      <c r="AR583" s="0" t="n">
        <f aca="false">WEEKNUM(B583,1)</f>
        <v>52</v>
      </c>
      <c r="AS583" s="17" t="str">
        <f aca="false">IF(B583&gt;0, (B583+C583)-TIME(13,30,0), "")</f>
        <v/>
      </c>
      <c r="AT583" s="18" t="str">
        <f aca="false">IF(B583&gt;0, (B583+C583)-TIME(13,30,0), "")</f>
        <v/>
      </c>
      <c r="AU583" s="17" t="str">
        <f aca="false">IF(V583&gt;0, (V583+W583)-TIME(13,30,0), "")</f>
        <v/>
      </c>
      <c r="AV583" s="18" t="str">
        <f aca="false">IF(V583&gt;0, (V583+W583)-TIME(13,30,0), "")</f>
        <v/>
      </c>
    </row>
    <row r="584" customFormat="false" ht="15" hidden="false" customHeight="false" outlineLevel="0" collapsed="false">
      <c r="AB584" s="2" t="e">
        <f aca="false">U584-#REF!</f>
        <v>#REF!</v>
      </c>
      <c r="AC584" s="14" t="n">
        <f aca="false">(V584+W584)-(B584+C584)</f>
        <v>0</v>
      </c>
      <c r="AD584" s="4" t="str">
        <f aca="false">INT((V584+W584)-(B584+C584)) &amp; ":" &amp;
TEXT(HOUR((V584+W584)-(B584+C584)), "00") &amp; ":" &amp;
TEXT(MINUTE((V584+W584)-(B584+C584)), "00")</f>
        <v>0:00:00</v>
      </c>
      <c r="AE584" s="1" t="n">
        <f aca="false">IFERROR(
LEFT(AD584,FIND(":",AD584)-1)
+ MID(AD584,FIND(":",AD584)+1,2)/24
+ RIGHT(AD584,2)/1440,
"")</f>
        <v>0</v>
      </c>
      <c r="AF584" s="4" t="str">
        <f aca="false">INT((X584+Y584)-(B584+C584)) &amp; ":" &amp;
TEXT(HOUR((X584+Y584)-(B584+C584)), "00") &amp; ":" &amp;
TEXT(MINUTE((X584+Y584)-(B584+C584)), "00")</f>
        <v>0:00:00</v>
      </c>
      <c r="AG584" s="4" t="e">
        <f aca="false" t="array" ref="AG584:AG584">INT(_xlfn.XLOOKUP(J584,{"Low","Medium","High","Urgent"},{48,24,12,8})/24) &amp; ":" &amp;
TEXT(MOD(_xlfn.XLOOKUP(J584,{"Low","Medium","High","Urgent"},{48,24,12,8}),24)/24,"hh:mm")</f>
        <v>#N/A</v>
      </c>
      <c r="AH584" s="4" t="e">
        <f aca="false">IF(AD584&gt;AG584,"Not Met","Met")</f>
        <v>#N/A</v>
      </c>
      <c r="AI584" s="4" t="e">
        <f aca="false">IF(AB584&lt;TIME(0,30,0),"Met","Not Met")</f>
        <v>#REF!</v>
      </c>
      <c r="AN584" s="1" t="str">
        <f aca="false">TEXT(B584,"dd")</f>
        <v>30</v>
      </c>
      <c r="AO584" s="1" t="str">
        <f aca="false">TEXT(X584,"dd")</f>
        <v>30</v>
      </c>
      <c r="AP584" s="16" t="str">
        <f aca="false">INT(
  NETWORKDAYS(B584,V584)-1
  + IF(WEEKDAY(V584,2)&lt;6,MOD(V584+W584,1),0)
  - IF(WEEKDAY(B584,2)&lt;6,MOD(B584+C584,1),0)
)
&amp; ":" &amp;
TEXT(HOUR(
  NETWORKDAYS(B584,V584)-1
  + IF(WEEKDAY(V584,2)&lt;6,MOD(V584+W584,1),0)
  - IF(WEEKDAY(B584,2)&lt;6,MOD(B584+C584,1),0)
),"00")
&amp; ":" &amp;
TEXT(MINUTE(
  NETWORKDAYS(B584,V584)-1
  + IF(WEEKDAY(V584,2)&lt;6,MOD(V584+W584,1),0)
  - IF(WEEKDAY(B584,2)&lt;6,MOD(B584+C584,1),0)
),"00")</f>
        <v>-1:00:00</v>
      </c>
      <c r="AQ584" s="0" t="n">
        <f aca="false">IFERROR(
LEFT(AP584,FIND(":",AP584)-1)
+ MID(AP584,FIND(":",AP584)+1,2)/24
+ RIGHT(AP584,2)/1440,
"")</f>
        <v>-1</v>
      </c>
      <c r="AR584" s="0" t="n">
        <f aca="false">WEEKNUM(B584,1)</f>
        <v>52</v>
      </c>
      <c r="AS584" s="17" t="str">
        <f aca="false">IF(B584&gt;0, (B584+C584)-TIME(13,30,0), "")</f>
        <v/>
      </c>
      <c r="AT584" s="18" t="str">
        <f aca="false">IF(B584&gt;0, (B584+C584)-TIME(13,30,0), "")</f>
        <v/>
      </c>
      <c r="AU584" s="17" t="str">
        <f aca="false">IF(V584&gt;0, (V584+W584)-TIME(13,30,0), "")</f>
        <v/>
      </c>
      <c r="AV584" s="18" t="str">
        <f aca="false">IF(V584&gt;0, (V584+W584)-TIME(13,30,0), "")</f>
        <v/>
      </c>
    </row>
    <row r="585" customFormat="false" ht="15" hidden="false" customHeight="false" outlineLevel="0" collapsed="false">
      <c r="AB585" s="2" t="e">
        <f aca="false">U585-#REF!</f>
        <v>#REF!</v>
      </c>
      <c r="AC585" s="14" t="n">
        <f aca="false">(V585+W585)-(B585+C585)</f>
        <v>0</v>
      </c>
      <c r="AD585" s="4" t="str">
        <f aca="false">INT((V585+W585)-(B585+C585)) &amp; ":" &amp;
TEXT(HOUR((V585+W585)-(B585+C585)), "00") &amp; ":" &amp;
TEXT(MINUTE((V585+W585)-(B585+C585)), "00")</f>
        <v>0:00:00</v>
      </c>
      <c r="AE585" s="1" t="n">
        <f aca="false">IFERROR(
LEFT(AD585,FIND(":",AD585)-1)
+ MID(AD585,FIND(":",AD585)+1,2)/24
+ RIGHT(AD585,2)/1440,
"")</f>
        <v>0</v>
      </c>
      <c r="AF585" s="4" t="str">
        <f aca="false">INT((X585+Y585)-(B585+C585)) &amp; ":" &amp;
TEXT(HOUR((X585+Y585)-(B585+C585)), "00") &amp; ":" &amp;
TEXT(MINUTE((X585+Y585)-(B585+C585)), "00")</f>
        <v>0:00:00</v>
      </c>
      <c r="AG585" s="4" t="e">
        <f aca="false" t="array" ref="AG585:AG585">INT(_xlfn.XLOOKUP(J585,{"Low","Medium","High","Urgent"},{48,24,12,8})/24) &amp; ":" &amp;
TEXT(MOD(_xlfn.XLOOKUP(J585,{"Low","Medium","High","Urgent"},{48,24,12,8}),24)/24,"hh:mm")</f>
        <v>#N/A</v>
      </c>
      <c r="AH585" s="4" t="e">
        <f aca="false">IF(AD585&gt;AG585,"Not Met","Met")</f>
        <v>#N/A</v>
      </c>
      <c r="AI585" s="4" t="e">
        <f aca="false">IF(AB585&lt;TIME(0,30,0),"Met","Not Met")</f>
        <v>#REF!</v>
      </c>
      <c r="AN585" s="1" t="str">
        <f aca="false">TEXT(B585,"dd")</f>
        <v>30</v>
      </c>
      <c r="AO585" s="1" t="str">
        <f aca="false">TEXT(X585,"dd")</f>
        <v>30</v>
      </c>
      <c r="AP585" s="16" t="str">
        <f aca="false">INT(
  NETWORKDAYS(B585,V585)-1
  + IF(WEEKDAY(V585,2)&lt;6,MOD(V585+W585,1),0)
  - IF(WEEKDAY(B585,2)&lt;6,MOD(B585+C585,1),0)
)
&amp; ":" &amp;
TEXT(HOUR(
  NETWORKDAYS(B585,V585)-1
  + IF(WEEKDAY(V585,2)&lt;6,MOD(V585+W585,1),0)
  - IF(WEEKDAY(B585,2)&lt;6,MOD(B585+C585,1),0)
),"00")
&amp; ":" &amp;
TEXT(MINUTE(
  NETWORKDAYS(B585,V585)-1
  + IF(WEEKDAY(V585,2)&lt;6,MOD(V585+W585,1),0)
  - IF(WEEKDAY(B585,2)&lt;6,MOD(B585+C585,1),0)
),"00")</f>
        <v>-1:00:00</v>
      </c>
      <c r="AQ585" s="0" t="n">
        <f aca="false">IFERROR(
LEFT(AP585,FIND(":",AP585)-1)
+ MID(AP585,FIND(":",AP585)+1,2)/24
+ RIGHT(AP585,2)/1440,
"")</f>
        <v>-1</v>
      </c>
      <c r="AR585" s="0" t="n">
        <f aca="false">WEEKNUM(B585,1)</f>
        <v>52</v>
      </c>
      <c r="AS585" s="17" t="str">
        <f aca="false">IF(B585&gt;0, (B585+C585)-TIME(13,30,0), "")</f>
        <v/>
      </c>
      <c r="AT585" s="18" t="str">
        <f aca="false">IF(B585&gt;0, (B585+C585)-TIME(13,30,0), "")</f>
        <v/>
      </c>
      <c r="AU585" s="17" t="str">
        <f aca="false">IF(V585&gt;0, (V585+W585)-TIME(13,30,0), "")</f>
        <v/>
      </c>
      <c r="AV585" s="18" t="str">
        <f aca="false">IF(V585&gt;0, (V585+W585)-TIME(13,30,0), "")</f>
        <v/>
      </c>
    </row>
    <row r="586" customFormat="false" ht="15" hidden="false" customHeight="false" outlineLevel="0" collapsed="false">
      <c r="AB586" s="2" t="e">
        <f aca="false">U586-#REF!</f>
        <v>#REF!</v>
      </c>
      <c r="AC586" s="14" t="n">
        <f aca="false">(V586+W586)-(B586+C586)</f>
        <v>0</v>
      </c>
      <c r="AD586" s="4" t="str">
        <f aca="false">INT((V586+W586)-(B586+C586)) &amp; ":" &amp;
TEXT(HOUR((V586+W586)-(B586+C586)), "00") &amp; ":" &amp;
TEXT(MINUTE((V586+W586)-(B586+C586)), "00")</f>
        <v>0:00:00</v>
      </c>
      <c r="AE586" s="1" t="n">
        <f aca="false">IFERROR(
LEFT(AD586,FIND(":",AD586)-1)
+ MID(AD586,FIND(":",AD586)+1,2)/24
+ RIGHT(AD586,2)/1440,
"")</f>
        <v>0</v>
      </c>
      <c r="AF586" s="4" t="str">
        <f aca="false">INT((X586+Y586)-(B586+C586)) &amp; ":" &amp;
TEXT(HOUR((X586+Y586)-(B586+C586)), "00") &amp; ":" &amp;
TEXT(MINUTE((X586+Y586)-(B586+C586)), "00")</f>
        <v>0:00:00</v>
      </c>
      <c r="AG586" s="4" t="e">
        <f aca="false" t="array" ref="AG586:AG586">INT(_xlfn.XLOOKUP(J586,{"Low","Medium","High","Urgent"},{48,24,12,8})/24) &amp; ":" &amp;
TEXT(MOD(_xlfn.XLOOKUP(J586,{"Low","Medium","High","Urgent"},{48,24,12,8}),24)/24,"hh:mm")</f>
        <v>#N/A</v>
      </c>
      <c r="AH586" s="4" t="e">
        <f aca="false">IF(AD586&gt;AG586,"Not Met","Met")</f>
        <v>#N/A</v>
      </c>
      <c r="AI586" s="4" t="e">
        <f aca="false">IF(AB586&lt;TIME(0,30,0),"Met","Not Met")</f>
        <v>#REF!</v>
      </c>
      <c r="AN586" s="1" t="str">
        <f aca="false">TEXT(B586,"dd")</f>
        <v>30</v>
      </c>
      <c r="AO586" s="1" t="str">
        <f aca="false">TEXT(X586,"dd")</f>
        <v>30</v>
      </c>
      <c r="AP586" s="16" t="str">
        <f aca="false">INT(
  NETWORKDAYS(B586,V586)-1
  + IF(WEEKDAY(V586,2)&lt;6,MOD(V586+W586,1),0)
  - IF(WEEKDAY(B586,2)&lt;6,MOD(B586+C586,1),0)
)
&amp; ":" &amp;
TEXT(HOUR(
  NETWORKDAYS(B586,V586)-1
  + IF(WEEKDAY(V586,2)&lt;6,MOD(V586+W586,1),0)
  - IF(WEEKDAY(B586,2)&lt;6,MOD(B586+C586,1),0)
),"00")
&amp; ":" &amp;
TEXT(MINUTE(
  NETWORKDAYS(B586,V586)-1
  + IF(WEEKDAY(V586,2)&lt;6,MOD(V586+W586,1),0)
  - IF(WEEKDAY(B586,2)&lt;6,MOD(B586+C586,1),0)
),"00")</f>
        <v>-1:00:00</v>
      </c>
      <c r="AQ586" s="0" t="n">
        <f aca="false">IFERROR(
LEFT(AP586,FIND(":",AP586)-1)
+ MID(AP586,FIND(":",AP586)+1,2)/24
+ RIGHT(AP586,2)/1440,
"")</f>
        <v>-1</v>
      </c>
      <c r="AR586" s="0" t="n">
        <f aca="false">WEEKNUM(B586,1)</f>
        <v>52</v>
      </c>
      <c r="AS586" s="17" t="str">
        <f aca="false">IF(B586&gt;0, (B586+C586)-TIME(13,30,0), "")</f>
        <v/>
      </c>
      <c r="AT586" s="18" t="str">
        <f aca="false">IF(B586&gt;0, (B586+C586)-TIME(13,30,0), "")</f>
        <v/>
      </c>
      <c r="AU586" s="17" t="str">
        <f aca="false">IF(V586&gt;0, (V586+W586)-TIME(13,30,0), "")</f>
        <v/>
      </c>
      <c r="AV586" s="18" t="str">
        <f aca="false">IF(V586&gt;0, (V586+W586)-TIME(13,30,0), "")</f>
        <v/>
      </c>
    </row>
    <row r="587" customFormat="false" ht="15" hidden="false" customHeight="false" outlineLevel="0" collapsed="false">
      <c r="AB587" s="2" t="e">
        <f aca="false">U587-#REF!</f>
        <v>#REF!</v>
      </c>
      <c r="AC587" s="14" t="n">
        <f aca="false">(V587+W587)-(B587+C587)</f>
        <v>0</v>
      </c>
      <c r="AD587" s="4" t="str">
        <f aca="false">INT((V587+W587)-(B587+C587)) &amp; ":" &amp;
TEXT(HOUR((V587+W587)-(B587+C587)), "00") &amp; ":" &amp;
TEXT(MINUTE((V587+W587)-(B587+C587)), "00")</f>
        <v>0:00:00</v>
      </c>
      <c r="AE587" s="1" t="n">
        <f aca="false">IFERROR(
LEFT(AD587,FIND(":",AD587)-1)
+ MID(AD587,FIND(":",AD587)+1,2)/24
+ RIGHT(AD587,2)/1440,
"")</f>
        <v>0</v>
      </c>
      <c r="AF587" s="4" t="str">
        <f aca="false">INT((X587+Y587)-(B587+C587)) &amp; ":" &amp;
TEXT(HOUR((X587+Y587)-(B587+C587)), "00") &amp; ":" &amp;
TEXT(MINUTE((X587+Y587)-(B587+C587)), "00")</f>
        <v>0:00:00</v>
      </c>
      <c r="AG587" s="4" t="e">
        <f aca="false" t="array" ref="AG587:AG587">INT(_xlfn.XLOOKUP(J587,{"Low","Medium","High","Urgent"},{48,24,12,8})/24) &amp; ":" &amp;
TEXT(MOD(_xlfn.XLOOKUP(J587,{"Low","Medium","High","Urgent"},{48,24,12,8}),24)/24,"hh:mm")</f>
        <v>#N/A</v>
      </c>
      <c r="AH587" s="4" t="e">
        <f aca="false">IF(AD587&gt;AG587,"Not Met","Met")</f>
        <v>#N/A</v>
      </c>
      <c r="AI587" s="4" t="e">
        <f aca="false">IF(AB587&lt;TIME(0,30,0),"Met","Not Met")</f>
        <v>#REF!</v>
      </c>
      <c r="AN587" s="1" t="str">
        <f aca="false">TEXT(B587,"dd")</f>
        <v>30</v>
      </c>
      <c r="AO587" s="1" t="str">
        <f aca="false">TEXT(X587,"dd")</f>
        <v>30</v>
      </c>
      <c r="AP587" s="16" t="str">
        <f aca="false">INT(
  NETWORKDAYS(B587,V587)-1
  + IF(WEEKDAY(V587,2)&lt;6,MOD(V587+W587,1),0)
  - IF(WEEKDAY(B587,2)&lt;6,MOD(B587+C587,1),0)
)
&amp; ":" &amp;
TEXT(HOUR(
  NETWORKDAYS(B587,V587)-1
  + IF(WEEKDAY(V587,2)&lt;6,MOD(V587+W587,1),0)
  - IF(WEEKDAY(B587,2)&lt;6,MOD(B587+C587,1),0)
),"00")
&amp; ":" &amp;
TEXT(MINUTE(
  NETWORKDAYS(B587,V587)-1
  + IF(WEEKDAY(V587,2)&lt;6,MOD(V587+W587,1),0)
  - IF(WEEKDAY(B587,2)&lt;6,MOD(B587+C587,1),0)
),"00")</f>
        <v>-1:00:00</v>
      </c>
      <c r="AQ587" s="0" t="n">
        <f aca="false">IFERROR(
LEFT(AP587,FIND(":",AP587)-1)
+ MID(AP587,FIND(":",AP587)+1,2)/24
+ RIGHT(AP587,2)/1440,
"")</f>
        <v>-1</v>
      </c>
      <c r="AR587" s="0" t="n">
        <f aca="false">WEEKNUM(B587,1)</f>
        <v>52</v>
      </c>
      <c r="AS587" s="17" t="str">
        <f aca="false">IF(B587&gt;0, (B587+C587)-TIME(13,30,0), "")</f>
        <v/>
      </c>
      <c r="AT587" s="18" t="str">
        <f aca="false">IF(B587&gt;0, (B587+C587)-TIME(13,30,0), "")</f>
        <v/>
      </c>
      <c r="AU587" s="17" t="str">
        <f aca="false">IF(V587&gt;0, (V587+W587)-TIME(13,30,0), "")</f>
        <v/>
      </c>
      <c r="AV587" s="18" t="str">
        <f aca="false">IF(V587&gt;0, (V587+W587)-TIME(13,30,0), "")</f>
        <v/>
      </c>
    </row>
    <row r="588" customFormat="false" ht="15" hidden="false" customHeight="false" outlineLevel="0" collapsed="false">
      <c r="AB588" s="2" t="e">
        <f aca="false">U588-#REF!</f>
        <v>#REF!</v>
      </c>
      <c r="AC588" s="14" t="n">
        <f aca="false">(V588+W588)-(B588+C588)</f>
        <v>0</v>
      </c>
      <c r="AD588" s="4" t="str">
        <f aca="false">INT((V588+W588)-(B588+C588)) &amp; ":" &amp;
TEXT(HOUR((V588+W588)-(B588+C588)), "00") &amp; ":" &amp;
TEXT(MINUTE((V588+W588)-(B588+C588)), "00")</f>
        <v>0:00:00</v>
      </c>
      <c r="AE588" s="1" t="n">
        <f aca="false">IFERROR(
LEFT(AD588,FIND(":",AD588)-1)
+ MID(AD588,FIND(":",AD588)+1,2)/24
+ RIGHT(AD588,2)/1440,
"")</f>
        <v>0</v>
      </c>
      <c r="AF588" s="4" t="str">
        <f aca="false">INT((X588+Y588)-(B588+C588)) &amp; ":" &amp;
TEXT(HOUR((X588+Y588)-(B588+C588)), "00") &amp; ":" &amp;
TEXT(MINUTE((X588+Y588)-(B588+C588)), "00")</f>
        <v>0:00:00</v>
      </c>
      <c r="AG588" s="4" t="e">
        <f aca="false" t="array" ref="AG588:AG588">INT(_xlfn.XLOOKUP(J588,{"Low","Medium","High","Urgent"},{48,24,12,8})/24) &amp; ":" &amp;
TEXT(MOD(_xlfn.XLOOKUP(J588,{"Low","Medium","High","Urgent"},{48,24,12,8}),24)/24,"hh:mm")</f>
        <v>#N/A</v>
      </c>
      <c r="AH588" s="4" t="e">
        <f aca="false">IF(AD588&gt;AG588,"Not Met","Met")</f>
        <v>#N/A</v>
      </c>
      <c r="AI588" s="4" t="e">
        <f aca="false">IF(AB588&lt;TIME(0,30,0),"Met","Not Met")</f>
        <v>#REF!</v>
      </c>
      <c r="AN588" s="1" t="str">
        <f aca="false">TEXT(B588,"dd")</f>
        <v>30</v>
      </c>
      <c r="AO588" s="1" t="str">
        <f aca="false">TEXT(X588,"dd")</f>
        <v>30</v>
      </c>
      <c r="AP588" s="16" t="str">
        <f aca="false">INT(
  NETWORKDAYS(B588,V588)-1
  + IF(WEEKDAY(V588,2)&lt;6,MOD(V588+W588,1),0)
  - IF(WEEKDAY(B588,2)&lt;6,MOD(B588+C588,1),0)
)
&amp; ":" &amp;
TEXT(HOUR(
  NETWORKDAYS(B588,V588)-1
  + IF(WEEKDAY(V588,2)&lt;6,MOD(V588+W588,1),0)
  - IF(WEEKDAY(B588,2)&lt;6,MOD(B588+C588,1),0)
),"00")
&amp; ":" &amp;
TEXT(MINUTE(
  NETWORKDAYS(B588,V588)-1
  + IF(WEEKDAY(V588,2)&lt;6,MOD(V588+W588,1),0)
  - IF(WEEKDAY(B588,2)&lt;6,MOD(B588+C588,1),0)
),"00")</f>
        <v>-1:00:00</v>
      </c>
      <c r="AQ588" s="0" t="n">
        <f aca="false">IFERROR(
LEFT(AP588,FIND(":",AP588)-1)
+ MID(AP588,FIND(":",AP588)+1,2)/24
+ RIGHT(AP588,2)/1440,
"")</f>
        <v>-1</v>
      </c>
      <c r="AR588" s="0" t="n">
        <f aca="false">WEEKNUM(B588,1)</f>
        <v>52</v>
      </c>
      <c r="AS588" s="17" t="str">
        <f aca="false">IF(B588&gt;0, (B588+C588)-TIME(13,30,0), "")</f>
        <v/>
      </c>
      <c r="AT588" s="18" t="str">
        <f aca="false">IF(B588&gt;0, (B588+C588)-TIME(13,30,0), "")</f>
        <v/>
      </c>
      <c r="AU588" s="17" t="str">
        <f aca="false">IF(V588&gt;0, (V588+W588)-TIME(13,30,0), "")</f>
        <v/>
      </c>
      <c r="AV588" s="18" t="str">
        <f aca="false">IF(V588&gt;0, (V588+W588)-TIME(13,30,0), "")</f>
        <v/>
      </c>
    </row>
    <row r="589" customFormat="false" ht="15" hidden="false" customHeight="false" outlineLevel="0" collapsed="false">
      <c r="AB589" s="2" t="e">
        <f aca="false">U589-#REF!</f>
        <v>#REF!</v>
      </c>
      <c r="AC589" s="14" t="n">
        <f aca="false">(V589+W589)-(B589+C589)</f>
        <v>0</v>
      </c>
      <c r="AD589" s="4" t="str">
        <f aca="false">INT((V589+W589)-(B589+C589)) &amp; ":" &amp;
TEXT(HOUR((V589+W589)-(B589+C589)), "00") &amp; ":" &amp;
TEXT(MINUTE((V589+W589)-(B589+C589)), "00")</f>
        <v>0:00:00</v>
      </c>
      <c r="AE589" s="1" t="n">
        <f aca="false">IFERROR(
LEFT(AD589,FIND(":",AD589)-1)
+ MID(AD589,FIND(":",AD589)+1,2)/24
+ RIGHT(AD589,2)/1440,
"")</f>
        <v>0</v>
      </c>
      <c r="AF589" s="4" t="str">
        <f aca="false">INT((X589+Y589)-(B589+C589)) &amp; ":" &amp;
TEXT(HOUR((X589+Y589)-(B589+C589)), "00") &amp; ":" &amp;
TEXT(MINUTE((X589+Y589)-(B589+C589)), "00")</f>
        <v>0:00:00</v>
      </c>
      <c r="AG589" s="4" t="e">
        <f aca="false" t="array" ref="AG589:AG589">INT(_xlfn.XLOOKUP(J589,{"Low","Medium","High","Urgent"},{48,24,12,8})/24) &amp; ":" &amp;
TEXT(MOD(_xlfn.XLOOKUP(J589,{"Low","Medium","High","Urgent"},{48,24,12,8}),24)/24,"hh:mm")</f>
        <v>#N/A</v>
      </c>
      <c r="AH589" s="4" t="e">
        <f aca="false">IF(AD589&gt;AG589,"Not Met","Met")</f>
        <v>#N/A</v>
      </c>
      <c r="AI589" s="4" t="e">
        <f aca="false">IF(AB589&lt;TIME(0,30,0),"Met","Not Met")</f>
        <v>#REF!</v>
      </c>
      <c r="AN589" s="1" t="str">
        <f aca="false">TEXT(B589,"dd")</f>
        <v>30</v>
      </c>
      <c r="AO589" s="1" t="str">
        <f aca="false">TEXT(X589,"dd")</f>
        <v>30</v>
      </c>
      <c r="AP589" s="16" t="str">
        <f aca="false">INT(
  NETWORKDAYS(B589,V589)-1
  + IF(WEEKDAY(V589,2)&lt;6,MOD(V589+W589,1),0)
  - IF(WEEKDAY(B589,2)&lt;6,MOD(B589+C589,1),0)
)
&amp; ":" &amp;
TEXT(HOUR(
  NETWORKDAYS(B589,V589)-1
  + IF(WEEKDAY(V589,2)&lt;6,MOD(V589+W589,1),0)
  - IF(WEEKDAY(B589,2)&lt;6,MOD(B589+C589,1),0)
),"00")
&amp; ":" &amp;
TEXT(MINUTE(
  NETWORKDAYS(B589,V589)-1
  + IF(WEEKDAY(V589,2)&lt;6,MOD(V589+W589,1),0)
  - IF(WEEKDAY(B589,2)&lt;6,MOD(B589+C589,1),0)
),"00")</f>
        <v>-1:00:00</v>
      </c>
      <c r="AQ589" s="0" t="n">
        <f aca="false">IFERROR(
LEFT(AP589,FIND(":",AP589)-1)
+ MID(AP589,FIND(":",AP589)+1,2)/24
+ RIGHT(AP589,2)/1440,
"")</f>
        <v>-1</v>
      </c>
      <c r="AR589" s="0" t="n">
        <f aca="false">WEEKNUM(B589,1)</f>
        <v>52</v>
      </c>
      <c r="AS589" s="17" t="str">
        <f aca="false">IF(B589&gt;0, (B589+C589)-TIME(13,30,0), "")</f>
        <v/>
      </c>
      <c r="AT589" s="18" t="str">
        <f aca="false">IF(B589&gt;0, (B589+C589)-TIME(13,30,0), "")</f>
        <v/>
      </c>
      <c r="AU589" s="17" t="str">
        <f aca="false">IF(V589&gt;0, (V589+W589)-TIME(13,30,0), "")</f>
        <v/>
      </c>
      <c r="AV589" s="18" t="str">
        <f aca="false">IF(V589&gt;0, (V589+W589)-TIME(13,30,0), "")</f>
        <v/>
      </c>
    </row>
    <row r="590" customFormat="false" ht="15" hidden="false" customHeight="false" outlineLevel="0" collapsed="false">
      <c r="AB590" s="2" t="e">
        <f aca="false">U590-#REF!</f>
        <v>#REF!</v>
      </c>
      <c r="AC590" s="14" t="n">
        <f aca="false">(V590+W590)-(B590+C590)</f>
        <v>0</v>
      </c>
      <c r="AD590" s="4" t="str">
        <f aca="false">INT((V590+W590)-(B590+C590)) &amp; ":" &amp;
TEXT(HOUR((V590+W590)-(B590+C590)), "00") &amp; ":" &amp;
TEXT(MINUTE((V590+W590)-(B590+C590)), "00")</f>
        <v>0:00:00</v>
      </c>
      <c r="AE590" s="1" t="n">
        <f aca="false">IFERROR(
LEFT(AD590,FIND(":",AD590)-1)
+ MID(AD590,FIND(":",AD590)+1,2)/24
+ RIGHT(AD590,2)/1440,
"")</f>
        <v>0</v>
      </c>
      <c r="AF590" s="4" t="str">
        <f aca="false">INT((X590+Y590)-(B590+C590)) &amp; ":" &amp;
TEXT(HOUR((X590+Y590)-(B590+C590)), "00") &amp; ":" &amp;
TEXT(MINUTE((X590+Y590)-(B590+C590)), "00")</f>
        <v>0:00:00</v>
      </c>
      <c r="AG590" s="4" t="e">
        <f aca="false" t="array" ref="AG590:AG590">INT(_xlfn.XLOOKUP(J590,{"Low","Medium","High","Urgent"},{48,24,12,8})/24) &amp; ":" &amp;
TEXT(MOD(_xlfn.XLOOKUP(J590,{"Low","Medium","High","Urgent"},{48,24,12,8}),24)/24,"hh:mm")</f>
        <v>#N/A</v>
      </c>
      <c r="AH590" s="4" t="e">
        <f aca="false">IF(AD590&gt;AG590,"Not Met","Met")</f>
        <v>#N/A</v>
      </c>
      <c r="AI590" s="4" t="e">
        <f aca="false">IF(AB590&lt;TIME(0,30,0),"Met","Not Met")</f>
        <v>#REF!</v>
      </c>
      <c r="AN590" s="1" t="str">
        <f aca="false">TEXT(B590,"dd")</f>
        <v>30</v>
      </c>
      <c r="AO590" s="1" t="str">
        <f aca="false">TEXT(X590,"dd")</f>
        <v>30</v>
      </c>
      <c r="AP590" s="16" t="str">
        <f aca="false">INT(
  NETWORKDAYS(B590,V590)-1
  + IF(WEEKDAY(V590,2)&lt;6,MOD(V590+W590,1),0)
  - IF(WEEKDAY(B590,2)&lt;6,MOD(B590+C590,1),0)
)
&amp; ":" &amp;
TEXT(HOUR(
  NETWORKDAYS(B590,V590)-1
  + IF(WEEKDAY(V590,2)&lt;6,MOD(V590+W590,1),0)
  - IF(WEEKDAY(B590,2)&lt;6,MOD(B590+C590,1),0)
),"00")
&amp; ":" &amp;
TEXT(MINUTE(
  NETWORKDAYS(B590,V590)-1
  + IF(WEEKDAY(V590,2)&lt;6,MOD(V590+W590,1),0)
  - IF(WEEKDAY(B590,2)&lt;6,MOD(B590+C590,1),0)
),"00")</f>
        <v>-1:00:00</v>
      </c>
      <c r="AQ590" s="0" t="n">
        <f aca="false">IFERROR(
LEFT(AP590,FIND(":",AP590)-1)
+ MID(AP590,FIND(":",AP590)+1,2)/24
+ RIGHT(AP590,2)/1440,
"")</f>
        <v>-1</v>
      </c>
      <c r="AR590" s="0" t="n">
        <f aca="false">WEEKNUM(B590,1)</f>
        <v>52</v>
      </c>
      <c r="AS590" s="17" t="str">
        <f aca="false">IF(B590&gt;0, (B590+C590)-TIME(13,30,0), "")</f>
        <v/>
      </c>
      <c r="AT590" s="18" t="str">
        <f aca="false">IF(B590&gt;0, (B590+C590)-TIME(13,30,0), "")</f>
        <v/>
      </c>
      <c r="AU590" s="17" t="str">
        <f aca="false">IF(V590&gt;0, (V590+W590)-TIME(13,30,0), "")</f>
        <v/>
      </c>
      <c r="AV590" s="18" t="str">
        <f aca="false">IF(V590&gt;0, (V590+W590)-TIME(13,30,0), "")</f>
        <v/>
      </c>
    </row>
    <row r="591" customFormat="false" ht="15" hidden="false" customHeight="false" outlineLevel="0" collapsed="false">
      <c r="AB591" s="2" t="e">
        <f aca="false">U591-#REF!</f>
        <v>#REF!</v>
      </c>
      <c r="AC591" s="14" t="n">
        <f aca="false">(V591+W591)-(B591+C591)</f>
        <v>0</v>
      </c>
      <c r="AD591" s="4" t="str">
        <f aca="false">INT((V591+W591)-(B591+C591)) &amp; ":" &amp;
TEXT(HOUR((V591+W591)-(B591+C591)), "00") &amp; ":" &amp;
TEXT(MINUTE((V591+W591)-(B591+C591)), "00")</f>
        <v>0:00:00</v>
      </c>
      <c r="AE591" s="1" t="n">
        <f aca="false">IFERROR(
LEFT(AD591,FIND(":",AD591)-1)
+ MID(AD591,FIND(":",AD591)+1,2)/24
+ RIGHT(AD591,2)/1440,
"")</f>
        <v>0</v>
      </c>
      <c r="AF591" s="4" t="str">
        <f aca="false">INT((X591+Y591)-(B591+C591)) &amp; ":" &amp;
TEXT(HOUR((X591+Y591)-(B591+C591)), "00") &amp; ":" &amp;
TEXT(MINUTE((X591+Y591)-(B591+C591)), "00")</f>
        <v>0:00:00</v>
      </c>
      <c r="AG591" s="4" t="e">
        <f aca="false" t="array" ref="AG591:AG591">INT(_xlfn.XLOOKUP(J591,{"Low","Medium","High","Urgent"},{48,24,12,8})/24) &amp; ":" &amp;
TEXT(MOD(_xlfn.XLOOKUP(J591,{"Low","Medium","High","Urgent"},{48,24,12,8}),24)/24,"hh:mm")</f>
        <v>#N/A</v>
      </c>
      <c r="AH591" s="4" t="e">
        <f aca="false">IF(AD591&gt;AG591,"Not Met","Met")</f>
        <v>#N/A</v>
      </c>
      <c r="AI591" s="4" t="e">
        <f aca="false">IF(AB591&lt;TIME(0,30,0),"Met","Not Met")</f>
        <v>#REF!</v>
      </c>
      <c r="AN591" s="1" t="str">
        <f aca="false">TEXT(B591,"dd")</f>
        <v>30</v>
      </c>
      <c r="AO591" s="1" t="str">
        <f aca="false">TEXT(X591,"dd")</f>
        <v>30</v>
      </c>
      <c r="AP591" s="16" t="str">
        <f aca="false">INT(
  NETWORKDAYS(B591,V591)-1
  + IF(WEEKDAY(V591,2)&lt;6,MOD(V591+W591,1),0)
  - IF(WEEKDAY(B591,2)&lt;6,MOD(B591+C591,1),0)
)
&amp; ":" &amp;
TEXT(HOUR(
  NETWORKDAYS(B591,V591)-1
  + IF(WEEKDAY(V591,2)&lt;6,MOD(V591+W591,1),0)
  - IF(WEEKDAY(B591,2)&lt;6,MOD(B591+C591,1),0)
),"00")
&amp; ":" &amp;
TEXT(MINUTE(
  NETWORKDAYS(B591,V591)-1
  + IF(WEEKDAY(V591,2)&lt;6,MOD(V591+W591,1),0)
  - IF(WEEKDAY(B591,2)&lt;6,MOD(B591+C591,1),0)
),"00")</f>
        <v>-1:00:00</v>
      </c>
      <c r="AQ591" s="0" t="n">
        <f aca="false">IFERROR(
LEFT(AP591,FIND(":",AP591)-1)
+ MID(AP591,FIND(":",AP591)+1,2)/24
+ RIGHT(AP591,2)/1440,
"")</f>
        <v>-1</v>
      </c>
      <c r="AR591" s="0" t="n">
        <f aca="false">WEEKNUM(B591,1)</f>
        <v>52</v>
      </c>
      <c r="AS591" s="17" t="str">
        <f aca="false">IF(B591&gt;0, (B591+C591)-TIME(13,30,0), "")</f>
        <v/>
      </c>
      <c r="AT591" s="18" t="str">
        <f aca="false">IF(B591&gt;0, (B591+C591)-TIME(13,30,0), "")</f>
        <v/>
      </c>
      <c r="AU591" s="17" t="str">
        <f aca="false">IF(V591&gt;0, (V591+W591)-TIME(13,30,0), "")</f>
        <v/>
      </c>
      <c r="AV591" s="18" t="str">
        <f aca="false">IF(V591&gt;0, (V591+W591)-TIME(13,30,0), "")</f>
        <v/>
      </c>
    </row>
    <row r="592" customFormat="false" ht="15" hidden="false" customHeight="false" outlineLevel="0" collapsed="false">
      <c r="AB592" s="2" t="e">
        <f aca="false">U592-#REF!</f>
        <v>#REF!</v>
      </c>
      <c r="AC592" s="14" t="n">
        <f aca="false">(V592+W592)-(B592+C592)</f>
        <v>0</v>
      </c>
      <c r="AD592" s="4" t="str">
        <f aca="false">INT((V592+W592)-(B592+C592)) &amp; ":" &amp;
TEXT(HOUR((V592+W592)-(B592+C592)), "00") &amp; ":" &amp;
TEXT(MINUTE((V592+W592)-(B592+C592)), "00")</f>
        <v>0:00:00</v>
      </c>
      <c r="AE592" s="1" t="n">
        <f aca="false">IFERROR(
LEFT(AD592,FIND(":",AD592)-1)
+ MID(AD592,FIND(":",AD592)+1,2)/24
+ RIGHT(AD592,2)/1440,
"")</f>
        <v>0</v>
      </c>
      <c r="AF592" s="4" t="str">
        <f aca="false">INT((X592+Y592)-(B592+C592)) &amp; ":" &amp;
TEXT(HOUR((X592+Y592)-(B592+C592)), "00") &amp; ":" &amp;
TEXT(MINUTE((X592+Y592)-(B592+C592)), "00")</f>
        <v>0:00:00</v>
      </c>
      <c r="AG592" s="4" t="e">
        <f aca="false" t="array" ref="AG592:AG592">INT(_xlfn.XLOOKUP(J592,{"Low","Medium","High","Urgent"},{48,24,12,8})/24) &amp; ":" &amp;
TEXT(MOD(_xlfn.XLOOKUP(J592,{"Low","Medium","High","Urgent"},{48,24,12,8}),24)/24,"hh:mm")</f>
        <v>#N/A</v>
      </c>
      <c r="AH592" s="4" t="e">
        <f aca="false">IF(AD592&gt;AG592,"Not Met","Met")</f>
        <v>#N/A</v>
      </c>
      <c r="AI592" s="4" t="e">
        <f aca="false">IF(AB592&lt;TIME(0,30,0),"Met","Not Met")</f>
        <v>#REF!</v>
      </c>
      <c r="AN592" s="1" t="str">
        <f aca="false">TEXT(B592,"dd")</f>
        <v>30</v>
      </c>
      <c r="AO592" s="1" t="str">
        <f aca="false">TEXT(X592,"dd")</f>
        <v>30</v>
      </c>
      <c r="AP592" s="16" t="str">
        <f aca="false">INT(
  NETWORKDAYS(B592,V592)-1
  + IF(WEEKDAY(V592,2)&lt;6,MOD(V592+W592,1),0)
  - IF(WEEKDAY(B592,2)&lt;6,MOD(B592+C592,1),0)
)
&amp; ":" &amp;
TEXT(HOUR(
  NETWORKDAYS(B592,V592)-1
  + IF(WEEKDAY(V592,2)&lt;6,MOD(V592+W592,1),0)
  - IF(WEEKDAY(B592,2)&lt;6,MOD(B592+C592,1),0)
),"00")
&amp; ":" &amp;
TEXT(MINUTE(
  NETWORKDAYS(B592,V592)-1
  + IF(WEEKDAY(V592,2)&lt;6,MOD(V592+W592,1),0)
  - IF(WEEKDAY(B592,2)&lt;6,MOD(B592+C592,1),0)
),"00")</f>
        <v>-1:00:00</v>
      </c>
      <c r="AQ592" s="0" t="n">
        <f aca="false">IFERROR(
LEFT(AP592,FIND(":",AP592)-1)
+ MID(AP592,FIND(":",AP592)+1,2)/24
+ RIGHT(AP592,2)/1440,
"")</f>
        <v>-1</v>
      </c>
      <c r="AR592" s="0" t="n">
        <f aca="false">WEEKNUM(B592,1)</f>
        <v>52</v>
      </c>
      <c r="AS592" s="17" t="str">
        <f aca="false">IF(B592&gt;0, (B592+C592)-TIME(13,30,0), "")</f>
        <v/>
      </c>
      <c r="AT592" s="18" t="str">
        <f aca="false">IF(B592&gt;0, (B592+C592)-TIME(13,30,0), "")</f>
        <v/>
      </c>
      <c r="AU592" s="17" t="str">
        <f aca="false">IF(V592&gt;0, (V592+W592)-TIME(13,30,0), "")</f>
        <v/>
      </c>
      <c r="AV592" s="18" t="str">
        <f aca="false">IF(V592&gt;0, (V592+W592)-TIME(13,30,0), "")</f>
        <v/>
      </c>
    </row>
    <row r="593" customFormat="false" ht="15" hidden="false" customHeight="false" outlineLevel="0" collapsed="false">
      <c r="AB593" s="2" t="e">
        <f aca="false">U593-#REF!</f>
        <v>#REF!</v>
      </c>
      <c r="AC593" s="14" t="n">
        <f aca="false">(V593+W593)-(B593+C593)</f>
        <v>0</v>
      </c>
      <c r="AD593" s="4" t="str">
        <f aca="false">INT((V593+W593)-(B593+C593)) &amp; ":" &amp;
TEXT(HOUR((V593+W593)-(B593+C593)), "00") &amp; ":" &amp;
TEXT(MINUTE((V593+W593)-(B593+C593)), "00")</f>
        <v>0:00:00</v>
      </c>
      <c r="AE593" s="1" t="n">
        <f aca="false">IFERROR(
LEFT(AD593,FIND(":",AD593)-1)
+ MID(AD593,FIND(":",AD593)+1,2)/24
+ RIGHT(AD593,2)/1440,
"")</f>
        <v>0</v>
      </c>
      <c r="AF593" s="4" t="str">
        <f aca="false">INT((X593+Y593)-(B593+C593)) &amp; ":" &amp;
TEXT(HOUR((X593+Y593)-(B593+C593)), "00") &amp; ":" &amp;
TEXT(MINUTE((X593+Y593)-(B593+C593)), "00")</f>
        <v>0:00:00</v>
      </c>
      <c r="AG593" s="4" t="e">
        <f aca="false" t="array" ref="AG593:AG593">INT(_xlfn.XLOOKUP(J593,{"Low","Medium","High","Urgent"},{48,24,12,8})/24) &amp; ":" &amp;
TEXT(MOD(_xlfn.XLOOKUP(J593,{"Low","Medium","High","Urgent"},{48,24,12,8}),24)/24,"hh:mm")</f>
        <v>#N/A</v>
      </c>
      <c r="AH593" s="4" t="e">
        <f aca="false">IF(AD593&gt;AG593,"Not Met","Met")</f>
        <v>#N/A</v>
      </c>
      <c r="AI593" s="4" t="e">
        <f aca="false">IF(AB593&lt;TIME(0,30,0),"Met","Not Met")</f>
        <v>#REF!</v>
      </c>
      <c r="AN593" s="1" t="str">
        <f aca="false">TEXT(B593,"dd")</f>
        <v>30</v>
      </c>
      <c r="AO593" s="1" t="str">
        <f aca="false">TEXT(X593,"dd")</f>
        <v>30</v>
      </c>
      <c r="AP593" s="16" t="str">
        <f aca="false">INT(
  NETWORKDAYS(B593,V593)-1
  + IF(WEEKDAY(V593,2)&lt;6,MOD(V593+W593,1),0)
  - IF(WEEKDAY(B593,2)&lt;6,MOD(B593+C593,1),0)
)
&amp; ":" &amp;
TEXT(HOUR(
  NETWORKDAYS(B593,V593)-1
  + IF(WEEKDAY(V593,2)&lt;6,MOD(V593+W593,1),0)
  - IF(WEEKDAY(B593,2)&lt;6,MOD(B593+C593,1),0)
),"00")
&amp; ":" &amp;
TEXT(MINUTE(
  NETWORKDAYS(B593,V593)-1
  + IF(WEEKDAY(V593,2)&lt;6,MOD(V593+W593,1),0)
  - IF(WEEKDAY(B593,2)&lt;6,MOD(B593+C593,1),0)
),"00")</f>
        <v>-1:00:00</v>
      </c>
      <c r="AQ593" s="0" t="n">
        <f aca="false">IFERROR(
LEFT(AP593,FIND(":",AP593)-1)
+ MID(AP593,FIND(":",AP593)+1,2)/24
+ RIGHT(AP593,2)/1440,
"")</f>
        <v>-1</v>
      </c>
      <c r="AR593" s="0" t="n">
        <f aca="false">WEEKNUM(B593,1)</f>
        <v>52</v>
      </c>
      <c r="AS593" s="17" t="str">
        <f aca="false">IF(B593&gt;0, (B593+C593)-TIME(13,30,0), "")</f>
        <v/>
      </c>
      <c r="AT593" s="18" t="str">
        <f aca="false">IF(B593&gt;0, (B593+C593)-TIME(13,30,0), "")</f>
        <v/>
      </c>
      <c r="AU593" s="17" t="str">
        <f aca="false">IF(V593&gt;0, (V593+W593)-TIME(13,30,0), "")</f>
        <v/>
      </c>
      <c r="AV593" s="18" t="str">
        <f aca="false">IF(V593&gt;0, (V593+W593)-TIME(13,30,0), "")</f>
        <v/>
      </c>
    </row>
    <row r="594" customFormat="false" ht="15" hidden="false" customHeight="false" outlineLevel="0" collapsed="false">
      <c r="AB594" s="2" t="e">
        <f aca="false">U594-#REF!</f>
        <v>#REF!</v>
      </c>
      <c r="AC594" s="14" t="n">
        <f aca="false">(V594+W594)-(B594+C594)</f>
        <v>0</v>
      </c>
      <c r="AD594" s="4" t="str">
        <f aca="false">INT((V594+W594)-(B594+C594)) &amp; ":" &amp;
TEXT(HOUR((V594+W594)-(B594+C594)), "00") &amp; ":" &amp;
TEXT(MINUTE((V594+W594)-(B594+C594)), "00")</f>
        <v>0:00:00</v>
      </c>
      <c r="AE594" s="1" t="n">
        <f aca="false">IFERROR(
LEFT(AD594,FIND(":",AD594)-1)
+ MID(AD594,FIND(":",AD594)+1,2)/24
+ RIGHT(AD594,2)/1440,
"")</f>
        <v>0</v>
      </c>
      <c r="AF594" s="4" t="str">
        <f aca="false">INT((X594+Y594)-(B594+C594)) &amp; ":" &amp;
TEXT(HOUR((X594+Y594)-(B594+C594)), "00") &amp; ":" &amp;
TEXT(MINUTE((X594+Y594)-(B594+C594)), "00")</f>
        <v>0:00:00</v>
      </c>
      <c r="AG594" s="4" t="e">
        <f aca="false" t="array" ref="AG594:AG594">INT(_xlfn.XLOOKUP(J594,{"Low","Medium","High","Urgent"},{48,24,12,8})/24) &amp; ":" &amp;
TEXT(MOD(_xlfn.XLOOKUP(J594,{"Low","Medium","High","Urgent"},{48,24,12,8}),24)/24,"hh:mm")</f>
        <v>#N/A</v>
      </c>
      <c r="AH594" s="4" t="e">
        <f aca="false">IF(AD594&gt;AG594,"Not Met","Met")</f>
        <v>#N/A</v>
      </c>
      <c r="AI594" s="4" t="e">
        <f aca="false">IF(AB594&lt;TIME(0,30,0),"Met","Not Met")</f>
        <v>#REF!</v>
      </c>
      <c r="AN594" s="1" t="str">
        <f aca="false">TEXT(B594,"dd")</f>
        <v>30</v>
      </c>
      <c r="AO594" s="1" t="str">
        <f aca="false">TEXT(X594,"dd")</f>
        <v>30</v>
      </c>
      <c r="AP594" s="16" t="str">
        <f aca="false">INT(
  NETWORKDAYS(B594,V594)-1
  + IF(WEEKDAY(V594,2)&lt;6,MOD(V594+W594,1),0)
  - IF(WEEKDAY(B594,2)&lt;6,MOD(B594+C594,1),0)
)
&amp; ":" &amp;
TEXT(HOUR(
  NETWORKDAYS(B594,V594)-1
  + IF(WEEKDAY(V594,2)&lt;6,MOD(V594+W594,1),0)
  - IF(WEEKDAY(B594,2)&lt;6,MOD(B594+C594,1),0)
),"00")
&amp; ":" &amp;
TEXT(MINUTE(
  NETWORKDAYS(B594,V594)-1
  + IF(WEEKDAY(V594,2)&lt;6,MOD(V594+W594,1),0)
  - IF(WEEKDAY(B594,2)&lt;6,MOD(B594+C594,1),0)
),"00")</f>
        <v>-1:00:00</v>
      </c>
      <c r="AQ594" s="0" t="n">
        <f aca="false">IFERROR(
LEFT(AP594,FIND(":",AP594)-1)
+ MID(AP594,FIND(":",AP594)+1,2)/24
+ RIGHT(AP594,2)/1440,
"")</f>
        <v>-1</v>
      </c>
      <c r="AR594" s="0" t="n">
        <f aca="false">WEEKNUM(B594,1)</f>
        <v>52</v>
      </c>
      <c r="AS594" s="17" t="str">
        <f aca="false">IF(B594&gt;0, (B594+C594)-TIME(13,30,0), "")</f>
        <v/>
      </c>
      <c r="AT594" s="18" t="str">
        <f aca="false">IF(B594&gt;0, (B594+C594)-TIME(13,30,0), "")</f>
        <v/>
      </c>
      <c r="AU594" s="17" t="str">
        <f aca="false">IF(V594&gt;0, (V594+W594)-TIME(13,30,0), "")</f>
        <v/>
      </c>
      <c r="AV594" s="18" t="str">
        <f aca="false">IF(V594&gt;0, (V594+W594)-TIME(13,30,0), "")</f>
        <v/>
      </c>
    </row>
    <row r="595" customFormat="false" ht="15" hidden="false" customHeight="false" outlineLevel="0" collapsed="false">
      <c r="AB595" s="2" t="e">
        <f aca="false">U595-#REF!</f>
        <v>#REF!</v>
      </c>
      <c r="AC595" s="14" t="n">
        <f aca="false">(V595+W595)-(B595+C595)</f>
        <v>0</v>
      </c>
      <c r="AD595" s="4" t="str">
        <f aca="false">INT((V595+W595)-(B595+C595)) &amp; ":" &amp;
TEXT(HOUR((V595+W595)-(B595+C595)), "00") &amp; ":" &amp;
TEXT(MINUTE((V595+W595)-(B595+C595)), "00")</f>
        <v>0:00:00</v>
      </c>
      <c r="AE595" s="1" t="n">
        <f aca="false">IFERROR(
LEFT(AD595,FIND(":",AD595)-1)
+ MID(AD595,FIND(":",AD595)+1,2)/24
+ RIGHT(AD595,2)/1440,
"")</f>
        <v>0</v>
      </c>
      <c r="AF595" s="4" t="str">
        <f aca="false">INT((X595+Y595)-(B595+C595)) &amp; ":" &amp;
TEXT(HOUR((X595+Y595)-(B595+C595)), "00") &amp; ":" &amp;
TEXT(MINUTE((X595+Y595)-(B595+C595)), "00")</f>
        <v>0:00:00</v>
      </c>
      <c r="AG595" s="4" t="e">
        <f aca="false" t="array" ref="AG595:AG595">INT(_xlfn.XLOOKUP(J595,{"Low","Medium","High","Urgent"},{48,24,12,8})/24) &amp; ":" &amp;
TEXT(MOD(_xlfn.XLOOKUP(J595,{"Low","Medium","High","Urgent"},{48,24,12,8}),24)/24,"hh:mm")</f>
        <v>#N/A</v>
      </c>
      <c r="AH595" s="4" t="e">
        <f aca="false">IF(AD595&gt;AG595,"Not Met","Met")</f>
        <v>#N/A</v>
      </c>
      <c r="AI595" s="4" t="e">
        <f aca="false">IF(AB595&lt;TIME(0,30,0),"Met","Not Met")</f>
        <v>#REF!</v>
      </c>
      <c r="AN595" s="1" t="str">
        <f aca="false">TEXT(B595,"dd")</f>
        <v>30</v>
      </c>
      <c r="AO595" s="1" t="str">
        <f aca="false">TEXT(X595,"dd")</f>
        <v>30</v>
      </c>
      <c r="AP595" s="16" t="str">
        <f aca="false">INT(
  NETWORKDAYS(B595,V595)-1
  + IF(WEEKDAY(V595,2)&lt;6,MOD(V595+W595,1),0)
  - IF(WEEKDAY(B595,2)&lt;6,MOD(B595+C595,1),0)
)
&amp; ":" &amp;
TEXT(HOUR(
  NETWORKDAYS(B595,V595)-1
  + IF(WEEKDAY(V595,2)&lt;6,MOD(V595+W595,1),0)
  - IF(WEEKDAY(B595,2)&lt;6,MOD(B595+C595,1),0)
),"00")
&amp; ":" &amp;
TEXT(MINUTE(
  NETWORKDAYS(B595,V595)-1
  + IF(WEEKDAY(V595,2)&lt;6,MOD(V595+W595,1),0)
  - IF(WEEKDAY(B595,2)&lt;6,MOD(B595+C595,1),0)
),"00")</f>
        <v>-1:00:00</v>
      </c>
      <c r="AQ595" s="0" t="n">
        <f aca="false">IFERROR(
LEFT(AP595,FIND(":",AP595)-1)
+ MID(AP595,FIND(":",AP595)+1,2)/24
+ RIGHT(AP595,2)/1440,
"")</f>
        <v>-1</v>
      </c>
      <c r="AR595" s="0" t="n">
        <f aca="false">WEEKNUM(B595,1)</f>
        <v>52</v>
      </c>
      <c r="AS595" s="17" t="str">
        <f aca="false">IF(B595&gt;0, (B595+C595)-TIME(13,30,0), "")</f>
        <v/>
      </c>
      <c r="AT595" s="18" t="str">
        <f aca="false">IF(B595&gt;0, (B595+C595)-TIME(13,30,0), "")</f>
        <v/>
      </c>
      <c r="AU595" s="17" t="str">
        <f aca="false">IF(V595&gt;0, (V595+W595)-TIME(13,30,0), "")</f>
        <v/>
      </c>
      <c r="AV595" s="18" t="str">
        <f aca="false">IF(V595&gt;0, (V595+W595)-TIME(13,30,0), "")</f>
        <v/>
      </c>
    </row>
    <row r="596" customFormat="false" ht="15" hidden="false" customHeight="false" outlineLevel="0" collapsed="false">
      <c r="AB596" s="2" t="e">
        <f aca="false">U596-#REF!</f>
        <v>#REF!</v>
      </c>
      <c r="AC596" s="14" t="n">
        <f aca="false">(V596+W596)-(B596+C596)</f>
        <v>0</v>
      </c>
      <c r="AD596" s="4" t="str">
        <f aca="false">INT((V596+W596)-(B596+C596)) &amp; ":" &amp;
TEXT(HOUR((V596+W596)-(B596+C596)), "00") &amp; ":" &amp;
TEXT(MINUTE((V596+W596)-(B596+C596)), "00")</f>
        <v>0:00:00</v>
      </c>
      <c r="AE596" s="1" t="n">
        <f aca="false">IFERROR(
LEFT(AD596,FIND(":",AD596)-1)
+ MID(AD596,FIND(":",AD596)+1,2)/24
+ RIGHT(AD596,2)/1440,
"")</f>
        <v>0</v>
      </c>
      <c r="AF596" s="4" t="str">
        <f aca="false">INT((X596+Y596)-(B596+C596)) &amp; ":" &amp;
TEXT(HOUR((X596+Y596)-(B596+C596)), "00") &amp; ":" &amp;
TEXT(MINUTE((X596+Y596)-(B596+C596)), "00")</f>
        <v>0:00:00</v>
      </c>
      <c r="AG596" s="4" t="e">
        <f aca="false" t="array" ref="AG596:AG596">INT(_xlfn.XLOOKUP(J596,{"Low","Medium","High","Urgent"},{48,24,12,8})/24) &amp; ":" &amp;
TEXT(MOD(_xlfn.XLOOKUP(J596,{"Low","Medium","High","Urgent"},{48,24,12,8}),24)/24,"hh:mm")</f>
        <v>#N/A</v>
      </c>
      <c r="AH596" s="4" t="e">
        <f aca="false">IF(AD596&gt;AG596,"Not Met","Met")</f>
        <v>#N/A</v>
      </c>
      <c r="AI596" s="4" t="e">
        <f aca="false">IF(AB596&lt;TIME(0,30,0),"Met","Not Met")</f>
        <v>#REF!</v>
      </c>
      <c r="AN596" s="1" t="str">
        <f aca="false">TEXT(B596,"dd")</f>
        <v>30</v>
      </c>
      <c r="AO596" s="1" t="str">
        <f aca="false">TEXT(X596,"dd")</f>
        <v>30</v>
      </c>
      <c r="AP596" s="16" t="str">
        <f aca="false">INT(
  NETWORKDAYS(B596,V596)-1
  + IF(WEEKDAY(V596,2)&lt;6,MOD(V596+W596,1),0)
  - IF(WEEKDAY(B596,2)&lt;6,MOD(B596+C596,1),0)
)
&amp; ":" &amp;
TEXT(HOUR(
  NETWORKDAYS(B596,V596)-1
  + IF(WEEKDAY(V596,2)&lt;6,MOD(V596+W596,1),0)
  - IF(WEEKDAY(B596,2)&lt;6,MOD(B596+C596,1),0)
),"00")
&amp; ":" &amp;
TEXT(MINUTE(
  NETWORKDAYS(B596,V596)-1
  + IF(WEEKDAY(V596,2)&lt;6,MOD(V596+W596,1),0)
  - IF(WEEKDAY(B596,2)&lt;6,MOD(B596+C596,1),0)
),"00")</f>
        <v>-1:00:00</v>
      </c>
      <c r="AQ596" s="0" t="n">
        <f aca="false">IFERROR(
LEFT(AP596,FIND(":",AP596)-1)
+ MID(AP596,FIND(":",AP596)+1,2)/24
+ RIGHT(AP596,2)/1440,
"")</f>
        <v>-1</v>
      </c>
      <c r="AR596" s="0" t="n">
        <f aca="false">WEEKNUM(B596,1)</f>
        <v>52</v>
      </c>
      <c r="AS596" s="17" t="str">
        <f aca="false">IF(B596&gt;0, (B596+C596)-TIME(13,30,0), "")</f>
        <v/>
      </c>
      <c r="AT596" s="18" t="str">
        <f aca="false">IF(B596&gt;0, (B596+C596)-TIME(13,30,0), "")</f>
        <v/>
      </c>
      <c r="AU596" s="17" t="str">
        <f aca="false">IF(V596&gt;0, (V596+W596)-TIME(13,30,0), "")</f>
        <v/>
      </c>
      <c r="AV596" s="18" t="str">
        <f aca="false">IF(V596&gt;0, (V596+W596)-TIME(13,30,0), "")</f>
        <v/>
      </c>
    </row>
    <row r="597" customFormat="false" ht="15" hidden="false" customHeight="false" outlineLevel="0" collapsed="false">
      <c r="AB597" s="2" t="e">
        <f aca="false">U597-#REF!</f>
        <v>#REF!</v>
      </c>
      <c r="AC597" s="14" t="n">
        <f aca="false">(V597+W597)-(B597+C597)</f>
        <v>0</v>
      </c>
      <c r="AD597" s="4" t="str">
        <f aca="false">INT((V597+W597)-(B597+C597)) &amp; ":" &amp;
TEXT(HOUR((V597+W597)-(B597+C597)), "00") &amp; ":" &amp;
TEXT(MINUTE((V597+W597)-(B597+C597)), "00")</f>
        <v>0:00:00</v>
      </c>
      <c r="AE597" s="1" t="n">
        <f aca="false">IFERROR(
LEFT(AD597,FIND(":",AD597)-1)
+ MID(AD597,FIND(":",AD597)+1,2)/24
+ RIGHT(AD597,2)/1440,
"")</f>
        <v>0</v>
      </c>
      <c r="AF597" s="4" t="str">
        <f aca="false">INT((X597+Y597)-(B597+C597)) &amp; ":" &amp;
TEXT(HOUR((X597+Y597)-(B597+C597)), "00") &amp; ":" &amp;
TEXT(MINUTE((X597+Y597)-(B597+C597)), "00")</f>
        <v>0:00:00</v>
      </c>
      <c r="AG597" s="4" t="e">
        <f aca="false" t="array" ref="AG597:AG597">INT(_xlfn.XLOOKUP(J597,{"Low","Medium","High","Urgent"},{48,24,12,8})/24) &amp; ":" &amp;
TEXT(MOD(_xlfn.XLOOKUP(J597,{"Low","Medium","High","Urgent"},{48,24,12,8}),24)/24,"hh:mm")</f>
        <v>#N/A</v>
      </c>
      <c r="AH597" s="4" t="e">
        <f aca="false">IF(AD597&gt;AG597,"Not Met","Met")</f>
        <v>#N/A</v>
      </c>
      <c r="AI597" s="4" t="e">
        <f aca="false">IF(AB597&lt;TIME(0,30,0),"Met","Not Met")</f>
        <v>#REF!</v>
      </c>
      <c r="AN597" s="1" t="str">
        <f aca="false">TEXT(B597,"dd")</f>
        <v>30</v>
      </c>
      <c r="AO597" s="1" t="str">
        <f aca="false">TEXT(X597,"dd")</f>
        <v>30</v>
      </c>
      <c r="AP597" s="16" t="str">
        <f aca="false">INT(
  NETWORKDAYS(B597,V597)-1
  + IF(WEEKDAY(V597,2)&lt;6,MOD(V597+W597,1),0)
  - IF(WEEKDAY(B597,2)&lt;6,MOD(B597+C597,1),0)
)
&amp; ":" &amp;
TEXT(HOUR(
  NETWORKDAYS(B597,V597)-1
  + IF(WEEKDAY(V597,2)&lt;6,MOD(V597+W597,1),0)
  - IF(WEEKDAY(B597,2)&lt;6,MOD(B597+C597,1),0)
),"00")
&amp; ":" &amp;
TEXT(MINUTE(
  NETWORKDAYS(B597,V597)-1
  + IF(WEEKDAY(V597,2)&lt;6,MOD(V597+W597,1),0)
  - IF(WEEKDAY(B597,2)&lt;6,MOD(B597+C597,1),0)
),"00")</f>
        <v>-1:00:00</v>
      </c>
      <c r="AQ597" s="0" t="n">
        <f aca="false">IFERROR(
LEFT(AP597,FIND(":",AP597)-1)
+ MID(AP597,FIND(":",AP597)+1,2)/24
+ RIGHT(AP597,2)/1440,
"")</f>
        <v>-1</v>
      </c>
      <c r="AR597" s="0" t="n">
        <f aca="false">WEEKNUM(B597,1)</f>
        <v>52</v>
      </c>
      <c r="AS597" s="17" t="str">
        <f aca="false">IF(B597&gt;0, (B597+C597)-TIME(13,30,0), "")</f>
        <v/>
      </c>
      <c r="AT597" s="18" t="str">
        <f aca="false">IF(B597&gt;0, (B597+C597)-TIME(13,30,0), "")</f>
        <v/>
      </c>
      <c r="AU597" s="17" t="str">
        <f aca="false">IF(V597&gt;0, (V597+W597)-TIME(13,30,0), "")</f>
        <v/>
      </c>
      <c r="AV597" s="18" t="str">
        <f aca="false">IF(V597&gt;0, (V597+W597)-TIME(13,30,0), "")</f>
        <v/>
      </c>
    </row>
    <row r="598" customFormat="false" ht="15" hidden="false" customHeight="false" outlineLevel="0" collapsed="false">
      <c r="AB598" s="2" t="e">
        <f aca="false">U598-#REF!</f>
        <v>#REF!</v>
      </c>
      <c r="AC598" s="14" t="n">
        <f aca="false">(V598+W598)-(B598+C598)</f>
        <v>0</v>
      </c>
      <c r="AD598" s="4" t="str">
        <f aca="false">INT((V598+W598)-(B598+C598)) &amp; ":" &amp;
TEXT(HOUR((V598+W598)-(B598+C598)), "00") &amp; ":" &amp;
TEXT(MINUTE((V598+W598)-(B598+C598)), "00")</f>
        <v>0:00:00</v>
      </c>
      <c r="AE598" s="1" t="n">
        <f aca="false">IFERROR(
LEFT(AD598,FIND(":",AD598)-1)
+ MID(AD598,FIND(":",AD598)+1,2)/24
+ RIGHT(AD598,2)/1440,
"")</f>
        <v>0</v>
      </c>
      <c r="AF598" s="4" t="str">
        <f aca="false">INT((X598+Y598)-(B598+C598)) &amp; ":" &amp;
TEXT(HOUR((X598+Y598)-(B598+C598)), "00") &amp; ":" &amp;
TEXT(MINUTE((X598+Y598)-(B598+C598)), "00")</f>
        <v>0:00:00</v>
      </c>
      <c r="AG598" s="4" t="e">
        <f aca="false" t="array" ref="AG598:AG598">INT(_xlfn.XLOOKUP(J598,{"Low","Medium","High","Urgent"},{48,24,12,8})/24) &amp; ":" &amp;
TEXT(MOD(_xlfn.XLOOKUP(J598,{"Low","Medium","High","Urgent"},{48,24,12,8}),24)/24,"hh:mm")</f>
        <v>#N/A</v>
      </c>
      <c r="AH598" s="4" t="e">
        <f aca="false">IF(AD598&gt;AG598,"Not Met","Met")</f>
        <v>#N/A</v>
      </c>
      <c r="AI598" s="4" t="e">
        <f aca="false">IF(AB598&lt;TIME(0,30,0),"Met","Not Met")</f>
        <v>#REF!</v>
      </c>
      <c r="AN598" s="1" t="str">
        <f aca="false">TEXT(B598,"dd")</f>
        <v>30</v>
      </c>
      <c r="AO598" s="1" t="str">
        <f aca="false">TEXT(X598,"dd")</f>
        <v>30</v>
      </c>
      <c r="AP598" s="16" t="str">
        <f aca="false">INT(
  NETWORKDAYS(B598,V598)-1
  + IF(WEEKDAY(V598,2)&lt;6,MOD(V598+W598,1),0)
  - IF(WEEKDAY(B598,2)&lt;6,MOD(B598+C598,1),0)
)
&amp; ":" &amp;
TEXT(HOUR(
  NETWORKDAYS(B598,V598)-1
  + IF(WEEKDAY(V598,2)&lt;6,MOD(V598+W598,1),0)
  - IF(WEEKDAY(B598,2)&lt;6,MOD(B598+C598,1),0)
),"00")
&amp; ":" &amp;
TEXT(MINUTE(
  NETWORKDAYS(B598,V598)-1
  + IF(WEEKDAY(V598,2)&lt;6,MOD(V598+W598,1),0)
  - IF(WEEKDAY(B598,2)&lt;6,MOD(B598+C598,1),0)
),"00")</f>
        <v>-1:00:00</v>
      </c>
      <c r="AQ598" s="0" t="n">
        <f aca="false">IFERROR(
LEFT(AP598,FIND(":",AP598)-1)
+ MID(AP598,FIND(":",AP598)+1,2)/24
+ RIGHT(AP598,2)/1440,
"")</f>
        <v>-1</v>
      </c>
      <c r="AR598" s="0" t="n">
        <f aca="false">WEEKNUM(B598,1)</f>
        <v>52</v>
      </c>
      <c r="AS598" s="17" t="str">
        <f aca="false">IF(B598&gt;0, (B598+C598)-TIME(13,30,0), "")</f>
        <v/>
      </c>
      <c r="AT598" s="18" t="str">
        <f aca="false">IF(B598&gt;0, (B598+C598)-TIME(13,30,0), "")</f>
        <v/>
      </c>
      <c r="AU598" s="17" t="str">
        <f aca="false">IF(V598&gt;0, (V598+W598)-TIME(13,30,0), "")</f>
        <v/>
      </c>
      <c r="AV598" s="18" t="str">
        <f aca="false">IF(V598&gt;0, (V598+W598)-TIME(13,30,0), "")</f>
        <v/>
      </c>
    </row>
    <row r="599" customFormat="false" ht="15" hidden="false" customHeight="false" outlineLevel="0" collapsed="false">
      <c r="AB599" s="2" t="e">
        <f aca="false">U599-#REF!</f>
        <v>#REF!</v>
      </c>
      <c r="AC599" s="14" t="n">
        <f aca="false">(V599+W599)-(B599+C599)</f>
        <v>0</v>
      </c>
      <c r="AD599" s="4" t="str">
        <f aca="false">INT((V599+W599)-(B599+C599)) &amp; ":" &amp;
TEXT(HOUR((V599+W599)-(B599+C599)), "00") &amp; ":" &amp;
TEXT(MINUTE((V599+W599)-(B599+C599)), "00")</f>
        <v>0:00:00</v>
      </c>
      <c r="AE599" s="1" t="n">
        <f aca="false">IFERROR(
LEFT(AD599,FIND(":",AD599)-1)
+ MID(AD599,FIND(":",AD599)+1,2)/24
+ RIGHT(AD599,2)/1440,
"")</f>
        <v>0</v>
      </c>
      <c r="AF599" s="4" t="str">
        <f aca="false">INT((X599+Y599)-(B599+C599)) &amp; ":" &amp;
TEXT(HOUR((X599+Y599)-(B599+C599)), "00") &amp; ":" &amp;
TEXT(MINUTE((X599+Y599)-(B599+C599)), "00")</f>
        <v>0:00:00</v>
      </c>
      <c r="AG599" s="4" t="e">
        <f aca="false" t="array" ref="AG599:AG599">INT(_xlfn.XLOOKUP(J599,{"Low","Medium","High","Urgent"},{48,24,12,8})/24) &amp; ":" &amp;
TEXT(MOD(_xlfn.XLOOKUP(J599,{"Low","Medium","High","Urgent"},{48,24,12,8}),24)/24,"hh:mm")</f>
        <v>#N/A</v>
      </c>
      <c r="AH599" s="4" t="e">
        <f aca="false">IF(AD599&gt;AG599,"Not Met","Met")</f>
        <v>#N/A</v>
      </c>
      <c r="AI599" s="4" t="e">
        <f aca="false">IF(AB599&lt;TIME(0,30,0),"Met","Not Met")</f>
        <v>#REF!</v>
      </c>
      <c r="AN599" s="1" t="str">
        <f aca="false">TEXT(B599,"dd")</f>
        <v>30</v>
      </c>
      <c r="AO599" s="1" t="str">
        <f aca="false">TEXT(X599,"dd")</f>
        <v>30</v>
      </c>
      <c r="AP599" s="16" t="str">
        <f aca="false">INT(
  NETWORKDAYS(B599,V599)-1
  + IF(WEEKDAY(V599,2)&lt;6,MOD(V599+W599,1),0)
  - IF(WEEKDAY(B599,2)&lt;6,MOD(B599+C599,1),0)
)
&amp; ":" &amp;
TEXT(HOUR(
  NETWORKDAYS(B599,V599)-1
  + IF(WEEKDAY(V599,2)&lt;6,MOD(V599+W599,1),0)
  - IF(WEEKDAY(B599,2)&lt;6,MOD(B599+C599,1),0)
),"00")
&amp; ":" &amp;
TEXT(MINUTE(
  NETWORKDAYS(B599,V599)-1
  + IF(WEEKDAY(V599,2)&lt;6,MOD(V599+W599,1),0)
  - IF(WEEKDAY(B599,2)&lt;6,MOD(B599+C599,1),0)
),"00")</f>
        <v>-1:00:00</v>
      </c>
      <c r="AQ599" s="0" t="n">
        <f aca="false">IFERROR(
LEFT(AP599,FIND(":",AP599)-1)
+ MID(AP599,FIND(":",AP599)+1,2)/24
+ RIGHT(AP599,2)/1440,
"")</f>
        <v>-1</v>
      </c>
      <c r="AR599" s="0" t="n">
        <f aca="false">WEEKNUM(B599,1)</f>
        <v>52</v>
      </c>
      <c r="AS599" s="17" t="str">
        <f aca="false">IF(B599&gt;0, (B599+C599)-TIME(13,30,0), "")</f>
        <v/>
      </c>
      <c r="AT599" s="18" t="str">
        <f aca="false">IF(B599&gt;0, (B599+C599)-TIME(13,30,0), "")</f>
        <v/>
      </c>
      <c r="AU599" s="17" t="str">
        <f aca="false">IF(V599&gt;0, (V599+W599)-TIME(13,30,0), "")</f>
        <v/>
      </c>
      <c r="AV599" s="18" t="str">
        <f aca="false">IF(V599&gt;0, (V599+W599)-TIME(13,30,0), "")</f>
        <v/>
      </c>
    </row>
    <row r="600" customFormat="false" ht="15" hidden="false" customHeight="false" outlineLevel="0" collapsed="false">
      <c r="AB600" s="2" t="e">
        <f aca="false">U600-#REF!</f>
        <v>#REF!</v>
      </c>
      <c r="AC600" s="14" t="n">
        <f aca="false">(V600+W600)-(B600+C600)</f>
        <v>0</v>
      </c>
      <c r="AD600" s="4" t="str">
        <f aca="false">INT((V600+W600)-(B600+C600)) &amp; ":" &amp;
TEXT(HOUR((V600+W600)-(B600+C600)), "00") &amp; ":" &amp;
TEXT(MINUTE((V600+W600)-(B600+C600)), "00")</f>
        <v>0:00:00</v>
      </c>
      <c r="AE600" s="1" t="n">
        <f aca="false">IFERROR(
LEFT(AD600,FIND(":",AD600)-1)
+ MID(AD600,FIND(":",AD600)+1,2)/24
+ RIGHT(AD600,2)/1440,
"")</f>
        <v>0</v>
      </c>
      <c r="AF600" s="4" t="str">
        <f aca="false">INT((X600+Y600)-(B600+C600)) &amp; ":" &amp;
TEXT(HOUR((X600+Y600)-(B600+C600)), "00") &amp; ":" &amp;
TEXT(MINUTE((X600+Y600)-(B600+C600)), "00")</f>
        <v>0:00:00</v>
      </c>
      <c r="AG600" s="4" t="e">
        <f aca="false" t="array" ref="AG600:AG600">INT(_xlfn.XLOOKUP(J600,{"Low","Medium","High","Urgent"},{48,24,12,8})/24) &amp; ":" &amp;
TEXT(MOD(_xlfn.XLOOKUP(J600,{"Low","Medium","High","Urgent"},{48,24,12,8}),24)/24,"hh:mm")</f>
        <v>#N/A</v>
      </c>
      <c r="AH600" s="4" t="e">
        <f aca="false">IF(AD600&gt;AG600,"Not Met","Met")</f>
        <v>#N/A</v>
      </c>
      <c r="AI600" s="4" t="e">
        <f aca="false">IF(AB600&lt;TIME(0,30,0),"Met","Not Met")</f>
        <v>#REF!</v>
      </c>
      <c r="AN600" s="1" t="str">
        <f aca="false">TEXT(B600,"dd")</f>
        <v>30</v>
      </c>
      <c r="AO600" s="1" t="str">
        <f aca="false">TEXT(X600,"dd")</f>
        <v>30</v>
      </c>
      <c r="AP600" s="16" t="str">
        <f aca="false">INT(
  NETWORKDAYS(B600,V600)-1
  + IF(WEEKDAY(V600,2)&lt;6,MOD(V600+W600,1),0)
  - IF(WEEKDAY(B600,2)&lt;6,MOD(B600+C600,1),0)
)
&amp; ":" &amp;
TEXT(HOUR(
  NETWORKDAYS(B600,V600)-1
  + IF(WEEKDAY(V600,2)&lt;6,MOD(V600+W600,1),0)
  - IF(WEEKDAY(B600,2)&lt;6,MOD(B600+C600,1),0)
),"00")
&amp; ":" &amp;
TEXT(MINUTE(
  NETWORKDAYS(B600,V600)-1
  + IF(WEEKDAY(V600,2)&lt;6,MOD(V600+W600,1),0)
  - IF(WEEKDAY(B600,2)&lt;6,MOD(B600+C600,1),0)
),"00")</f>
        <v>-1:00:00</v>
      </c>
      <c r="AQ600" s="0" t="n">
        <f aca="false">IFERROR(
LEFT(AP600,FIND(":",AP600)-1)
+ MID(AP600,FIND(":",AP600)+1,2)/24
+ RIGHT(AP600,2)/1440,
"")</f>
        <v>-1</v>
      </c>
      <c r="AR600" s="0" t="n">
        <f aca="false">WEEKNUM(B600,1)</f>
        <v>52</v>
      </c>
      <c r="AS600" s="17" t="str">
        <f aca="false">IF(B600&gt;0, (B600+C600)-TIME(13,30,0), "")</f>
        <v/>
      </c>
      <c r="AT600" s="18" t="str">
        <f aca="false">IF(B600&gt;0, (B600+C600)-TIME(13,30,0), "")</f>
        <v/>
      </c>
      <c r="AU600" s="17" t="str">
        <f aca="false">IF(V600&gt;0, (V600+W600)-TIME(13,30,0), "")</f>
        <v/>
      </c>
      <c r="AV600" s="18" t="str">
        <f aca="false">IF(V600&gt;0, (V600+W600)-TIME(13,30,0), "")</f>
        <v/>
      </c>
    </row>
  </sheetData>
  <conditionalFormatting sqref="AB2:AB1048576">
    <cfRule type="cellIs" priority="2" operator="greaterThan" aboveAverage="0" equalAverage="0" bottom="0" percent="0" rank="0" text="" dxfId="6">
      <formula>0.0208333333333333</formula>
    </cfRule>
  </conditionalFormatting>
  <dataValidations count="8">
    <dataValidation allowBlank="true" errorStyle="stop" operator="between" showDropDown="false" showErrorMessage="true" showInputMessage="true" sqref="F2:F13 F18:F69 F71:F131 F133:F193 F195:F199 F201:F231 F233:F236 F238:F255 F257:F258 F260:F265 F267:F283 F285:F288 F290:F303 F305:F322 F324:F330 F332 F334:F346 F348:F357 F359 F361:F379 F381:F399 F401:F406 F408:F1600" type="list">
      <formula1>"Open,Work In Progress,Waiting On Customer,Pending with QA,QA Feedback,Pending Deployment,Closed"</formula1>
      <formula2>0</formula2>
    </dataValidation>
    <dataValidation allowBlank="true" errorStyle="stop" operator="between" showDropDown="false" showErrorMessage="true" showInputMessage="true" sqref="F14:F17 F232 F237 F323" type="list">
      <formula1>"Open,Work In Progress,Waiting On Customer,Pending with QA,QA Feedback,Pending Deployment,Ready for QA Release,Discussion Required,Closed"</formula1>
      <formula2>0</formula2>
    </dataValidation>
    <dataValidation allowBlank="true" errorStyle="stop" operator="between" showDropDown="false" showErrorMessage="true" showInputMessage="true" sqref="N2:N49 O23 O28 O35 O48 N50:O51 N52:N92 O83 O90:O91 N93:N102 N104:N201 O111 O160 O195 O200 N202:O202 N203:N332 O212 O224 O237 O246 O252 O256 O259:O260 O266 O271 O275 O304 O309 O318 O323 O331 N333:O334 N335:N363 N365:N1600" type="list">
      <formula1>"Incident,Service Request,Change Request,Client Enablement"</formula1>
      <formula2>0</formula2>
    </dataValidation>
    <dataValidation allowBlank="true" errorStyle="stop" operator="between" showDropDown="false" showErrorMessage="true" showInputMessage="true" sqref="F132 F200 F284" type="list">
      <formula1>"Open,Work In Progress,Waiting On Customer,Pending with QA,QA Feedback,Pending Deployment,Ready for QA Release,Discussion Required,On UAT,Closed"</formula1>
      <formula2>0</formula2>
    </dataValidation>
    <dataValidation allowBlank="true" errorStyle="stop" operator="between" showDropDown="false" showErrorMessage="true" showInputMessage="true" sqref="F70 F194 F256 F259 F266 F289 F304 F331 F333 F347 F358 F360 F380 F400 F407" type="list">
      <formula1>"Open,Work In Progress,Waiting On Customer,In Code Review,Pending with QA,QA Feedback,Pending Deployment,Ready for QA Release,Discussion Required,On UAT,Closed"</formula1>
      <formula2>0</formula2>
    </dataValidation>
    <dataValidation allowBlank="true" errorStyle="stop" operator="between" showDropDown="false" showErrorMessage="true" showInputMessage="true" sqref="AA2:AA1600" type="list">
      <formula1>"Yes,No"</formula1>
      <formula2>0</formula2>
    </dataValidation>
    <dataValidation allowBlank="true" errorStyle="stop" operator="between" showDropDown="false" showErrorMessage="true" showInputMessage="true" sqref="E2:E1600" type="list">
      <formula1>"ATS,Azure DevOps,Email"</formula1>
      <formula2>0</formula2>
    </dataValidation>
    <dataValidation allowBlank="true" errorStyle="stop" operator="between" showDropDown="false" showErrorMessage="true" showInputMessage="true" sqref="G2:G1600" type="list">
      <formula1>"Pending,Closed"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2025-11-27T07:05:44Z</dcterms:created>
  <dc:creator/>
  <dc:description/>
  <dc:language>en-US</dc:language>
  <cp:lastModifiedBy/>
  <dcterms:modified xsi:type="dcterms:W3CDTF">2026-07-21T12:48:42Z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